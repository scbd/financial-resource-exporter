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9200" windowHeight="5565" tabRatio="739" firstSheet="1" activeTab="4"/>
  </bookViews>
  <sheets>
    <sheet name="Country" sheetId="12" state="hidden" r:id="rId1"/>
    <sheet name="Stat" sheetId="50" r:id="rId2"/>
    <sheet name="Menu" sheetId="20" r:id="rId3"/>
    <sheet name="Suriname" sheetId="48" r:id="rId4"/>
    <sheet name="{{template}}" sheetId="21" r:id="rId5"/>
    <sheet name="Uruguay" sheetId="49" r:id="rId6"/>
    <sheet name="IMF" sheetId="8" r:id="rId7"/>
    <sheet name="OECD Targets" sheetId="9" r:id="rId8"/>
    <sheet name="data" sheetId="4" r:id="rId9"/>
  </sheets>
  <externalReferences>
    <externalReference r:id="rId10"/>
    <externalReference r:id="rId11"/>
    <externalReference r:id="rId12"/>
  </externalReferences>
  <definedNames>
    <definedName name="_xlnm._FilterDatabase" localSheetId="6" hidden="1">IMF!$A$1:$AY$946</definedName>
    <definedName name="confidence" localSheetId="1">[1]data!$D$2:$D$5</definedName>
    <definedName name="confidence">data!$D$2:$D$5</definedName>
    <definedName name="Countries" localSheetId="1">[1]data!$A$1:$A$194</definedName>
    <definedName name="Countries">data!$A$1:$A$194</definedName>
    <definedName name="Country" localSheetId="7">[2]Data!$A$2:$A$190</definedName>
    <definedName name="Country">[3]Data!$A$2:$A$190</definedName>
    <definedName name="country_group" localSheetId="1">[1]data!$M$2:$M$6</definedName>
    <definedName name="country_group">data!$M$2:$M$6</definedName>
    <definedName name="Countsheets">GET.WORKBOOK(1)&amp;T(NOW())</definedName>
    <definedName name="Currency" localSheetId="1">[1]data!$F$2:$F$3</definedName>
    <definedName name="Currency">data!$F$2:$F$3</definedName>
    <definedName name="Values" localSheetId="7">[2]Data!$C$2:$C$4</definedName>
    <definedName name="values" localSheetId="1">[1]data!$C$2:$C$5</definedName>
    <definedName name="values">data!$C$2:$C$5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6" i="48" l="1"/>
  <c r="I95" i="48"/>
  <c r="I94" i="48"/>
  <c r="I93" i="48"/>
  <c r="I92" i="48"/>
  <c r="I91" i="48"/>
  <c r="I90" i="48"/>
  <c r="I89" i="48"/>
  <c r="I88" i="48"/>
  <c r="I87" i="48"/>
  <c r="I97" i="48" s="1"/>
  <c r="K48" i="48"/>
  <c r="J48" i="48"/>
  <c r="I48" i="48"/>
  <c r="L48" i="48" s="1"/>
  <c r="K47" i="48"/>
  <c r="J47" i="48"/>
  <c r="I47" i="48"/>
  <c r="L47" i="48" s="1"/>
  <c r="K46" i="48"/>
  <c r="J46" i="48"/>
  <c r="I46" i="48"/>
  <c r="L46" i="48" s="1"/>
  <c r="K45" i="48"/>
  <c r="J45" i="48"/>
  <c r="I45" i="48"/>
  <c r="L45" i="48" s="1"/>
  <c r="K44" i="48"/>
  <c r="J44" i="48"/>
  <c r="I44" i="48"/>
  <c r="L44" i="48" s="1"/>
  <c r="I96" i="49"/>
  <c r="I95" i="49"/>
  <c r="I94" i="49"/>
  <c r="I93" i="49"/>
  <c r="I92" i="49"/>
  <c r="I91" i="49"/>
  <c r="I90" i="49"/>
  <c r="I89" i="49"/>
  <c r="I88" i="49"/>
  <c r="I87" i="49"/>
  <c r="I97" i="49" s="1"/>
  <c r="K48" i="49"/>
  <c r="J48" i="49"/>
  <c r="I48" i="49"/>
  <c r="L48" i="49" s="1"/>
  <c r="K47" i="49"/>
  <c r="J47" i="49"/>
  <c r="I47" i="49"/>
  <c r="L47" i="49" s="1"/>
  <c r="K46" i="49"/>
  <c r="J46" i="49"/>
  <c r="I46" i="49"/>
  <c r="L46" i="49" s="1"/>
  <c r="K45" i="49"/>
  <c r="J45" i="49"/>
  <c r="I45" i="49"/>
  <c r="L45" i="49" s="1"/>
  <c r="K44" i="49"/>
  <c r="J44" i="49"/>
  <c r="I44" i="49"/>
  <c r="L44" i="49" s="1"/>
  <c r="K10" i="49"/>
  <c r="J10" i="49"/>
  <c r="I10" i="49"/>
  <c r="L10" i="49" s="1"/>
  <c r="K9" i="49"/>
  <c r="J9" i="49"/>
  <c r="I9" i="49"/>
  <c r="L9" i="49" s="1"/>
  <c r="K8" i="49"/>
  <c r="J8" i="49"/>
  <c r="I8" i="49"/>
  <c r="L8" i="49" s="1"/>
  <c r="K7" i="49"/>
  <c r="J7" i="49"/>
  <c r="I7" i="49"/>
  <c r="L7" i="49" s="1"/>
  <c r="K6" i="49"/>
  <c r="K11" i="49" s="1"/>
  <c r="J6" i="49"/>
  <c r="J11" i="49" s="1"/>
  <c r="I6" i="49"/>
  <c r="L6" i="49" s="1"/>
  <c r="K10" i="48"/>
  <c r="J10" i="48"/>
  <c r="I10" i="48"/>
  <c r="L10" i="48" s="1"/>
  <c r="K9" i="48"/>
  <c r="J9" i="48"/>
  <c r="I9" i="48"/>
  <c r="L9" i="48" s="1"/>
  <c r="K8" i="48"/>
  <c r="J8" i="48"/>
  <c r="I8" i="48"/>
  <c r="L8" i="48" s="1"/>
  <c r="K7" i="48"/>
  <c r="J7" i="48"/>
  <c r="I7" i="48"/>
  <c r="L7" i="48" s="1"/>
  <c r="K6" i="48"/>
  <c r="K11" i="48" s="1"/>
  <c r="J6" i="48"/>
  <c r="J11" i="48" s="1"/>
  <c r="I6" i="48"/>
  <c r="L6" i="48" s="1"/>
  <c r="L11" i="49" l="1"/>
  <c r="I11" i="49"/>
  <c r="L11" i="48"/>
  <c r="I11" i="48"/>
  <c r="B140" i="50"/>
  <c r="B139" i="50"/>
  <c r="B138" i="50"/>
  <c r="B153" i="50"/>
  <c r="B152" i="50"/>
  <c r="B150" i="50"/>
  <c r="B149" i="50"/>
  <c r="B147" i="50"/>
  <c r="B146" i="50"/>
  <c r="D147" i="50" s="1"/>
  <c r="B113" i="50"/>
  <c r="B112" i="50"/>
  <c r="B111" i="50"/>
  <c r="B110" i="50"/>
  <c r="C106" i="50"/>
  <c r="B106" i="50"/>
  <c r="C105" i="50"/>
  <c r="B105" i="50"/>
  <c r="C104" i="50"/>
  <c r="B104" i="50"/>
  <c r="C103" i="50"/>
  <c r="B103" i="50"/>
  <c r="C102" i="50"/>
  <c r="B102" i="50"/>
  <c r="C101" i="50"/>
  <c r="B101" i="50"/>
  <c r="C100" i="50"/>
  <c r="B100" i="50"/>
  <c r="B2" i="20"/>
  <c r="B11" i="50" s="1"/>
  <c r="R2" i="20"/>
  <c r="Q2" i="20"/>
  <c r="P2" i="20"/>
  <c r="O2" i="20"/>
  <c r="B80" i="50"/>
  <c r="B79" i="50"/>
  <c r="B78" i="50"/>
  <c r="B77" i="50"/>
  <c r="B73" i="50"/>
  <c r="B72" i="50"/>
  <c r="B71" i="50"/>
  <c r="B66" i="50"/>
  <c r="B65" i="50"/>
  <c r="D66" i="50" s="1"/>
  <c r="B64" i="50"/>
  <c r="B24" i="50"/>
  <c r="B23" i="50"/>
  <c r="B21" i="50"/>
  <c r="B20" i="50"/>
  <c r="B18" i="50"/>
  <c r="B17" i="50"/>
  <c r="B14" i="50"/>
  <c r="B15" i="50"/>
  <c r="A117" i="50"/>
  <c r="A127" i="50"/>
  <c r="A127" i="49"/>
  <c r="E124" i="49"/>
  <c r="E123" i="49"/>
  <c r="E122" i="49"/>
  <c r="E121" i="49"/>
  <c r="E120" i="49"/>
  <c r="E119" i="49"/>
  <c r="E118" i="49"/>
  <c r="A117" i="49"/>
  <c r="G96" i="49"/>
  <c r="F96" i="49"/>
  <c r="E96" i="49"/>
  <c r="G95" i="49"/>
  <c r="F95" i="49"/>
  <c r="E95" i="49"/>
  <c r="G94" i="49"/>
  <c r="F94" i="49"/>
  <c r="E94" i="49"/>
  <c r="G93" i="49"/>
  <c r="F93" i="49"/>
  <c r="E93" i="49"/>
  <c r="G92" i="49"/>
  <c r="F92" i="49"/>
  <c r="E92" i="49"/>
  <c r="G91" i="49"/>
  <c r="F91" i="49"/>
  <c r="E91" i="49"/>
  <c r="G90" i="49"/>
  <c r="F90" i="49"/>
  <c r="E90" i="49"/>
  <c r="G89" i="49"/>
  <c r="F89" i="49"/>
  <c r="E89" i="49"/>
  <c r="G88" i="49"/>
  <c r="F88" i="49"/>
  <c r="E88" i="49"/>
  <c r="G87" i="49"/>
  <c r="F87" i="49"/>
  <c r="E87" i="49"/>
  <c r="F48" i="49"/>
  <c r="F47" i="49"/>
  <c r="F46" i="49"/>
  <c r="F45" i="49"/>
  <c r="F44" i="49"/>
  <c r="E11" i="49"/>
  <c r="D11" i="49"/>
  <c r="C11" i="49"/>
  <c r="F10" i="49"/>
  <c r="F9" i="49"/>
  <c r="F8" i="49"/>
  <c r="F7" i="49"/>
  <c r="F6" i="49"/>
  <c r="F11" i="49" s="1"/>
  <c r="A127" i="48"/>
  <c r="E124" i="48"/>
  <c r="E123" i="48"/>
  <c r="E122" i="48"/>
  <c r="E121" i="48"/>
  <c r="E120" i="48"/>
  <c r="E119" i="48"/>
  <c r="E118" i="48"/>
  <c r="A117" i="48"/>
  <c r="G96" i="48"/>
  <c r="F96" i="48"/>
  <c r="E96" i="48"/>
  <c r="G95" i="48"/>
  <c r="F95" i="48"/>
  <c r="E95" i="48"/>
  <c r="G94" i="48"/>
  <c r="F94" i="48"/>
  <c r="E94" i="48"/>
  <c r="G93" i="48"/>
  <c r="F93" i="48"/>
  <c r="E93" i="48"/>
  <c r="G92" i="48"/>
  <c r="F92" i="48"/>
  <c r="E92" i="48"/>
  <c r="G91" i="48"/>
  <c r="F91" i="48"/>
  <c r="E91" i="48"/>
  <c r="G90" i="48"/>
  <c r="F90" i="48"/>
  <c r="E90" i="48"/>
  <c r="G89" i="48"/>
  <c r="F89" i="48"/>
  <c r="E89" i="48"/>
  <c r="G88" i="48"/>
  <c r="F88" i="48"/>
  <c r="E88" i="48"/>
  <c r="G87" i="48"/>
  <c r="F87" i="48"/>
  <c r="E87" i="48"/>
  <c r="F48" i="48"/>
  <c r="F47" i="48"/>
  <c r="F46" i="48"/>
  <c r="F45" i="48"/>
  <c r="F44" i="48"/>
  <c r="E11" i="48"/>
  <c r="D11" i="48"/>
  <c r="C11" i="48"/>
  <c r="F10" i="48"/>
  <c r="F9" i="48"/>
  <c r="F8" i="48"/>
  <c r="F7" i="48"/>
  <c r="F6" i="48"/>
  <c r="F11" i="48" s="1"/>
  <c r="AB5" i="20"/>
  <c r="V5" i="20"/>
  <c r="S5" i="20"/>
  <c r="Y4" i="20"/>
  <c r="Y5" i="20"/>
  <c r="T5" i="20"/>
  <c r="X4" i="20"/>
  <c r="AA5" i="20"/>
  <c r="AA4" i="20"/>
  <c r="Z4" i="20"/>
  <c r="U5" i="20"/>
  <c r="AB4" i="20"/>
  <c r="X5" i="20"/>
  <c r="U4" i="20"/>
  <c r="S4" i="20"/>
  <c r="G4" i="20"/>
  <c r="Z5" i="20"/>
  <c r="L4" i="20"/>
  <c r="W5" i="20"/>
  <c r="I5" i="20"/>
  <c r="L5" i="20"/>
  <c r="T4" i="20"/>
  <c r="W4" i="20"/>
  <c r="C4" i="20"/>
  <c r="V4" i="20"/>
  <c r="D113" i="50" l="1"/>
  <c r="B16" i="50"/>
  <c r="B19" i="50"/>
  <c r="D140" i="50"/>
  <c r="C80" i="50"/>
  <c r="C66" i="50"/>
  <c r="E80" i="50"/>
  <c r="C140" i="50"/>
  <c r="E73" i="50"/>
  <c r="C147" i="50"/>
  <c r="E113" i="50"/>
  <c r="E147" i="50"/>
  <c r="C113" i="50"/>
  <c r="E140" i="50"/>
  <c r="C73" i="50"/>
  <c r="D73" i="50"/>
  <c r="E66" i="50"/>
  <c r="D80" i="50"/>
  <c r="B13" i="50"/>
  <c r="B22" i="50"/>
  <c r="I96" i="21" l="1"/>
  <c r="I95" i="21"/>
  <c r="I94" i="21"/>
  <c r="I93" i="21"/>
  <c r="I92" i="21"/>
  <c r="I91" i="21"/>
  <c r="I90" i="21"/>
  <c r="I89" i="21"/>
  <c r="I88" i="21"/>
  <c r="I87" i="21"/>
  <c r="I97" i="21" s="1"/>
  <c r="K48" i="21"/>
  <c r="J48" i="21"/>
  <c r="I48" i="21"/>
  <c r="K47" i="21"/>
  <c r="J47" i="21"/>
  <c r="I47" i="21"/>
  <c r="K46" i="21"/>
  <c r="J46" i="21"/>
  <c r="I46" i="21"/>
  <c r="K45" i="21"/>
  <c r="J45" i="21"/>
  <c r="I45" i="21"/>
  <c r="K44" i="21"/>
  <c r="J44" i="21"/>
  <c r="I44" i="21"/>
  <c r="K10" i="21"/>
  <c r="J10" i="21"/>
  <c r="I10" i="21"/>
  <c r="K9" i="21"/>
  <c r="J9" i="21"/>
  <c r="I9" i="21"/>
  <c r="K8" i="21"/>
  <c r="J8" i="21"/>
  <c r="I8" i="21"/>
  <c r="K7" i="21"/>
  <c r="J7" i="21"/>
  <c r="I7" i="21"/>
  <c r="K6" i="21"/>
  <c r="K11" i="21" s="1"/>
  <c r="J6" i="21"/>
  <c r="J11" i="21" s="1"/>
  <c r="I6" i="21"/>
  <c r="I11" i="21" s="1"/>
  <c r="A127" i="21" l="1"/>
  <c r="A117" i="21"/>
  <c r="G96" i="21"/>
  <c r="F96" i="21"/>
  <c r="E96" i="21"/>
  <c r="G95" i="21"/>
  <c r="F95" i="21"/>
  <c r="E95" i="21"/>
  <c r="G94" i="21"/>
  <c r="F94" i="21"/>
  <c r="E94" i="21"/>
  <c r="G93" i="21"/>
  <c r="F93" i="21"/>
  <c r="E93" i="21"/>
  <c r="G92" i="21"/>
  <c r="F92" i="21"/>
  <c r="E92" i="21"/>
  <c r="G91" i="21"/>
  <c r="F91" i="21"/>
  <c r="E91" i="21"/>
  <c r="G90" i="21"/>
  <c r="F90" i="21"/>
  <c r="E90" i="21"/>
  <c r="G89" i="21"/>
  <c r="F89" i="21"/>
  <c r="E89" i="21"/>
  <c r="G88" i="21"/>
  <c r="F88" i="21"/>
  <c r="E88" i="21"/>
  <c r="G87" i="21"/>
  <c r="F87" i="21"/>
  <c r="E87" i="21"/>
  <c r="L48" i="21"/>
  <c r="F48" i="21"/>
  <c r="L47" i="21"/>
  <c r="F47" i="21"/>
  <c r="L46" i="21"/>
  <c r="F46" i="21"/>
  <c r="L45" i="21"/>
  <c r="F45" i="21"/>
  <c r="L44" i="21"/>
  <c r="F44" i="21"/>
  <c r="E11" i="21"/>
  <c r="D11" i="21"/>
  <c r="C11" i="21"/>
  <c r="L10" i="21"/>
  <c r="F10" i="21"/>
  <c r="L9" i="21"/>
  <c r="F9" i="21"/>
  <c r="L8" i="21"/>
  <c r="F8" i="21"/>
  <c r="L7" i="21"/>
  <c r="F7" i="21"/>
  <c r="L6" i="21"/>
  <c r="L11" i="21" s="1"/>
  <c r="F6" i="21"/>
  <c r="F11" i="21" s="1"/>
  <c r="C5" i="20"/>
  <c r="T29" i="20"/>
  <c r="T31" i="20"/>
  <c r="W26" i="20"/>
  <c r="W24" i="20"/>
  <c r="D5" i="20"/>
  <c r="V21" i="20"/>
  <c r="V23" i="20"/>
  <c r="T6" i="20"/>
  <c r="S6" i="20"/>
  <c r="AB21" i="20"/>
  <c r="AA24" i="20"/>
  <c r="Z23" i="20"/>
  <c r="G5" i="20"/>
  <c r="Z25" i="20"/>
  <c r="Z27" i="20"/>
  <c r="S26" i="20"/>
  <c r="S24" i="20"/>
  <c r="AB30" i="20"/>
  <c r="AB28" i="20"/>
  <c r="AB19" i="20"/>
  <c r="Y29" i="20"/>
  <c r="Y31" i="20"/>
  <c r="X29" i="20"/>
  <c r="U20" i="20"/>
  <c r="T19" i="20"/>
  <c r="M5" i="20"/>
  <c r="V25" i="20"/>
  <c r="V27" i="20"/>
  <c r="Y22" i="20"/>
  <c r="Y20" i="20"/>
  <c r="X30" i="20"/>
  <c r="X28" i="20"/>
  <c r="X19" i="20"/>
  <c r="U29" i="20"/>
  <c r="U31" i="20"/>
  <c r="V28" i="20"/>
  <c r="S31" i="20"/>
  <c r="Y26" i="20"/>
  <c r="J5" i="20"/>
  <c r="X21" i="20"/>
  <c r="X23" i="20"/>
  <c r="Y6" i="20"/>
  <c r="X6" i="20"/>
  <c r="Z26" i="20"/>
  <c r="Z24" i="20"/>
  <c r="F4" i="20"/>
  <c r="W25" i="20"/>
  <c r="W27" i="20"/>
  <c r="X31" i="20"/>
  <c r="W23" i="20"/>
  <c r="E5" i="20"/>
  <c r="J4" i="20"/>
  <c r="T21" i="20"/>
  <c r="T23" i="20"/>
  <c r="AA29" i="20"/>
  <c r="AA31" i="20"/>
  <c r="V26" i="20"/>
  <c r="V24" i="20"/>
  <c r="F5" i="20"/>
  <c r="S25" i="20"/>
  <c r="S27" i="20"/>
  <c r="Z20" i="20"/>
  <c r="D4" i="20"/>
  <c r="U23" i="20"/>
  <c r="AB31" i="20"/>
  <c r="U28" i="20"/>
  <c r="T25" i="20"/>
  <c r="W22" i="20"/>
  <c r="V30" i="20"/>
  <c r="V31" i="20"/>
  <c r="Z30" i="20"/>
  <c r="Z19" i="20"/>
  <c r="W31" i="20"/>
  <c r="AB20" i="20"/>
  <c r="Y21" i="20"/>
  <c r="AB23" i="20"/>
  <c r="U21" i="20"/>
  <c r="I20" i="20"/>
  <c r="J22" i="20"/>
  <c r="AB14" i="20"/>
  <c r="F7" i="20"/>
  <c r="E24" i="20"/>
  <c r="W10" i="20"/>
  <c r="J23" i="20"/>
  <c r="J25" i="20"/>
  <c r="Z15" i="20"/>
  <c r="X14" i="20"/>
  <c r="AB8" i="20"/>
  <c r="E23" i="20"/>
  <c r="E25" i="20"/>
  <c r="C7" i="20"/>
  <c r="T14" i="20"/>
  <c r="S9" i="20"/>
  <c r="L24" i="20"/>
  <c r="L27" i="20"/>
  <c r="W12" i="20"/>
  <c r="Z11" i="20"/>
  <c r="T15" i="20"/>
  <c r="I26" i="20"/>
  <c r="F27" i="20"/>
  <c r="D30" i="20"/>
  <c r="E6" i="20"/>
  <c r="AA8" i="20"/>
  <c r="AB26" i="20"/>
  <c r="AB24" i="20"/>
  <c r="Z6" i="20"/>
  <c r="Y25" i="20"/>
  <c r="Y27" i="20"/>
  <c r="T22" i="20"/>
  <c r="T20" i="20"/>
  <c r="AA30" i="20"/>
  <c r="AA28" i="20"/>
  <c r="AA19" i="20"/>
  <c r="V19" i="20"/>
  <c r="X22" i="20"/>
  <c r="AA25" i="20"/>
  <c r="X26" i="20"/>
  <c r="X24" i="20"/>
  <c r="W6" i="20"/>
  <c r="U25" i="20"/>
  <c r="U27" i="20"/>
  <c r="V6" i="20"/>
  <c r="U6" i="20"/>
  <c r="W30" i="20"/>
  <c r="W28" i="20"/>
  <c r="W19" i="20"/>
  <c r="K5" i="20"/>
  <c r="V29" i="20"/>
  <c r="Y24" i="20"/>
  <c r="T26" i="20"/>
  <c r="T24" i="20"/>
  <c r="K4" i="20"/>
  <c r="AA21" i="20"/>
  <c r="AA23" i="20"/>
  <c r="Z29" i="20"/>
  <c r="Z31" i="20"/>
  <c r="S30" i="20"/>
  <c r="S28" i="20"/>
  <c r="S19" i="20"/>
  <c r="AA26" i="20"/>
  <c r="Z21" i="20"/>
  <c r="AA27" i="20"/>
  <c r="V22" i="20"/>
  <c r="V20" i="20"/>
  <c r="M4" i="20"/>
  <c r="S21" i="20"/>
  <c r="S23" i="20"/>
  <c r="AB25" i="20"/>
  <c r="AB27" i="20"/>
  <c r="U26" i="20"/>
  <c r="U24" i="20"/>
  <c r="Z22" i="20"/>
  <c r="U22" i="20"/>
  <c r="T28" i="20"/>
  <c r="S20" i="20"/>
  <c r="AA6" i="20"/>
  <c r="AB6" i="20"/>
  <c r="Y30" i="20"/>
  <c r="Y28" i="20"/>
  <c r="Y19" i="20"/>
  <c r="X25" i="20"/>
  <c r="X27" i="20"/>
  <c r="AA22" i="20"/>
  <c r="AA20" i="20"/>
  <c r="I4" i="20"/>
  <c r="S29" i="20"/>
  <c r="X20" i="20"/>
  <c r="AB29" i="20"/>
  <c r="U30" i="20"/>
  <c r="U19" i="20"/>
  <c r="T27" i="20"/>
  <c r="W20" i="20"/>
  <c r="W21" i="20"/>
  <c r="S22" i="20"/>
  <c r="Z28" i="20"/>
  <c r="W29" i="20"/>
  <c r="AB22" i="20"/>
  <c r="E4" i="20"/>
  <c r="Y23" i="20"/>
  <c r="T30" i="20"/>
  <c r="L19" i="20"/>
  <c r="F22" i="20"/>
  <c r="V15" i="20"/>
  <c r="T10" i="20"/>
  <c r="T13" i="20"/>
  <c r="V8" i="20"/>
  <c r="I22" i="20"/>
  <c r="D25" i="20"/>
  <c r="AA13" i="20"/>
  <c r="Z17" i="20"/>
  <c r="AA7" i="20"/>
  <c r="K21" i="20"/>
  <c r="G24" i="20"/>
  <c r="U18" i="20"/>
  <c r="AA16" i="20"/>
  <c r="E19" i="20"/>
  <c r="U10" i="20"/>
  <c r="L25" i="20"/>
  <c r="G27" i="20"/>
  <c r="W17" i="20"/>
  <c r="AB12" i="20"/>
  <c r="L31" i="20"/>
  <c r="Y9" i="20"/>
  <c r="D28" i="20"/>
  <c r="K30" i="20"/>
  <c r="AB10" i="20"/>
  <c r="W7" i="20"/>
  <c r="S10" i="20"/>
  <c r="E27" i="20"/>
  <c r="F30" i="20"/>
  <c r="Z12" i="20"/>
  <c r="G19" i="20"/>
  <c r="C24" i="20"/>
  <c r="G26" i="20"/>
  <c r="X9" i="20"/>
  <c r="U15" i="20"/>
  <c r="C30" i="20"/>
  <c r="S8" i="20"/>
  <c r="D26" i="20"/>
  <c r="M28" i="20"/>
  <c r="W18" i="20"/>
  <c r="Y17" i="20"/>
  <c r="Z9" i="20"/>
  <c r="C26" i="20"/>
  <c r="I28" i="20"/>
  <c r="AA18" i="20"/>
  <c r="S16" i="20"/>
  <c r="F29" i="20"/>
  <c r="S12" i="20"/>
  <c r="M20" i="20"/>
  <c r="I27" i="20"/>
  <c r="C6" i="20"/>
  <c r="M22" i="20"/>
  <c r="V11" i="20"/>
  <c r="Y8" i="20"/>
  <c r="M25" i="20"/>
  <c r="AA9" i="20"/>
  <c r="J29" i="20"/>
  <c r="K27" i="20"/>
  <c r="D7" i="20"/>
  <c r="Y12" i="20"/>
  <c r="L22" i="20"/>
  <c r="F24" i="20"/>
  <c r="Y16" i="20"/>
  <c r="Z14" i="20"/>
  <c r="J27" i="20"/>
  <c r="U11" i="20"/>
  <c r="G25" i="20"/>
  <c r="D27" i="20"/>
  <c r="U16" i="20"/>
  <c r="V18" i="20"/>
  <c r="S18" i="20"/>
  <c r="K24" i="20"/>
  <c r="M27" i="20"/>
  <c r="V9" i="20"/>
  <c r="Y15" i="20"/>
  <c r="D24" i="20"/>
  <c r="X11" i="20"/>
  <c r="S15" i="20"/>
  <c r="K26" i="20"/>
  <c r="J28" i="20"/>
  <c r="X18" i="20"/>
  <c r="AB15" i="20"/>
  <c r="Y14" i="20"/>
  <c r="J31" i="20"/>
  <c r="I29" i="20"/>
  <c r="M31" i="20"/>
  <c r="J19" i="20"/>
  <c r="W14" i="20"/>
  <c r="K25" i="20"/>
  <c r="C29" i="20"/>
  <c r="E31" i="20"/>
  <c r="F19" i="20"/>
  <c r="W16" i="20"/>
  <c r="C25" i="20"/>
  <c r="I19" i="20"/>
  <c r="D31" i="20"/>
  <c r="C21" i="20"/>
  <c r="L7" i="20"/>
  <c r="X15" i="20"/>
  <c r="AA12" i="20"/>
  <c r="AB16" i="20"/>
  <c r="C20" i="20"/>
  <c r="M23" i="20"/>
  <c r="V7" i="20"/>
  <c r="E7" i="20"/>
  <c r="W8" i="20"/>
  <c r="F20" i="20"/>
  <c r="I23" i="20"/>
  <c r="X13" i="20"/>
  <c r="Y10" i="20"/>
  <c r="L29" i="20"/>
  <c r="M19" i="20"/>
  <c r="T8" i="20"/>
  <c r="W15" i="20"/>
  <c r="E30" i="20"/>
  <c r="V16" i="20"/>
  <c r="L6" i="20"/>
  <c r="D22" i="20"/>
  <c r="AA10" i="20"/>
  <c r="T9" i="20"/>
  <c r="U7" i="20"/>
  <c r="G6" i="20"/>
  <c r="M21" i="20"/>
  <c r="AA11" i="20"/>
  <c r="X7" i="20"/>
  <c r="K28" i="20"/>
  <c r="V17" i="20"/>
  <c r="G28" i="20"/>
  <c r="G30" i="20"/>
  <c r="I6" i="20"/>
  <c r="T12" i="20"/>
  <c r="T11" i="20"/>
  <c r="K22" i="20"/>
  <c r="G31" i="20"/>
  <c r="K6" i="20"/>
  <c r="D21" i="20"/>
  <c r="AB7" i="20"/>
  <c r="J30" i="20"/>
  <c r="E20" i="20"/>
  <c r="U14" i="20"/>
  <c r="C23" i="20"/>
  <c r="K7" i="20"/>
  <c r="I30" i="20"/>
  <c r="T17" i="20"/>
  <c r="L26" i="20"/>
  <c r="S11" i="20"/>
  <c r="I21" i="20"/>
  <c r="K29" i="20"/>
  <c r="V10" i="20"/>
  <c r="F25" i="20"/>
  <c r="Z13" i="20"/>
  <c r="G23" i="20"/>
  <c r="E28" i="20"/>
  <c r="AB9" i="20"/>
  <c r="I25" i="20"/>
  <c r="U12" i="20"/>
  <c r="K31" i="20"/>
  <c r="T18" i="20"/>
  <c r="I24" i="20"/>
  <c r="S14" i="20"/>
  <c r="I7" i="20"/>
  <c r="J7" i="20"/>
  <c r="M6" i="20"/>
  <c r="K23" i="20"/>
  <c r="J26" i="20"/>
  <c r="V13" i="20"/>
  <c r="AA14" i="20"/>
  <c r="L21" i="20"/>
  <c r="F23" i="20"/>
  <c r="E26" i="20"/>
  <c r="Y11" i="20"/>
  <c r="Z10" i="20"/>
  <c r="L28" i="20"/>
  <c r="U13" i="20"/>
  <c r="Y13" i="20"/>
  <c r="Z7" i="20"/>
  <c r="M26" i="20"/>
  <c r="E29" i="20"/>
  <c r="S7" i="20"/>
  <c r="Z18" i="20"/>
  <c r="D23" i="20"/>
  <c r="G7" i="20"/>
  <c r="G29" i="20"/>
  <c r="D19" i="20"/>
  <c r="U17" i="20"/>
  <c r="AA15" i="20"/>
  <c r="X12" i="20"/>
  <c r="D29" i="20"/>
  <c r="J6" i="20"/>
  <c r="S17" i="20"/>
  <c r="X16" i="20"/>
  <c r="V14" i="20"/>
  <c r="C31" i="20"/>
  <c r="C19" i="20"/>
  <c r="G21" i="20"/>
  <c r="Z16" i="20"/>
  <c r="W13" i="20"/>
  <c r="D6" i="20"/>
  <c r="M7" i="20"/>
  <c r="G22" i="20"/>
  <c r="J24" i="20"/>
  <c r="X8" i="20"/>
  <c r="F21" i="20"/>
  <c r="Y7" i="20"/>
  <c r="J21" i="20"/>
  <c r="L23" i="20"/>
  <c r="X10" i="20"/>
  <c r="M29" i="20"/>
  <c r="I31" i="20"/>
  <c r="K19" i="20"/>
  <c r="Z8" i="20"/>
  <c r="Y18" i="20"/>
  <c r="C27" i="20"/>
  <c r="W11" i="20"/>
  <c r="D20" i="20"/>
  <c r="E22" i="20"/>
  <c r="V12" i="20"/>
  <c r="E21" i="20"/>
  <c r="AB11" i="20"/>
  <c r="J20" i="20"/>
  <c r="C22" i="20"/>
  <c r="U9" i="20"/>
  <c r="T16" i="20"/>
  <c r="M24" i="20"/>
  <c r="X17" i="20"/>
  <c r="F28" i="20"/>
  <c r="F31" i="20"/>
  <c r="T7" i="20"/>
  <c r="AB13" i="20"/>
  <c r="F26" i="20"/>
  <c r="W9" i="20"/>
  <c r="M30" i="20"/>
  <c r="G20" i="20"/>
  <c r="AB17" i="20"/>
  <c r="L30" i="20"/>
  <c r="F6" i="20"/>
  <c r="U8" i="20"/>
  <c r="L20" i="20"/>
  <c r="C28" i="20"/>
  <c r="AA17" i="20"/>
  <c r="K20" i="20"/>
  <c r="S13" i="20"/>
  <c r="AB18" i="20"/>
  <c r="M16" i="20"/>
  <c r="E8" i="20"/>
  <c r="E16" i="20"/>
  <c r="G10" i="20"/>
  <c r="G14" i="20"/>
  <c r="F13" i="20"/>
  <c r="K10" i="20"/>
  <c r="F18" i="20"/>
  <c r="D9" i="20"/>
  <c r="M18" i="20"/>
  <c r="C14" i="20"/>
  <c r="K17" i="20"/>
  <c r="I12" i="20"/>
  <c r="E15" i="20"/>
  <c r="E13" i="20"/>
  <c r="D13" i="20"/>
  <c r="G16" i="20"/>
  <c r="K13" i="20"/>
  <c r="G11" i="20"/>
  <c r="K15" i="20"/>
  <c r="K18" i="20"/>
  <c r="F11" i="20"/>
  <c r="F9" i="20"/>
  <c r="J13" i="20"/>
  <c r="K11" i="20"/>
  <c r="C13" i="20"/>
  <c r="J11" i="20"/>
  <c r="J16" i="20"/>
  <c r="I11" i="20"/>
  <c r="L18" i="20"/>
  <c r="J8" i="20"/>
  <c r="D18" i="20"/>
  <c r="K14" i="20"/>
  <c r="C16" i="20"/>
  <c r="K12" i="20"/>
  <c r="L11" i="20"/>
  <c r="G12" i="20"/>
  <c r="D14" i="20"/>
  <c r="G15" i="20"/>
  <c r="L9" i="20"/>
  <c r="F15" i="20"/>
  <c r="I9" i="20"/>
  <c r="K8" i="20"/>
  <c r="L17" i="20"/>
  <c r="L12" i="20"/>
  <c r="J18" i="20"/>
  <c r="D11" i="20"/>
  <c r="M17" i="20"/>
  <c r="L14" i="20"/>
  <c r="J9" i="20"/>
  <c r="F12" i="20"/>
  <c r="C9" i="20"/>
  <c r="E10" i="20"/>
  <c r="F17" i="20"/>
  <c r="I15" i="20"/>
  <c r="D12" i="20"/>
  <c r="C18" i="20"/>
  <c r="G8" i="20"/>
  <c r="J15" i="20"/>
  <c r="I8" i="20"/>
  <c r="D8" i="20"/>
  <c r="G18" i="20"/>
  <c r="F16" i="20"/>
  <c r="J12" i="20"/>
  <c r="E14" i="20"/>
  <c r="C8" i="20"/>
  <c r="I16" i="20"/>
  <c r="F8" i="20"/>
  <c r="K16" i="20"/>
  <c r="I17" i="20"/>
  <c r="J10" i="20"/>
  <c r="M12" i="20"/>
  <c r="J17" i="20"/>
  <c r="J14" i="20"/>
  <c r="F10" i="20"/>
  <c r="M15" i="20"/>
  <c r="I18" i="20"/>
  <c r="M10" i="20"/>
  <c r="I10" i="20"/>
  <c r="E17" i="20"/>
  <c r="M11" i="20"/>
  <c r="L10" i="20"/>
  <c r="M13" i="20"/>
  <c r="E12" i="20"/>
  <c r="D15" i="20"/>
  <c r="I14" i="20"/>
  <c r="I13" i="20"/>
  <c r="C15" i="20"/>
  <c r="M9" i="20"/>
  <c r="L13" i="20"/>
  <c r="K9" i="20"/>
  <c r="L15" i="20"/>
  <c r="L8" i="20"/>
  <c r="M14" i="20"/>
  <c r="L16" i="20"/>
  <c r="G17" i="20"/>
  <c r="C12" i="20"/>
  <c r="D10" i="20"/>
  <c r="D17" i="20"/>
  <c r="C17" i="20"/>
  <c r="D16" i="20"/>
  <c r="M8" i="20"/>
  <c r="G13" i="20"/>
  <c r="F14" i="20"/>
  <c r="E18" i="20"/>
  <c r="E9" i="20"/>
  <c r="C10" i="20"/>
  <c r="E11" i="20"/>
  <c r="G9" i="20"/>
  <c r="C11" i="20"/>
  <c r="H28" i="20" l="1"/>
  <c r="R28" i="20" s="1"/>
  <c r="H22" i="20"/>
  <c r="H27" i="20"/>
  <c r="O27" i="20" s="1"/>
  <c r="H19" i="20"/>
  <c r="H31" i="20"/>
  <c r="O31" i="20" s="1"/>
  <c r="H23" i="20"/>
  <c r="H20" i="20"/>
  <c r="R20" i="20" s="1"/>
  <c r="H21" i="20"/>
  <c r="H25" i="20"/>
  <c r="Q25" i="20" s="1"/>
  <c r="H29" i="20"/>
  <c r="H6" i="20"/>
  <c r="Q6" i="20" s="1"/>
  <c r="H26" i="20"/>
  <c r="H30" i="20"/>
  <c r="P30" i="20" s="1"/>
  <c r="H24" i="20"/>
  <c r="AB3" i="20"/>
  <c r="AA3" i="20"/>
  <c r="U3" i="20"/>
  <c r="V3" i="20"/>
  <c r="W3" i="20"/>
  <c r="Z3" i="20"/>
  <c r="H7" i="20"/>
  <c r="R7" i="20" s="1"/>
  <c r="H4" i="20"/>
  <c r="P4" i="20" s="1"/>
  <c r="X3" i="20"/>
  <c r="Y3" i="20"/>
  <c r="S3" i="20"/>
  <c r="T3" i="20"/>
  <c r="H5" i="20"/>
  <c r="Q5" i="20" s="1"/>
  <c r="O4" i="20"/>
  <c r="R4" i="20"/>
  <c r="Q4" i="20"/>
  <c r="P31" i="20"/>
  <c r="O19" i="20"/>
  <c r="P19" i="20"/>
  <c r="Q19" i="20"/>
  <c r="R19" i="20"/>
  <c r="Q21" i="20"/>
  <c r="R21" i="20"/>
  <c r="O21" i="20"/>
  <c r="P21" i="20"/>
  <c r="Q29" i="20"/>
  <c r="R29" i="20"/>
  <c r="O29" i="20"/>
  <c r="P29" i="20"/>
  <c r="R24" i="20"/>
  <c r="O24" i="20"/>
  <c r="P24" i="20"/>
  <c r="Q24" i="20"/>
  <c r="P22" i="20"/>
  <c r="Q22" i="20"/>
  <c r="R22" i="20"/>
  <c r="O22" i="20"/>
  <c r="P26" i="20"/>
  <c r="Q26" i="20"/>
  <c r="R26" i="20"/>
  <c r="O26" i="20"/>
  <c r="O23" i="20"/>
  <c r="P23" i="20"/>
  <c r="Q23" i="20"/>
  <c r="R23" i="20"/>
  <c r="E3" i="20"/>
  <c r="C3" i="20"/>
  <c r="K3" i="20"/>
  <c r="L3" i="20"/>
  <c r="I3" i="20"/>
  <c r="D3" i="20"/>
  <c r="M3" i="20"/>
  <c r="J3" i="20"/>
  <c r="G3" i="20"/>
  <c r="F3" i="20"/>
  <c r="H15" i="20"/>
  <c r="H8" i="20"/>
  <c r="H9" i="20"/>
  <c r="H13" i="20"/>
  <c r="H17" i="20"/>
  <c r="H11" i="20"/>
  <c r="H18" i="20"/>
  <c r="H16" i="20"/>
  <c r="H12" i="20"/>
  <c r="H10" i="20"/>
  <c r="H14" i="20"/>
  <c r="I96" i="12"/>
  <c r="I95" i="12"/>
  <c r="I94" i="12"/>
  <c r="I93" i="12"/>
  <c r="I92" i="12"/>
  <c r="I91" i="12"/>
  <c r="I90" i="12"/>
  <c r="I89" i="12"/>
  <c r="I88" i="12"/>
  <c r="I87" i="12"/>
  <c r="K1" i="4"/>
  <c r="R25" i="20" l="1"/>
  <c r="R6" i="20"/>
  <c r="Q30" i="20"/>
  <c r="O7" i="20"/>
  <c r="P27" i="20"/>
  <c r="O28" i="20"/>
  <c r="O20" i="20"/>
  <c r="P7" i="20"/>
  <c r="P6" i="20"/>
  <c r="R27" i="20"/>
  <c r="P25" i="20"/>
  <c r="Q28" i="20"/>
  <c r="O30" i="20"/>
  <c r="Q20" i="20"/>
  <c r="R31" i="20"/>
  <c r="R5" i="20"/>
  <c r="O5" i="20"/>
  <c r="Q7" i="20"/>
  <c r="O6" i="20"/>
  <c r="Q27" i="20"/>
  <c r="O25" i="20"/>
  <c r="P28" i="20"/>
  <c r="R30" i="20"/>
  <c r="P20" i="20"/>
  <c r="Q31" i="20"/>
  <c r="P5" i="20"/>
  <c r="H3" i="20"/>
  <c r="F30" i="50" s="1"/>
  <c r="R16" i="20"/>
  <c r="Q16" i="20"/>
  <c r="O16" i="20"/>
  <c r="P16" i="20"/>
  <c r="R14" i="20"/>
  <c r="Q14" i="20"/>
  <c r="P14" i="20"/>
  <c r="O14" i="20"/>
  <c r="R18" i="20"/>
  <c r="Q18" i="20"/>
  <c r="P18" i="20"/>
  <c r="O18" i="20"/>
  <c r="R9" i="20"/>
  <c r="O9" i="20"/>
  <c r="Q9" i="20"/>
  <c r="P9" i="20"/>
  <c r="R13" i="20"/>
  <c r="Q13" i="20"/>
  <c r="P13" i="20"/>
  <c r="O13" i="20"/>
  <c r="R10" i="20"/>
  <c r="Q10" i="20"/>
  <c r="P10" i="20"/>
  <c r="O10" i="20"/>
  <c r="R11" i="20"/>
  <c r="Q11" i="20"/>
  <c r="O11" i="20"/>
  <c r="P11" i="20"/>
  <c r="R8" i="20"/>
  <c r="Q8" i="20"/>
  <c r="O8" i="20"/>
  <c r="P8" i="20"/>
  <c r="R12" i="20"/>
  <c r="O12" i="20"/>
  <c r="Q12" i="20"/>
  <c r="P12" i="20"/>
  <c r="R17" i="20"/>
  <c r="Q17" i="20"/>
  <c r="P17" i="20"/>
  <c r="O17" i="20"/>
  <c r="R15" i="20"/>
  <c r="O15" i="20"/>
  <c r="Q15" i="20"/>
  <c r="P15" i="20"/>
  <c r="I97" i="12"/>
  <c r="K3" i="4"/>
  <c r="A127" i="12"/>
  <c r="A117" i="12"/>
  <c r="G96" i="12"/>
  <c r="F96" i="12"/>
  <c r="E96" i="12"/>
  <c r="G95" i="12"/>
  <c r="F95" i="12"/>
  <c r="E95" i="12"/>
  <c r="G94" i="12"/>
  <c r="F94" i="12"/>
  <c r="E94" i="12"/>
  <c r="G93" i="12"/>
  <c r="F93" i="12"/>
  <c r="E93" i="12"/>
  <c r="G92" i="12"/>
  <c r="F92" i="12"/>
  <c r="E92" i="12"/>
  <c r="G91" i="12"/>
  <c r="F91" i="12"/>
  <c r="E91" i="12"/>
  <c r="G90" i="12"/>
  <c r="F90" i="12"/>
  <c r="E90" i="12"/>
  <c r="G89" i="12"/>
  <c r="F89" i="12"/>
  <c r="E89" i="12"/>
  <c r="G88" i="12"/>
  <c r="F88" i="12"/>
  <c r="E88" i="12"/>
  <c r="G87" i="12"/>
  <c r="F87" i="12"/>
  <c r="E87" i="12"/>
  <c r="K48" i="12"/>
  <c r="J48" i="12"/>
  <c r="I48" i="12"/>
  <c r="F48" i="12"/>
  <c r="K47" i="12"/>
  <c r="J47" i="12"/>
  <c r="I47" i="12"/>
  <c r="L47" i="12" s="1"/>
  <c r="F47" i="12"/>
  <c r="K46" i="12"/>
  <c r="J46" i="12"/>
  <c r="I46" i="12"/>
  <c r="L46" i="12" s="1"/>
  <c r="F46" i="12"/>
  <c r="K45" i="12"/>
  <c r="J45" i="12"/>
  <c r="I45" i="12"/>
  <c r="L45" i="12" s="1"/>
  <c r="F45" i="12"/>
  <c r="K44" i="12"/>
  <c r="J44" i="12"/>
  <c r="I44" i="12"/>
  <c r="F44" i="12"/>
  <c r="E11" i="12"/>
  <c r="D11" i="12"/>
  <c r="C11" i="12"/>
  <c r="K10" i="12"/>
  <c r="J10" i="12"/>
  <c r="I10" i="12"/>
  <c r="L10" i="12" s="1"/>
  <c r="F10" i="12"/>
  <c r="K9" i="12"/>
  <c r="J9" i="12"/>
  <c r="I9" i="12"/>
  <c r="L9" i="12" s="1"/>
  <c r="F9" i="12"/>
  <c r="K8" i="12"/>
  <c r="J8" i="12"/>
  <c r="I8" i="12"/>
  <c r="L8" i="12" s="1"/>
  <c r="F8" i="12"/>
  <c r="K7" i="12"/>
  <c r="J7" i="12"/>
  <c r="I7" i="12"/>
  <c r="F7" i="12"/>
  <c r="K6" i="12"/>
  <c r="K11" i="12" s="1"/>
  <c r="J6" i="12"/>
  <c r="J11" i="12" s="1"/>
  <c r="I6" i="12"/>
  <c r="I11" i="12" s="1"/>
  <c r="F6" i="12"/>
  <c r="F11" i="12" s="1"/>
  <c r="G30" i="50" l="1"/>
  <c r="D30" i="50"/>
  <c r="E30" i="50"/>
  <c r="O3" i="20"/>
  <c r="D31" i="50" s="1"/>
  <c r="Q3" i="20"/>
  <c r="F31" i="50" s="1"/>
  <c r="R3" i="20"/>
  <c r="G31" i="50" s="1"/>
  <c r="P3" i="20"/>
  <c r="E31" i="50" s="1"/>
  <c r="L44" i="12"/>
  <c r="L48" i="12"/>
  <c r="L7" i="12"/>
  <c r="L6" i="12"/>
  <c r="L11" i="12" s="1"/>
  <c r="B247" i="9" l="1"/>
  <c r="B246" i="9"/>
  <c r="B245" i="9"/>
  <c r="B244" i="9"/>
  <c r="B243" i="9"/>
  <c r="B242" i="9"/>
  <c r="B241" i="9"/>
  <c r="B240" i="9"/>
  <c r="A240" i="9"/>
  <c r="A241" i="9" s="1"/>
  <c r="A242" i="9" s="1"/>
  <c r="A243" i="9" s="1"/>
  <c r="A244" i="9" s="1"/>
  <c r="A245" i="9" s="1"/>
  <c r="A246" i="9" s="1"/>
  <c r="A247" i="9" s="1"/>
  <c r="B239" i="9"/>
  <c r="B238" i="9"/>
  <c r="B237" i="9"/>
  <c r="B236" i="9"/>
  <c r="B235" i="9"/>
  <c r="B234" i="9"/>
  <c r="B233" i="9"/>
  <c r="B232" i="9"/>
  <c r="A232" i="9"/>
  <c r="A233" i="9" s="1"/>
  <c r="A234" i="9" s="1"/>
  <c r="A235" i="9" s="1"/>
  <c r="A236" i="9" s="1"/>
  <c r="A237" i="9" s="1"/>
  <c r="A238" i="9" s="1"/>
  <c r="A239" i="9" s="1"/>
  <c r="B231" i="9"/>
  <c r="B230" i="9"/>
  <c r="B229" i="9"/>
  <c r="B228" i="9"/>
  <c r="B227" i="9"/>
  <c r="B226" i="9"/>
  <c r="B225" i="9"/>
  <c r="B224" i="9"/>
  <c r="A224" i="9"/>
  <c r="A225" i="9" s="1"/>
  <c r="A226" i="9" s="1"/>
  <c r="A227" i="9" s="1"/>
  <c r="A228" i="9" s="1"/>
  <c r="A229" i="9" s="1"/>
  <c r="A230" i="9" s="1"/>
  <c r="A231" i="9" s="1"/>
  <c r="B223" i="9"/>
  <c r="B222" i="9"/>
  <c r="B221" i="9"/>
  <c r="B220" i="9"/>
  <c r="B219" i="9"/>
  <c r="B218" i="9"/>
  <c r="B217" i="9"/>
  <c r="B216" i="9"/>
  <c r="A216" i="9"/>
  <c r="A217" i="9" s="1"/>
  <c r="A218" i="9" s="1"/>
  <c r="A219" i="9" s="1"/>
  <c r="A220" i="9" s="1"/>
  <c r="A221" i="9" s="1"/>
  <c r="A222" i="9" s="1"/>
  <c r="A223" i="9" s="1"/>
  <c r="B215" i="9"/>
  <c r="B214" i="9"/>
  <c r="B213" i="9"/>
  <c r="B212" i="9"/>
  <c r="B211" i="9"/>
  <c r="B210" i="9"/>
  <c r="B209" i="9"/>
  <c r="B208" i="9"/>
  <c r="A208" i="9"/>
  <c r="A209" i="9" s="1"/>
  <c r="A210" i="9" s="1"/>
  <c r="A211" i="9" s="1"/>
  <c r="A212" i="9" s="1"/>
  <c r="A213" i="9" s="1"/>
  <c r="A214" i="9" s="1"/>
  <c r="A215" i="9" s="1"/>
  <c r="B207" i="9"/>
  <c r="B206" i="9"/>
  <c r="B205" i="9"/>
  <c r="B204" i="9"/>
  <c r="B203" i="9"/>
  <c r="B202" i="9"/>
  <c r="B201" i="9"/>
  <c r="B200" i="9"/>
  <c r="A200" i="9"/>
  <c r="A201" i="9" s="1"/>
  <c r="A202" i="9" s="1"/>
  <c r="A203" i="9" s="1"/>
  <c r="A204" i="9" s="1"/>
  <c r="A205" i="9" s="1"/>
  <c r="A206" i="9" s="1"/>
  <c r="A207" i="9" s="1"/>
  <c r="B199" i="9"/>
  <c r="B198" i="9"/>
  <c r="B197" i="9"/>
  <c r="B196" i="9"/>
  <c r="B195" i="9"/>
  <c r="B194" i="9"/>
  <c r="B193" i="9"/>
  <c r="B192" i="9"/>
  <c r="A192" i="9"/>
  <c r="A193" i="9" s="1"/>
  <c r="A194" i="9" s="1"/>
  <c r="A195" i="9" s="1"/>
  <c r="A196" i="9" s="1"/>
  <c r="A197" i="9" s="1"/>
  <c r="A198" i="9" s="1"/>
  <c r="A199" i="9" s="1"/>
  <c r="B191" i="9"/>
  <c r="B190" i="9"/>
  <c r="B189" i="9"/>
  <c r="B188" i="9"/>
  <c r="B187" i="9"/>
  <c r="B186" i="9"/>
  <c r="B185" i="9"/>
  <c r="B184" i="9"/>
  <c r="A184" i="9"/>
  <c r="A185" i="9" s="1"/>
  <c r="A186" i="9" s="1"/>
  <c r="A187" i="9" s="1"/>
  <c r="A188" i="9" s="1"/>
  <c r="A189" i="9" s="1"/>
  <c r="A190" i="9" s="1"/>
  <c r="A191" i="9" s="1"/>
  <c r="B183" i="9"/>
  <c r="B182" i="9"/>
  <c r="B181" i="9"/>
  <c r="B180" i="9"/>
  <c r="B179" i="9"/>
  <c r="B178" i="9"/>
  <c r="B177" i="9"/>
  <c r="B176" i="9"/>
  <c r="A176" i="9"/>
  <c r="A177" i="9" s="1"/>
  <c r="A178" i="9" s="1"/>
  <c r="A179" i="9" s="1"/>
  <c r="A180" i="9" s="1"/>
  <c r="A181" i="9" s="1"/>
  <c r="A182" i="9" s="1"/>
  <c r="A183" i="9" s="1"/>
  <c r="B175" i="9"/>
  <c r="B174" i="9"/>
  <c r="B173" i="9"/>
  <c r="B172" i="9"/>
  <c r="B171" i="9"/>
  <c r="B170" i="9"/>
  <c r="B169" i="9"/>
  <c r="B168" i="9"/>
  <c r="A168" i="9"/>
  <c r="A169" i="9" s="1"/>
  <c r="A170" i="9" s="1"/>
  <c r="A171" i="9" s="1"/>
  <c r="A172" i="9" s="1"/>
  <c r="A173" i="9" s="1"/>
  <c r="A174" i="9" s="1"/>
  <c r="A175" i="9" s="1"/>
  <c r="B167" i="9"/>
  <c r="B166" i="9"/>
  <c r="B165" i="9"/>
  <c r="B164" i="9"/>
  <c r="B163" i="9"/>
  <c r="B162" i="9"/>
  <c r="B161" i="9"/>
  <c r="B160" i="9"/>
  <c r="A160" i="9"/>
  <c r="A161" i="9" s="1"/>
  <c r="A162" i="9" s="1"/>
  <c r="A163" i="9" s="1"/>
  <c r="A164" i="9" s="1"/>
  <c r="A165" i="9" s="1"/>
  <c r="A166" i="9" s="1"/>
  <c r="A167" i="9" s="1"/>
  <c r="B159" i="9"/>
  <c r="B158" i="9"/>
  <c r="B157" i="9"/>
  <c r="B156" i="9"/>
  <c r="B155" i="9"/>
  <c r="B154" i="9"/>
  <c r="B153" i="9"/>
  <c r="B152" i="9"/>
  <c r="A152" i="9"/>
  <c r="A153" i="9" s="1"/>
  <c r="A154" i="9" s="1"/>
  <c r="A155" i="9" s="1"/>
  <c r="A156" i="9" s="1"/>
  <c r="A157" i="9" s="1"/>
  <c r="A158" i="9" s="1"/>
  <c r="A159" i="9" s="1"/>
  <c r="B151" i="9"/>
  <c r="B150" i="9"/>
  <c r="B149" i="9"/>
  <c r="B148" i="9"/>
  <c r="B147" i="9"/>
  <c r="B146" i="9"/>
  <c r="B145" i="9"/>
  <c r="B144" i="9"/>
  <c r="A144" i="9"/>
  <c r="A145" i="9" s="1"/>
  <c r="A146" i="9" s="1"/>
  <c r="A147" i="9" s="1"/>
  <c r="A148" i="9" s="1"/>
  <c r="A149" i="9" s="1"/>
  <c r="A150" i="9" s="1"/>
  <c r="A151" i="9" s="1"/>
  <c r="B143" i="9"/>
  <c r="B142" i="9"/>
  <c r="B141" i="9"/>
  <c r="B140" i="9"/>
  <c r="B139" i="9"/>
  <c r="B138" i="9"/>
  <c r="B137" i="9"/>
  <c r="B136" i="9"/>
  <c r="A136" i="9"/>
  <c r="A137" i="9" s="1"/>
  <c r="A138" i="9" s="1"/>
  <c r="A139" i="9" s="1"/>
  <c r="A140" i="9" s="1"/>
  <c r="A141" i="9" s="1"/>
  <c r="A142" i="9" s="1"/>
  <c r="A143" i="9" s="1"/>
  <c r="B135" i="9"/>
  <c r="B134" i="9"/>
  <c r="B133" i="9"/>
  <c r="B132" i="9"/>
  <c r="B131" i="9"/>
  <c r="B130" i="9"/>
  <c r="B129" i="9"/>
  <c r="B128" i="9"/>
  <c r="A128" i="9"/>
  <c r="A129" i="9" s="1"/>
  <c r="A130" i="9" s="1"/>
  <c r="A131" i="9" s="1"/>
  <c r="A132" i="9" s="1"/>
  <c r="A133" i="9" s="1"/>
  <c r="A134" i="9" s="1"/>
  <c r="A135" i="9" s="1"/>
  <c r="B127" i="9"/>
  <c r="B126" i="9"/>
  <c r="B125" i="9"/>
  <c r="B124" i="9"/>
  <c r="B123" i="9"/>
  <c r="B122" i="9"/>
  <c r="B121" i="9"/>
  <c r="B120" i="9"/>
  <c r="A120" i="9"/>
  <c r="A121" i="9" s="1"/>
  <c r="A122" i="9" s="1"/>
  <c r="A123" i="9" s="1"/>
  <c r="A124" i="9" s="1"/>
  <c r="A125" i="9" s="1"/>
  <c r="A126" i="9" s="1"/>
  <c r="A127" i="9" s="1"/>
  <c r="B119" i="9"/>
  <c r="B118" i="9"/>
  <c r="B117" i="9"/>
  <c r="B116" i="9"/>
  <c r="B115" i="9"/>
  <c r="B114" i="9"/>
  <c r="B113" i="9"/>
  <c r="B112" i="9"/>
  <c r="A112" i="9"/>
  <c r="A113" i="9" s="1"/>
  <c r="A114" i="9" s="1"/>
  <c r="A115" i="9" s="1"/>
  <c r="A116" i="9" s="1"/>
  <c r="A117" i="9" s="1"/>
  <c r="A118" i="9" s="1"/>
  <c r="A119" i="9" s="1"/>
  <c r="B111" i="9"/>
  <c r="B110" i="9"/>
  <c r="B109" i="9"/>
  <c r="B108" i="9"/>
  <c r="B107" i="9"/>
  <c r="B106" i="9"/>
  <c r="B105" i="9"/>
  <c r="B104" i="9"/>
  <c r="A104" i="9"/>
  <c r="A105" i="9" s="1"/>
  <c r="A106" i="9" s="1"/>
  <c r="A107" i="9" s="1"/>
  <c r="A108" i="9" s="1"/>
  <c r="A109" i="9" s="1"/>
  <c r="A110" i="9" s="1"/>
  <c r="A111" i="9" s="1"/>
  <c r="B103" i="9"/>
  <c r="B102" i="9"/>
  <c r="B101" i="9"/>
  <c r="B100" i="9"/>
  <c r="B99" i="9"/>
  <c r="B98" i="9"/>
  <c r="B97" i="9"/>
  <c r="B96" i="9"/>
  <c r="A96" i="9"/>
  <c r="A97" i="9" s="1"/>
  <c r="A98" i="9" s="1"/>
  <c r="A99" i="9" s="1"/>
  <c r="A100" i="9" s="1"/>
  <c r="A101" i="9" s="1"/>
  <c r="A102" i="9" s="1"/>
  <c r="A103" i="9" s="1"/>
  <c r="B95" i="9"/>
  <c r="B94" i="9"/>
  <c r="B93" i="9"/>
  <c r="B92" i="9"/>
  <c r="B91" i="9"/>
  <c r="B90" i="9"/>
  <c r="B89" i="9"/>
  <c r="B88" i="9"/>
  <c r="A88" i="9"/>
  <c r="A89" i="9" s="1"/>
  <c r="A90" i="9" s="1"/>
  <c r="A91" i="9" s="1"/>
  <c r="A92" i="9" s="1"/>
  <c r="A93" i="9" s="1"/>
  <c r="A94" i="9" s="1"/>
  <c r="A95" i="9" s="1"/>
  <c r="B87" i="9"/>
  <c r="B86" i="9"/>
  <c r="B85" i="9"/>
  <c r="B84" i="9"/>
  <c r="B83" i="9"/>
  <c r="B82" i="9"/>
  <c r="B81" i="9"/>
  <c r="B80" i="9"/>
  <c r="A80" i="9"/>
  <c r="A81" i="9" s="1"/>
  <c r="A82" i="9" s="1"/>
  <c r="A83" i="9" s="1"/>
  <c r="A84" i="9" s="1"/>
  <c r="A85" i="9" s="1"/>
  <c r="A86" i="9" s="1"/>
  <c r="A87" i="9" s="1"/>
  <c r="B79" i="9"/>
  <c r="B78" i="9"/>
  <c r="B77" i="9"/>
  <c r="B76" i="9"/>
  <c r="B75" i="9"/>
  <c r="B74" i="9"/>
  <c r="B73" i="9"/>
  <c r="A73" i="9"/>
  <c r="A74" i="9" s="1"/>
  <c r="A75" i="9" s="1"/>
  <c r="A76" i="9" s="1"/>
  <c r="A77" i="9" s="1"/>
  <c r="A78" i="9" s="1"/>
  <c r="A79" i="9" s="1"/>
  <c r="B72" i="9"/>
  <c r="A72" i="9"/>
  <c r="B71" i="9"/>
  <c r="B70" i="9"/>
  <c r="B69" i="9"/>
  <c r="B68" i="9"/>
  <c r="B67" i="9"/>
  <c r="B66" i="9"/>
  <c r="B65" i="9"/>
  <c r="B64" i="9"/>
  <c r="A64" i="9"/>
  <c r="A65" i="9" s="1"/>
  <c r="A66" i="9" s="1"/>
  <c r="A67" i="9" s="1"/>
  <c r="A68" i="9" s="1"/>
  <c r="A69" i="9" s="1"/>
  <c r="A70" i="9" s="1"/>
  <c r="A71" i="9" s="1"/>
  <c r="B63" i="9"/>
  <c r="B62" i="9"/>
  <c r="B61" i="9"/>
  <c r="B60" i="9"/>
  <c r="B59" i="9"/>
  <c r="B58" i="9"/>
  <c r="B57" i="9"/>
  <c r="A57" i="9"/>
  <c r="A58" i="9" s="1"/>
  <c r="A59" i="9" s="1"/>
  <c r="A60" i="9" s="1"/>
  <c r="A61" i="9" s="1"/>
  <c r="A62" i="9" s="1"/>
  <c r="A63" i="9" s="1"/>
  <c r="B56" i="9"/>
  <c r="A56" i="9"/>
  <c r="B55" i="9"/>
  <c r="B54" i="9"/>
  <c r="B53" i="9"/>
  <c r="B52" i="9"/>
  <c r="B51" i="9"/>
  <c r="B50" i="9"/>
  <c r="B49" i="9"/>
  <c r="B48" i="9"/>
  <c r="A48" i="9"/>
  <c r="A49" i="9" s="1"/>
  <c r="A50" i="9" s="1"/>
  <c r="A51" i="9" s="1"/>
  <c r="A52" i="9" s="1"/>
  <c r="A53" i="9" s="1"/>
  <c r="A54" i="9" s="1"/>
  <c r="A55" i="9" s="1"/>
  <c r="B47" i="9"/>
  <c r="B46" i="9"/>
  <c r="B45" i="9"/>
  <c r="B44" i="9"/>
  <c r="B43" i="9"/>
  <c r="B42" i="9"/>
  <c r="B41" i="9"/>
  <c r="A41" i="9"/>
  <c r="A42" i="9" s="1"/>
  <c r="A43" i="9" s="1"/>
  <c r="A44" i="9" s="1"/>
  <c r="A45" i="9" s="1"/>
  <c r="A46" i="9" s="1"/>
  <c r="A47" i="9" s="1"/>
  <c r="B40" i="9"/>
  <c r="A40" i="9"/>
  <c r="B39" i="9"/>
  <c r="B38" i="9"/>
  <c r="B37" i="9"/>
  <c r="B36" i="9"/>
  <c r="B35" i="9"/>
  <c r="B34" i="9"/>
  <c r="B33" i="9"/>
  <c r="B32" i="9"/>
  <c r="A32" i="9"/>
  <c r="A33" i="9" s="1"/>
  <c r="A34" i="9" s="1"/>
  <c r="A35" i="9" s="1"/>
  <c r="A36" i="9" s="1"/>
  <c r="A37" i="9" s="1"/>
  <c r="A38" i="9" s="1"/>
  <c r="A39" i="9" s="1"/>
  <c r="B31" i="9"/>
  <c r="B30" i="9"/>
  <c r="B29" i="9"/>
  <c r="B28" i="9"/>
  <c r="B27" i="9"/>
  <c r="B26" i="9"/>
  <c r="B25" i="9"/>
  <c r="B24" i="9"/>
  <c r="A24" i="9"/>
  <c r="A25" i="9" s="1"/>
  <c r="A26" i="9" s="1"/>
  <c r="A27" i="9" s="1"/>
  <c r="A28" i="9" s="1"/>
  <c r="A29" i="9" s="1"/>
  <c r="A30" i="9" s="1"/>
  <c r="A31" i="9" s="1"/>
  <c r="B23" i="9"/>
  <c r="B22" i="9"/>
  <c r="B21" i="9"/>
  <c r="B20" i="9"/>
  <c r="B19" i="9"/>
  <c r="B18" i="9"/>
  <c r="B17" i="9"/>
  <c r="B16" i="9"/>
  <c r="A16" i="9"/>
  <c r="A17" i="9" s="1"/>
  <c r="A18" i="9" s="1"/>
  <c r="A19" i="9" s="1"/>
  <c r="A20" i="9" s="1"/>
  <c r="A21" i="9" s="1"/>
  <c r="A22" i="9" s="1"/>
  <c r="A23" i="9" s="1"/>
  <c r="B15" i="9"/>
  <c r="B14" i="9"/>
  <c r="B13" i="9"/>
  <c r="B12" i="9"/>
  <c r="B11" i="9"/>
  <c r="B10" i="9"/>
  <c r="B9" i="9"/>
  <c r="B8" i="9"/>
  <c r="A8" i="9"/>
  <c r="A9" i="9" s="1"/>
  <c r="A10" i="9" s="1"/>
  <c r="A11" i="9" s="1"/>
  <c r="A12" i="9" s="1"/>
  <c r="A13" i="9" s="1"/>
  <c r="A14" i="9" s="1"/>
  <c r="A15" i="9" s="1"/>
</calcChain>
</file>

<file path=xl/comments1.xml><?xml version="1.0" encoding="utf-8"?>
<comments xmlns="http://schemas.openxmlformats.org/spreadsheetml/2006/main">
  <authors>
    <author>Csob</author>
  </authors>
  <commentList>
    <comment ref="A16" authorId="0">
      <text>
        <r>
          <rPr>
            <b/>
            <sz val="9"/>
            <color indexed="81"/>
            <rFont val="Tahoma"/>
            <family val="2"/>
          </rPr>
          <t>Only select one</t>
        </r>
        <r>
          <rPr>
            <sz val="9"/>
            <color indexed="81"/>
            <rFont val="Tahoma"/>
            <family val="2"/>
          </rPr>
          <t xml:space="preserve">
</t>
        </r>
      </text>
    </comment>
    <comment ref="A30" authorId="0">
      <text>
        <r>
          <rPr>
            <b/>
            <sz val="9"/>
            <color indexed="81"/>
            <rFont val="Tahoma"/>
            <family val="2"/>
          </rPr>
          <t>Only select one</t>
        </r>
        <r>
          <rPr>
            <sz val="9"/>
            <color indexed="81"/>
            <rFont val="Tahoma"/>
            <family val="2"/>
          </rPr>
          <t xml:space="preserve">
</t>
        </r>
      </text>
    </comment>
    <comment ref="A34" authorId="0">
      <text>
        <r>
          <rPr>
            <b/>
            <sz val="9"/>
            <color indexed="81"/>
            <rFont val="Tahoma"/>
            <family val="2"/>
          </rPr>
          <t>Only select one</t>
        </r>
        <r>
          <rPr>
            <sz val="9"/>
            <color indexed="81"/>
            <rFont val="Tahoma"/>
            <family val="2"/>
          </rPr>
          <t xml:space="preserve">
</t>
        </r>
      </text>
    </comment>
    <comment ref="A38" authorId="0">
      <text>
        <r>
          <rPr>
            <b/>
            <sz val="9"/>
            <color indexed="81"/>
            <rFont val="Tahoma"/>
            <family val="2"/>
          </rPr>
          <t>Only select one</t>
        </r>
        <r>
          <rPr>
            <sz val="9"/>
            <color indexed="81"/>
            <rFont val="Tahoma"/>
            <family val="2"/>
          </rPr>
          <t xml:space="preserve">
</t>
        </r>
      </text>
    </comment>
    <comment ref="A51" authorId="0">
      <text>
        <r>
          <rPr>
            <b/>
            <sz val="9"/>
            <color indexed="81"/>
            <rFont val="Tahoma"/>
            <family val="2"/>
          </rPr>
          <t>Only select one</t>
        </r>
        <r>
          <rPr>
            <sz val="9"/>
            <color indexed="81"/>
            <rFont val="Tahoma"/>
            <family val="2"/>
          </rPr>
          <t xml:space="preserve">
</t>
        </r>
      </text>
    </comment>
    <comment ref="A55" authorId="0">
      <text>
        <r>
          <rPr>
            <b/>
            <sz val="9"/>
            <color indexed="81"/>
            <rFont val="Tahoma"/>
            <family val="2"/>
          </rPr>
          <t>Only select one</t>
        </r>
        <r>
          <rPr>
            <sz val="9"/>
            <color indexed="81"/>
            <rFont val="Tahoma"/>
            <family val="2"/>
          </rPr>
          <t xml:space="preserve">
</t>
        </r>
      </text>
    </comment>
    <comment ref="A59" authorId="0">
      <text>
        <r>
          <rPr>
            <b/>
            <sz val="9"/>
            <color indexed="81"/>
            <rFont val="Tahoma"/>
            <family val="2"/>
          </rPr>
          <t>Only select one</t>
        </r>
        <r>
          <rPr>
            <sz val="9"/>
            <color indexed="81"/>
            <rFont val="Tahoma"/>
            <family val="2"/>
          </rPr>
          <t xml:space="preserve">
</t>
        </r>
      </text>
    </comment>
    <comment ref="A63" authorId="0">
      <text>
        <r>
          <rPr>
            <b/>
            <sz val="9"/>
            <color indexed="81"/>
            <rFont val="Tahoma"/>
            <family val="2"/>
          </rPr>
          <t>Only select one</t>
        </r>
        <r>
          <rPr>
            <sz val="9"/>
            <color indexed="81"/>
            <rFont val="Tahoma"/>
            <family val="2"/>
          </rPr>
          <t xml:space="preserve">
</t>
        </r>
      </text>
    </comment>
    <comment ref="A70" authorId="0">
      <text>
        <r>
          <rPr>
            <b/>
            <sz val="9"/>
            <color indexed="81"/>
            <rFont val="Tahoma"/>
            <family val="2"/>
          </rPr>
          <t>Only select one</t>
        </r>
        <r>
          <rPr>
            <sz val="9"/>
            <color indexed="81"/>
            <rFont val="Tahoma"/>
            <family val="2"/>
          </rPr>
          <t xml:space="preserve">
</t>
        </r>
      </text>
    </comment>
    <comment ref="A76" authorId="0">
      <text>
        <r>
          <rPr>
            <b/>
            <sz val="9"/>
            <color indexed="81"/>
            <rFont val="Tahoma"/>
            <family val="2"/>
          </rPr>
          <t>Only select one</t>
        </r>
        <r>
          <rPr>
            <sz val="9"/>
            <color indexed="81"/>
            <rFont val="Tahoma"/>
            <family val="2"/>
          </rPr>
          <t xml:space="preserve">
</t>
        </r>
      </text>
    </comment>
  </commentList>
</comments>
</file>

<file path=xl/comments2.xml><?xml version="1.0" encoding="utf-8"?>
<comments xmlns="http://schemas.openxmlformats.org/spreadsheetml/2006/main">
  <authors>
    <author>Csob</author>
  </authors>
  <commentList>
    <comment ref="A16" authorId="0">
      <text>
        <r>
          <rPr>
            <b/>
            <sz val="9"/>
            <color indexed="81"/>
            <rFont val="Tahoma"/>
            <family val="2"/>
          </rPr>
          <t>Only select one</t>
        </r>
        <r>
          <rPr>
            <sz val="9"/>
            <color indexed="81"/>
            <rFont val="Tahoma"/>
            <family val="2"/>
          </rPr>
          <t xml:space="preserve">
</t>
        </r>
      </text>
    </comment>
    <comment ref="A30" authorId="0">
      <text>
        <r>
          <rPr>
            <b/>
            <sz val="9"/>
            <color indexed="81"/>
            <rFont val="Tahoma"/>
            <family val="2"/>
          </rPr>
          <t>Only select one</t>
        </r>
        <r>
          <rPr>
            <sz val="9"/>
            <color indexed="81"/>
            <rFont val="Tahoma"/>
            <family val="2"/>
          </rPr>
          <t xml:space="preserve">
</t>
        </r>
      </text>
    </comment>
    <comment ref="A34" authorId="0">
      <text>
        <r>
          <rPr>
            <b/>
            <sz val="9"/>
            <color indexed="81"/>
            <rFont val="Tahoma"/>
            <family val="2"/>
          </rPr>
          <t>Only select one</t>
        </r>
        <r>
          <rPr>
            <sz val="9"/>
            <color indexed="81"/>
            <rFont val="Tahoma"/>
            <family val="2"/>
          </rPr>
          <t xml:space="preserve">
</t>
        </r>
      </text>
    </comment>
    <comment ref="A38" authorId="0">
      <text>
        <r>
          <rPr>
            <b/>
            <sz val="9"/>
            <color indexed="81"/>
            <rFont val="Tahoma"/>
            <family val="2"/>
          </rPr>
          <t>Only select one</t>
        </r>
        <r>
          <rPr>
            <sz val="9"/>
            <color indexed="81"/>
            <rFont val="Tahoma"/>
            <family val="2"/>
          </rPr>
          <t xml:space="preserve">
</t>
        </r>
      </text>
    </comment>
    <comment ref="A51" authorId="0">
      <text>
        <r>
          <rPr>
            <b/>
            <sz val="9"/>
            <color indexed="81"/>
            <rFont val="Tahoma"/>
            <family val="2"/>
          </rPr>
          <t>Only select one</t>
        </r>
        <r>
          <rPr>
            <sz val="9"/>
            <color indexed="81"/>
            <rFont val="Tahoma"/>
            <family val="2"/>
          </rPr>
          <t xml:space="preserve">
</t>
        </r>
      </text>
    </comment>
    <comment ref="A55" authorId="0">
      <text>
        <r>
          <rPr>
            <b/>
            <sz val="9"/>
            <color indexed="81"/>
            <rFont val="Tahoma"/>
            <family val="2"/>
          </rPr>
          <t>Only select one</t>
        </r>
        <r>
          <rPr>
            <sz val="9"/>
            <color indexed="81"/>
            <rFont val="Tahoma"/>
            <family val="2"/>
          </rPr>
          <t xml:space="preserve">
</t>
        </r>
      </text>
    </comment>
    <comment ref="A59" authorId="0">
      <text>
        <r>
          <rPr>
            <b/>
            <sz val="9"/>
            <color indexed="81"/>
            <rFont val="Tahoma"/>
            <family val="2"/>
          </rPr>
          <t>Only select one</t>
        </r>
        <r>
          <rPr>
            <sz val="9"/>
            <color indexed="81"/>
            <rFont val="Tahoma"/>
            <family val="2"/>
          </rPr>
          <t xml:space="preserve">
</t>
        </r>
      </text>
    </comment>
    <comment ref="A63" authorId="0">
      <text>
        <r>
          <rPr>
            <b/>
            <sz val="9"/>
            <color indexed="81"/>
            <rFont val="Tahoma"/>
            <family val="2"/>
          </rPr>
          <t>Only select one</t>
        </r>
        <r>
          <rPr>
            <sz val="9"/>
            <color indexed="81"/>
            <rFont val="Tahoma"/>
            <family val="2"/>
          </rPr>
          <t xml:space="preserve">
</t>
        </r>
      </text>
    </comment>
    <comment ref="A70" authorId="0">
      <text>
        <r>
          <rPr>
            <b/>
            <sz val="9"/>
            <color indexed="81"/>
            <rFont val="Tahoma"/>
            <family val="2"/>
          </rPr>
          <t>Only select one</t>
        </r>
        <r>
          <rPr>
            <sz val="9"/>
            <color indexed="81"/>
            <rFont val="Tahoma"/>
            <family val="2"/>
          </rPr>
          <t xml:space="preserve">
</t>
        </r>
      </text>
    </comment>
    <comment ref="A76" authorId="0">
      <text>
        <r>
          <rPr>
            <b/>
            <sz val="9"/>
            <color indexed="81"/>
            <rFont val="Tahoma"/>
            <family val="2"/>
          </rPr>
          <t>Only select one</t>
        </r>
        <r>
          <rPr>
            <sz val="9"/>
            <color indexed="81"/>
            <rFont val="Tahoma"/>
            <family val="2"/>
          </rPr>
          <t xml:space="preserve">
</t>
        </r>
      </text>
    </comment>
  </commentList>
</comments>
</file>

<file path=xl/comments3.xml><?xml version="1.0" encoding="utf-8"?>
<comments xmlns="http://schemas.openxmlformats.org/spreadsheetml/2006/main">
  <authors>
    <author>Csob</author>
    <author>vince gopez</author>
  </authors>
  <commentList>
    <comment ref="A16" authorId="0">
      <text>
        <r>
          <rPr>
            <b/>
            <sz val="9"/>
            <color indexed="81"/>
            <rFont val="Tahoma"/>
            <family val="2"/>
          </rPr>
          <t>Only select one</t>
        </r>
        <r>
          <rPr>
            <sz val="9"/>
            <color indexed="81"/>
            <rFont val="Tahoma"/>
            <family val="2"/>
          </rPr>
          <t xml:space="preserve">
</t>
        </r>
      </text>
    </comment>
    <comment ref="A30" authorId="0">
      <text>
        <r>
          <rPr>
            <b/>
            <sz val="9"/>
            <color indexed="81"/>
            <rFont val="Tahoma"/>
            <family val="2"/>
          </rPr>
          <t>Only select one</t>
        </r>
        <r>
          <rPr>
            <sz val="9"/>
            <color indexed="81"/>
            <rFont val="Tahoma"/>
            <family val="2"/>
          </rPr>
          <t xml:space="preserve">
</t>
        </r>
      </text>
    </comment>
    <comment ref="A34" authorId="0">
      <text>
        <r>
          <rPr>
            <b/>
            <sz val="9"/>
            <color indexed="81"/>
            <rFont val="Tahoma"/>
            <family val="2"/>
          </rPr>
          <t>Only select one</t>
        </r>
        <r>
          <rPr>
            <sz val="9"/>
            <color indexed="81"/>
            <rFont val="Tahoma"/>
            <family val="2"/>
          </rPr>
          <t xml:space="preserve">
</t>
        </r>
      </text>
    </comment>
    <comment ref="A38" authorId="0">
      <text>
        <r>
          <rPr>
            <b/>
            <sz val="9"/>
            <color indexed="81"/>
            <rFont val="Tahoma"/>
            <family val="2"/>
          </rPr>
          <t>Only select one</t>
        </r>
        <r>
          <rPr>
            <sz val="9"/>
            <color indexed="81"/>
            <rFont val="Tahoma"/>
            <family val="2"/>
          </rPr>
          <t xml:space="preserve">
</t>
        </r>
      </text>
    </comment>
    <comment ref="A51" authorId="0">
      <text>
        <r>
          <rPr>
            <b/>
            <sz val="9"/>
            <color indexed="81"/>
            <rFont val="Tahoma"/>
            <family val="2"/>
          </rPr>
          <t>Only select one</t>
        </r>
        <r>
          <rPr>
            <sz val="9"/>
            <color indexed="81"/>
            <rFont val="Tahoma"/>
            <family val="2"/>
          </rPr>
          <t xml:space="preserve">
</t>
        </r>
      </text>
    </comment>
    <comment ref="A55" authorId="0">
      <text>
        <r>
          <rPr>
            <b/>
            <sz val="9"/>
            <color indexed="81"/>
            <rFont val="Tahoma"/>
            <family val="2"/>
          </rPr>
          <t>Only select one</t>
        </r>
        <r>
          <rPr>
            <sz val="9"/>
            <color indexed="81"/>
            <rFont val="Tahoma"/>
            <family val="2"/>
          </rPr>
          <t xml:space="preserve">
</t>
        </r>
      </text>
    </comment>
    <comment ref="A59" authorId="0">
      <text>
        <r>
          <rPr>
            <b/>
            <sz val="9"/>
            <color indexed="81"/>
            <rFont val="Tahoma"/>
            <family val="2"/>
          </rPr>
          <t>Only select one</t>
        </r>
        <r>
          <rPr>
            <sz val="9"/>
            <color indexed="81"/>
            <rFont val="Tahoma"/>
            <family val="2"/>
          </rPr>
          <t xml:space="preserve">
</t>
        </r>
      </text>
    </comment>
    <comment ref="A63" authorId="0">
      <text>
        <r>
          <rPr>
            <b/>
            <sz val="9"/>
            <color indexed="81"/>
            <rFont val="Tahoma"/>
            <family val="2"/>
          </rPr>
          <t>Only select one</t>
        </r>
        <r>
          <rPr>
            <sz val="9"/>
            <color indexed="81"/>
            <rFont val="Tahoma"/>
            <family val="2"/>
          </rPr>
          <t xml:space="preserve">
</t>
        </r>
      </text>
    </comment>
    <comment ref="A70" authorId="0">
      <text>
        <r>
          <rPr>
            <b/>
            <sz val="9"/>
            <color indexed="81"/>
            <rFont val="Tahoma"/>
            <family val="2"/>
          </rPr>
          <t>Only select one</t>
        </r>
        <r>
          <rPr>
            <sz val="9"/>
            <color indexed="81"/>
            <rFont val="Tahoma"/>
            <family val="2"/>
          </rPr>
          <t xml:space="preserve">
</t>
        </r>
      </text>
    </comment>
    <comment ref="A76" authorId="0">
      <text>
        <r>
          <rPr>
            <b/>
            <sz val="9"/>
            <color indexed="81"/>
            <rFont val="Tahoma"/>
            <family val="2"/>
          </rPr>
          <t>Only select one</t>
        </r>
        <r>
          <rPr>
            <sz val="9"/>
            <color indexed="81"/>
            <rFont val="Tahoma"/>
            <family val="2"/>
          </rPr>
          <t xml:space="preserve">
</t>
        </r>
      </text>
    </comment>
    <comment ref="A128" authorId="1">
      <text>
        <r>
          <rPr>
            <b/>
            <sz val="9"/>
            <color indexed="81"/>
            <rFont val="Tahoma"/>
            <family val="2"/>
          </rPr>
          <t>vince gopez:</t>
        </r>
        <r>
          <rPr>
            <sz val="9"/>
            <color indexed="81"/>
            <rFont val="Tahoma"/>
            <family val="2"/>
          </rPr>
          <t xml:space="preserve">
</t>
        </r>
      </text>
    </comment>
  </commentList>
</comments>
</file>

<file path=xl/comments4.xml><?xml version="1.0" encoding="utf-8"?>
<comments xmlns="http://schemas.openxmlformats.org/spreadsheetml/2006/main">
  <authors>
    <author>Csob</author>
  </authors>
  <commentList>
    <comment ref="A16" authorId="0">
      <text>
        <r>
          <rPr>
            <b/>
            <sz val="9"/>
            <color indexed="81"/>
            <rFont val="Tahoma"/>
            <family val="2"/>
          </rPr>
          <t>Only select one</t>
        </r>
        <r>
          <rPr>
            <sz val="9"/>
            <color indexed="81"/>
            <rFont val="Tahoma"/>
            <family val="2"/>
          </rPr>
          <t xml:space="preserve">
</t>
        </r>
      </text>
    </comment>
    <comment ref="A30" authorId="0">
      <text>
        <r>
          <rPr>
            <b/>
            <sz val="9"/>
            <color indexed="81"/>
            <rFont val="Tahoma"/>
            <family val="2"/>
          </rPr>
          <t>Only select one</t>
        </r>
        <r>
          <rPr>
            <sz val="9"/>
            <color indexed="81"/>
            <rFont val="Tahoma"/>
            <family val="2"/>
          </rPr>
          <t xml:space="preserve">
</t>
        </r>
      </text>
    </comment>
    <comment ref="A34" authorId="0">
      <text>
        <r>
          <rPr>
            <b/>
            <sz val="9"/>
            <color indexed="81"/>
            <rFont val="Tahoma"/>
            <family val="2"/>
          </rPr>
          <t>Only select one</t>
        </r>
        <r>
          <rPr>
            <sz val="9"/>
            <color indexed="81"/>
            <rFont val="Tahoma"/>
            <family val="2"/>
          </rPr>
          <t xml:space="preserve">
</t>
        </r>
      </text>
    </comment>
    <comment ref="A38" authorId="0">
      <text>
        <r>
          <rPr>
            <b/>
            <sz val="9"/>
            <color indexed="81"/>
            <rFont val="Tahoma"/>
            <family val="2"/>
          </rPr>
          <t>Only select one</t>
        </r>
        <r>
          <rPr>
            <sz val="9"/>
            <color indexed="81"/>
            <rFont val="Tahoma"/>
            <family val="2"/>
          </rPr>
          <t xml:space="preserve">
</t>
        </r>
      </text>
    </comment>
    <comment ref="A51" authorId="0">
      <text>
        <r>
          <rPr>
            <b/>
            <sz val="9"/>
            <color indexed="81"/>
            <rFont val="Tahoma"/>
            <family val="2"/>
          </rPr>
          <t>Only select one</t>
        </r>
        <r>
          <rPr>
            <sz val="9"/>
            <color indexed="81"/>
            <rFont val="Tahoma"/>
            <family val="2"/>
          </rPr>
          <t xml:space="preserve">
</t>
        </r>
      </text>
    </comment>
    <comment ref="A55" authorId="0">
      <text>
        <r>
          <rPr>
            <b/>
            <sz val="9"/>
            <color indexed="81"/>
            <rFont val="Tahoma"/>
            <family val="2"/>
          </rPr>
          <t>Only select one</t>
        </r>
        <r>
          <rPr>
            <sz val="9"/>
            <color indexed="81"/>
            <rFont val="Tahoma"/>
            <family val="2"/>
          </rPr>
          <t xml:space="preserve">
</t>
        </r>
      </text>
    </comment>
    <comment ref="A59" authorId="0">
      <text>
        <r>
          <rPr>
            <b/>
            <sz val="9"/>
            <color indexed="81"/>
            <rFont val="Tahoma"/>
            <family val="2"/>
          </rPr>
          <t>Only select one</t>
        </r>
        <r>
          <rPr>
            <sz val="9"/>
            <color indexed="81"/>
            <rFont val="Tahoma"/>
            <family val="2"/>
          </rPr>
          <t xml:space="preserve">
</t>
        </r>
      </text>
    </comment>
    <comment ref="A63" authorId="0">
      <text>
        <r>
          <rPr>
            <b/>
            <sz val="9"/>
            <color indexed="81"/>
            <rFont val="Tahoma"/>
            <family val="2"/>
          </rPr>
          <t>Only select one</t>
        </r>
        <r>
          <rPr>
            <sz val="9"/>
            <color indexed="81"/>
            <rFont val="Tahoma"/>
            <family val="2"/>
          </rPr>
          <t xml:space="preserve">
</t>
        </r>
      </text>
    </comment>
    <comment ref="A70" authorId="0">
      <text>
        <r>
          <rPr>
            <b/>
            <sz val="9"/>
            <color indexed="81"/>
            <rFont val="Tahoma"/>
            <family val="2"/>
          </rPr>
          <t>Only select one</t>
        </r>
        <r>
          <rPr>
            <sz val="9"/>
            <color indexed="81"/>
            <rFont val="Tahoma"/>
            <family val="2"/>
          </rPr>
          <t xml:space="preserve">
</t>
        </r>
      </text>
    </comment>
    <comment ref="A76" authorId="0">
      <text>
        <r>
          <rPr>
            <b/>
            <sz val="9"/>
            <color indexed="81"/>
            <rFont val="Tahoma"/>
            <family val="2"/>
          </rPr>
          <t>Only select one</t>
        </r>
        <r>
          <rPr>
            <sz val="9"/>
            <color indexed="81"/>
            <rFont val="Tahoma"/>
            <family val="2"/>
          </rPr>
          <t xml:space="preserve">
</t>
        </r>
      </text>
    </comment>
  </commentList>
</comments>
</file>

<file path=xl/sharedStrings.xml><?xml version="1.0" encoding="utf-8"?>
<sst xmlns="http://schemas.openxmlformats.org/spreadsheetml/2006/main" count="16445" uniqueCount="1137">
  <si>
    <t>1.1.1 Baseline information</t>
  </si>
  <si>
    <t>Year</t>
  </si>
  <si>
    <t>ODA</t>
  </si>
  <si>
    <t>OOF</t>
  </si>
  <si>
    <t>Other flows</t>
  </si>
  <si>
    <t>Total</t>
  </si>
  <si>
    <t>Average (baseline)</t>
  </si>
  <si>
    <t>Netherlands</t>
  </si>
  <si>
    <t>Methodological information:</t>
  </si>
  <si>
    <t>ODA includes:</t>
  </si>
  <si>
    <t>Bilateral</t>
  </si>
  <si>
    <t>Multilateral</t>
  </si>
  <si>
    <t>ODA/OOF includes:</t>
  </si>
  <si>
    <t>Directly related</t>
  </si>
  <si>
    <t>Indirectly related</t>
  </si>
  <si>
    <t>Other flows include:</t>
  </si>
  <si>
    <t>As applicable, methodology used to identify official resource flows:</t>
  </si>
  <si>
    <t xml:space="preserve">OECD DAC Rio markers </t>
  </si>
  <si>
    <t>As applicable, coefficient used for resource flows indirectly related to biodiversity, when calculating total numbers:</t>
  </si>
  <si>
    <t>Average confidence levels</t>
  </si>
  <si>
    <t>1.1.2 Monitoring progress in mobilizing international financial flows For the purposes of monitoring progress, please provide data for years after 2010</t>
  </si>
  <si>
    <t>2. Inclusion of biodiversity in priorities and plans</t>
  </si>
  <si>
    <t>Not yet started</t>
  </si>
  <si>
    <t>Some inclusion achieved</t>
  </si>
  <si>
    <t>Comprehensive inclusion</t>
  </si>
  <si>
    <t>3. Assessment and/or evaluation of values</t>
  </si>
  <si>
    <t>No such assessment necessary</t>
  </si>
  <si>
    <t>Some assessments undertaken</t>
  </si>
  <si>
    <t>Comprehensive assessments undertaken</t>
  </si>
  <si>
    <t>4.1 Please indicate the annual financial support provided to domestic biodiversity-related activities in your country.</t>
  </si>
  <si>
    <t>Domestic expenditures</t>
  </si>
  <si>
    <t>Overall confidence</t>
  </si>
  <si>
    <t>Medium</t>
  </si>
  <si>
    <t>Average</t>
  </si>
  <si>
    <t>4.2 Information on sources and categories</t>
  </si>
  <si>
    <t>Numbers above cover</t>
  </si>
  <si>
    <t>Expenditures directly related to biodiversity</t>
  </si>
  <si>
    <t>Expenditures indirectly related to biodiversity</t>
  </si>
  <si>
    <t>Government budgets – central</t>
  </si>
  <si>
    <t>No</t>
  </si>
  <si>
    <t>Government budgets – state/provincial</t>
  </si>
  <si>
    <t>Yes</t>
  </si>
  <si>
    <t xml:space="preserve">Country: </t>
  </si>
  <si>
    <t>Austria</t>
  </si>
  <si>
    <t>Select &gt;&gt;</t>
  </si>
  <si>
    <t>Afghanistan</t>
  </si>
  <si>
    <t>Albania</t>
  </si>
  <si>
    <t>Algeria</t>
  </si>
  <si>
    <t>Andorra</t>
  </si>
  <si>
    <t>Angola</t>
  </si>
  <si>
    <t>Antigua and Barbuda</t>
  </si>
  <si>
    <t>Argentina</t>
  </si>
  <si>
    <t>Armenia</t>
  </si>
  <si>
    <t>Australia</t>
  </si>
  <si>
    <t>Azerbaijan</t>
  </si>
  <si>
    <t>Bahamas</t>
  </si>
  <si>
    <t>Bahrain</t>
  </si>
  <si>
    <t>Bangladesh</t>
  </si>
  <si>
    <t>Barbados</t>
  </si>
  <si>
    <t>Belarus</t>
  </si>
  <si>
    <t>Belgium</t>
  </si>
  <si>
    <t>Belize</t>
  </si>
  <si>
    <t>Benin</t>
  </si>
  <si>
    <t>Bhutan</t>
  </si>
  <si>
    <t>Bolivia</t>
  </si>
  <si>
    <t>Bosnia and Herzegovina</t>
  </si>
  <si>
    <t>Botswana</t>
  </si>
  <si>
    <t>Brazil</t>
  </si>
  <si>
    <t>Brunei Darussalam</t>
  </si>
  <si>
    <t>Bulgaria</t>
  </si>
  <si>
    <t>Burkina Faso</t>
  </si>
  <si>
    <t>Burundi</t>
  </si>
  <si>
    <t>Cambodia</t>
  </si>
  <si>
    <t>Cameroon</t>
  </si>
  <si>
    <t>Canada</t>
  </si>
  <si>
    <t>Cape Verde</t>
  </si>
  <si>
    <t>Central African Republic</t>
  </si>
  <si>
    <t>Chad</t>
  </si>
  <si>
    <t>Chile</t>
  </si>
  <si>
    <t>China</t>
  </si>
  <si>
    <t>Colombia</t>
  </si>
  <si>
    <t>Comoros</t>
  </si>
  <si>
    <t>Congo</t>
  </si>
  <si>
    <t>Congo, Democratic Republic of the</t>
  </si>
  <si>
    <t>Cook Islands</t>
  </si>
  <si>
    <t>Costa Rica</t>
  </si>
  <si>
    <t>Côte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</si>
  <si>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</si>
  <si>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</si>
  <si>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</si>
  <si>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</si>
  <si>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</si>
  <si>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</si>
  <si>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</si>
  <si>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</si>
  <si>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</si>
  <si>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</si>
  <si>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</si>
  <si>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</si>
  <si>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</si>
  <si>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</si>
  <si>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</si>
  <si>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European Union</t>
  </si>
  <si>
    <t>Fiji</t>
  </si>
  <si>
    <t>Finland</t>
  </si>
  <si>
    <t>France</t>
  </si>
  <si>
    <t>Gabon</t>
  </si>
  <si>
    <t>Gambia</t>
  </si>
  <si>
    <t>Greece</t>
  </si>
  <si>
    <t>Grenada</t>
  </si>
  <si>
    <t>Guatemala</t>
  </si>
  <si>
    <t>Guinea</t>
  </si>
  <si>
    <t>Guinea-Bissau</t>
  </si>
  <si>
    <t>Guyana</t>
  </si>
  <si>
    <t>Haiti</t>
  </si>
  <si>
    <t>Holy See</t>
  </si>
  <si>
    <t>Honduras</t>
  </si>
  <si>
    <t>Hungary</t>
  </si>
  <si>
    <t>Iceland</t>
  </si>
  <si>
    <t>India</t>
  </si>
  <si>
    <t>Indonesia</t>
  </si>
  <si>
    <t>Iran, Islamic Republic of</t>
  </si>
  <si>
    <t>Iraq</t>
  </si>
  <si>
    <t>Ireland</t>
  </si>
  <si>
    <t>Israel</t>
  </si>
  <si>
    <t>Italy</t>
  </si>
  <si>
    <t>Jamaica</t>
  </si>
  <si>
    <t>Japan</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</si>
  <si>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</si>
  <si>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</si>
  <si>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</si>
  <si>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</si>
  <si>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</si>
  <si>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</si>
  <si>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</si>
  <si>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</si>
  <si>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</si>
  <si>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</si>
  <si>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</si>
  <si>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</si>
  <si>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</si>
  <si>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</si>
  <si>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</si>
  <si>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</si>
  <si>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</si>
  <si>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</si>
  <si>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</si>
  <si>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</si>
  <si>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</si>
  <si>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</si>
  <si>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</si>
  <si>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</si>
  <si>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</si>
  <si>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Mauritania</t>
  </si>
  <si>
    <t>Mauritius</t>
  </si>
  <si>
    <t>Mexico</t>
  </si>
  <si>
    <t>Micronesia, Federated States of</t>
  </si>
  <si>
    <t>Moldova, Republic of</t>
  </si>
  <si>
    <t>Monaco</t>
  </si>
  <si>
    <t>Mongolia</t>
  </si>
  <si>
    <t>Montenegro</t>
  </si>
  <si>
    <t>Morocco</t>
  </si>
  <si>
    <t>Mozambique</t>
  </si>
  <si>
    <t>Myanmar</t>
  </si>
  <si>
    <t>Namibia</t>
  </si>
  <si>
    <t>Nauru</t>
  </si>
  <si>
    <t>Nepal</t>
  </si>
  <si>
    <t>New Zealand</t>
  </si>
  <si>
    <t>Nicaragua</t>
  </si>
  <si>
    <t>Niger</t>
  </si>
  <si>
    <t>Nigeria</t>
  </si>
  <si>
    <t>Niue</t>
  </si>
  <si>
    <t>Norway</t>
  </si>
  <si>
    <t>Oman</t>
  </si>
  <si>
    <t>Pakistan</t>
  </si>
  <si>
    <t>Palau</t>
  </si>
  <si>
    <t>Panama</t>
  </si>
  <si>
    <t>Papua New Guinea</t>
  </si>
  <si>
    <t>Paraguay</t>
  </si>
  <si>
    <t>Peru</t>
  </si>
  <si>
    <t>Philippines</t>
  </si>
  <si>
    <t>Poland</t>
  </si>
  <si>
    <t>Portugal</t>
  </si>
  <si>
    <t>Qatar</t>
  </si>
  <si>
    <t>Romania</t>
  </si>
  <si>
    <t>Russian Federation</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</si>
  <si>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</si>
  <si>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</si>
  <si>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</si>
  <si>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</si>
  <si>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</si>
  <si>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</si>
  <si>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</si>
  <si>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</si>
  <si>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</si>
  <si>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</si>
  <si>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</si>
  <si>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</si>
  <si>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</si>
  <si>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</si>
  <si>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</si>
  <si>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</si>
  <si>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</si>
  <si>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</si>
  <si>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</si>
  <si>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</si>
  <si>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</si>
  <si>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</si>
  <si>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Swaziland</t>
  </si>
  <si>
    <t>Sweden</t>
  </si>
  <si>
    <t>Switzerland</t>
  </si>
  <si>
    <t>Syrian Arab Republic</t>
  </si>
  <si>
    <t>Tajikistan</t>
  </si>
  <si>
    <t>Tanzania, United Republic of</t>
  </si>
  <si>
    <t>Thailand</t>
  </si>
  <si>
    <t>Timor-Leste</t>
  </si>
  <si>
    <t>Togo</t>
  </si>
  <si>
    <t>Tonga</t>
  </si>
  <si>
    <t>Trinidad and Tobago</t>
  </si>
  <si>
    <t>Tunisia</t>
  </si>
  <si>
    <t>Turkey</t>
  </si>
  <si>
    <t>Turkmenistan</t>
  </si>
  <si>
    <t>Tuvalu</t>
  </si>
  <si>
    <t>Uganda</t>
  </si>
  <si>
    <t>Ukraine</t>
  </si>
  <si>
    <t>United Arab Emirates</t>
  </si>
  <si>
    <t>United Kingdom of Great Britain and Northern Ireland</t>
  </si>
  <si>
    <t>United States of America</t>
  </si>
  <si>
    <t>Uruguay</t>
  </si>
  <si>
    <t>Uzbekistan</t>
  </si>
  <si>
    <t>Vanuatu</t>
  </si>
  <si>
    <t>Venezuela</t>
  </si>
  <si>
    <t>Viet Nam</t>
  </si>
  <si>
    <t>Yemen</t>
  </si>
  <si>
    <t>Zambia</t>
  </si>
  <si>
    <t>Zimbabwe</t>
  </si>
  <si>
    <t xml:space="preserve">Disbursements </t>
  </si>
  <si>
    <t xml:space="preserve">Commitments </t>
  </si>
  <si>
    <t xml:space="preserve">ODA: </t>
  </si>
  <si>
    <t xml:space="preserve">High </t>
  </si>
  <si>
    <t>Low</t>
  </si>
  <si>
    <t>OOF:</t>
  </si>
  <si>
    <t>Other flows:</t>
  </si>
  <si>
    <t>Government budgets – local/municipal</t>
  </si>
  <si>
    <t>Extra-budgetary</t>
  </si>
  <si>
    <t>Private/market</t>
  </si>
  <si>
    <t>Other (NGO, foundations, academia)</t>
  </si>
  <si>
    <t>Collective action of indigenous and local communities</t>
  </si>
  <si>
    <t>4.3. Role of collective action and non-market approaches</t>
  </si>
  <si>
    <t>4.3.1 Has your country assessed the role of collective action, including by indigenous and local communities, and non-market approaches for mobilizing resources for achieving the objectives of the Convention?</t>
  </si>
  <si>
    <t>5. Reporting funding needs, gaps, and priorities</t>
  </si>
  <si>
    <t>Funding need</t>
  </si>
  <si>
    <t>Estimated available resources</t>
  </si>
  <si>
    <t>Estimated funding gap</t>
  </si>
  <si>
    <t>Action for priority funding</t>
  </si>
  <si>
    <t>6. National finance plans</t>
  </si>
  <si>
    <t>Expected funding gap</t>
  </si>
  <si>
    <t>Domestic sources (total)</t>
  </si>
  <si>
    <t>International sources (total)</t>
  </si>
  <si>
    <t>Remaining gap</t>
  </si>
  <si>
    <t>7. Has your country taken measures to encourage the private sector as well as non-governmental organizations, foundations and academia to provide domestic support for the implementation of the Strategic Plan for Biodiversity 2011-2020?</t>
  </si>
  <si>
    <t>Some measure taken</t>
  </si>
  <si>
    <t>Comprehensive measures taken</t>
  </si>
  <si>
    <t>8. Availability of financial resources for achieving targets</t>
  </si>
  <si>
    <t>Did your country have adequate financial resources:</t>
  </si>
  <si>
    <t>(1) to report domestic biodiversity expenditures?</t>
  </si>
  <si>
    <t>(2) to report funding needs, gaps and priorities?</t>
  </si>
  <si>
    <t>(3) to prepare national finance plans for biodiversity?</t>
  </si>
  <si>
    <t>WEO Country Code</t>
  </si>
  <si>
    <t>ISO</t>
  </si>
  <si>
    <t>WEO Subject Code</t>
  </si>
  <si>
    <t>Country</t>
  </si>
  <si>
    <t>Subject Descriptor</t>
  </si>
  <si>
    <t>Subject Notes</t>
  </si>
  <si>
    <t>Units</t>
  </si>
  <si>
    <t>Scale</t>
  </si>
  <si>
    <t>Country/Series-specific Notes</t>
  </si>
  <si>
    <t>Estimates Start After</t>
  </si>
  <si>
    <t>AFG</t>
  </si>
  <si>
    <t>NGDP_R</t>
  </si>
  <si>
    <t>Gross domestic product, constant prices</t>
  </si>
  <si>
    <t>Expressed in billions of national currency units; the base year is country-specific. Expenditure-based GDP is total final expenditures at purchasers? prices (including the f.o.b. value of exports of goods and services), less the f.o.b. value of imports of goods and services. [SNA 1993]</t>
  </si>
  <si>
    <t>National currency</t>
  </si>
  <si>
    <t>Billions</t>
  </si>
  <si>
    <t>Source: National Statistics Office Latest actual data: 2013. Latest actual data is for the solar year 2013/14 Notes: National accounts data is originally compiled on the basis of a solar year, which runs from March 21 to March 20. Data is converted to calendar years for the purpose of WEO publication. National accounts manual used: System of National Accounts (SNA) 1993 GDP valuation: Market prices Start/end months of reporting year: January/December. none Base year: 2002. Base year is the solar year 2002/03 Chain-weighted: No Primary domestic currency: Afghan Afghani Data last updated: 09/2015</t>
  </si>
  <si>
    <t>n/a</t>
  </si>
  <si>
    <t>NGDP</t>
  </si>
  <si>
    <t>Gross domestic product, current prices</t>
  </si>
  <si>
    <t>Expressed in billions of national currency units . Expenditure-based GDP is total final expenditures at purchasers? prices (including the f.o.b. value of exports of goods and services), less the f.o.b. value of imports of goods and services. [SNA 1993]</t>
  </si>
  <si>
    <t>NGDPD</t>
  </si>
  <si>
    <t>Values are based upon GDP in national currency converted to U.S. dollars using market exchange rates (yearly average). Exchange rate projections are provided by country economists for the group of other emerging market and developing countries. Exchanges rates for advanced economies are established in the WEO assumptions for each WEO exercise. Expenditure-based GDP is total final expenditures at purchasers? prices (including the f.o.b. value of exports of goods and services), less the f.o.b. value of imports of goods and services. [SNA 1993]</t>
  </si>
  <si>
    <t>U.S. dollars</t>
  </si>
  <si>
    <t>See notes for:  Gross domestic product, current prices (National currency).</t>
  </si>
  <si>
    <t>NGDP_D</t>
  </si>
  <si>
    <t>Gross domestic product, deflator</t>
  </si>
  <si>
    <t>The GDP deflator is derived by dividing current price GDP by constant price GDP and is considered to be an alternate measure of inflation. Data are expressed in the base year of each country's national accounts.</t>
  </si>
  <si>
    <t>Index</t>
  </si>
  <si>
    <t>See notes for:  Gross domestic product, constant prices (National currency) Gross domestic product, current prices (National currency).</t>
  </si>
  <si>
    <t>GGX</t>
  </si>
  <si>
    <t>General government total expenditure</t>
  </si>
  <si>
    <t>Total expenditure consists of total expense and the net acquisition of nonfinancial assets. Note: Apart from being on an accrual basis, total expenditure differs from the GFSM 1986 definition of total expenditure in the sense that it also takes the disposals of nonfinancial assets into account.</t>
  </si>
  <si>
    <t>Source: Ministry of Finance or Treasury Latest actual data: 2013. Latest actual data is for the fiscal year 2012 Notes: National accounts data is originally compiled on the basis of a solar year, which runs from March 21 to March 20. Data is converted to calendar years for the purpose of WEO publication. Start/end months of reporting year: January/December. Until 2012 fiscal accounts have been compiled on the basis of a solar year, which runs from March 21 to March 20. From 2013 data is compiled on a new fiscal year basis that runs from December 21 to December 20. Pre-2013 data is converted to the new fiscal year for the purpose of WEO publication. GFS Manual used: Government Finance Statistics Manual (GFSM) 2001 Basis of recording: Cash General government includes: Central Government;. Data on general government not available. Valuation of public debt: Nominal value. Debt figures incorporate committed but not yet delivered debt relief. Primary domestic currency: Afghan Afghani Data last updated: 09/2015</t>
  </si>
  <si>
    <t>ALB</t>
  </si>
  <si>
    <t>Source: IMF Staff Estimates Latest actual data: 2012. 2012 data is still semi-final. National accounts manual used: System of National Accounts (SNA) 1993 GDP valuation: Market prices Start/end months of reporting year: January/December Base year: 1996 Chain-weighted: Yes, from 1996 Primary domestic currency: Albanian lek Data last updated: 07/2015</t>
  </si>
  <si>
    <t>Source: IMF Staff Estimates Latest actual data: 2014 Notes: Authorities are still following GFS 86 Start/end months of reporting year: January/December GFS Manual used: Government Finance Statistics Manual (GFSM) 1986 Basis of recording: Modified Cash Basis General government includes: Central Government;Local Government;Social Security Funds;Monetary Public Corporations, incl. central bank;Nonfinancial Public Corporation; Valuation of public debt: Nominal value Primary domestic currency: Albanian lek Data last updated: 07/2015</t>
  </si>
  <si>
    <t>DZA</t>
  </si>
  <si>
    <t>Source: National Statistics Office Latest actual data: 2013 National accounts manual used: System of National Accounts (SNA) 1993 GDP valuation: Market prices Start/end months of reporting year: January/December Base year: 2001 Chain-weighted: Yes, from 2005 Primary domestic currency: Algerian dinar Data last updated: 09/2015</t>
  </si>
  <si>
    <t>Source: Central Bank Latest actual data: 2014 Fiscal assumptions: Projections for 2013?18 are based on IMF staff calculations Start/end months of reporting year: January/December GFS Manual used: Government Finance Statistics Manual (GFSM) 1986 Basis of recording: Cash General government includes: Central Government Primary domestic currency: Algerian dinar Data last updated: 09/2015</t>
  </si>
  <si>
    <t>AGO</t>
  </si>
  <si>
    <t>Source: Ministry of Economy and/or Planning Latest actual data: 2013 National accounts manual used: European System of Accounts (ESA) 1995 GDP valuation: Market prices Start/end months of reporting year: January/December Base year: 2002 Chain-weighted: No Primary domestic currency: Angolan kwanza Data last updated: 09/2015</t>
  </si>
  <si>
    <t>--</t>
  </si>
  <si>
    <t>Source: Ministry of Finance or Treasury Latest actual data: 2013 Start/end months of reporting year: January/December GFS Manual used: Government Finance Statistics Manual (GFSM) 2001 Basis of recording: Other General government includes: Central Government;Other;. Central Government and provincial governments Valuation of public debt: Nominal value Primary domestic currency: Angolan kwanza Data last updated: 09/2015</t>
  </si>
  <si>
    <t>ATG</t>
  </si>
  <si>
    <t>Source: Central Bank Latest actual data: 2014. Preliminary National accounts manual used: System of National Accounts (SNA) 1993 GDP valuation: Factor costs Start/end months of reporting year: January/December Base year: 2006. Nominal GDP is measured at market prices and real GDP is measured at factor cost, hence the GDP deflator is not equal to 100. Chain-weighted: No Primary domestic currency: Eastern Caribbean dollar Data last updated: 09/2015</t>
  </si>
  <si>
    <t>Source: Ministry of Finance or Treasury Latest actual data: 2014. Preliminary Start/end months of reporting year: January/December GFS Manual used: Government Finance Statistics Manual (GFSM) 2001 Basis of recording: Cash General government includes: Central Government; Valuation of public debt: Nominal value Primary domestic currency: Eastern Caribbean dollar Data last updated: 09/2015</t>
  </si>
  <si>
    <t>ARG</t>
  </si>
  <si>
    <t>Source: Ministry of Economy and/or Planning Latest actual data: 2014 Notes: The data for Argentina are officially reported data as revised in May 2014. On February 1, 2013, the IMF issued a declaration of censure, and in December 2013 called on Argentina to implement specified actions to address the quality of its official GDP data according to a specified timetable. On June 3, 2015, the Executive Board recognized the ongoing discussions with the Argentine authorities and their material progress in remedying the inaccurate provision of data since 2013, but found that some specified actions called for by end-February 2015 had not yet been completely implemented. The Executive Board will review this issue again by July 15, 2016, and in line with the procedures set forth in the IMF legal framework. National accounts manual used: System of National Accounts (SNA) 2008 GDP valuation: Market prices Start/end months of reporting year: January/December Base year: 2004 Chain-weighted: No Primary domestic currency: Argentine peso Data last updated: 09/2015</t>
  </si>
  <si>
    <t>Source: Ministry of Economy and/or Planning. http://www.mecon.gov.ar/onp/html/ejectexto/cuenta_nac_dosuno.html?var1=cuentanacdosnueve Latest actual data: 2014 Notes: Government gross debt refers to the central government including untendered debt. Fiscal assumptions: Fiscal projections are based on the available information regarding budget outturn for the federal government and budget plans for provinces, and on IMF staff macroeconomic projections. Start/end months of reporting year: January/December GFS Manual used: Government Finance Statistics Manual (GFSM) 1986 Basis of recording: Cash. Central (National) government net lending/borrowing includes interest payments on accrual basis. General government includes: Central Government;State Government;Local Government;Social Security Funds; Valuation of public debt: Nominal value Primary domestic currency: Argentine peso Data last updated: 09/2015</t>
  </si>
  <si>
    <t>ARM</t>
  </si>
  <si>
    <t>Source: National Statistics Office Latest actual data: 2014 National accounts manual used: System of National Accounts (SNA) 1993 GDP valuation: Market prices Start/end months of reporting year: January/December Base year: 2005 Chain-weighted: No Primary domestic currency: Armenian dram Data last updated: 09/2015</t>
  </si>
  <si>
    <t>Source: Ministry of Finance or Treasury Latest actual data: 2014 Notes: Since the general government accounts for Armenia are not available, all general government series are equal to the central government series. Fiscal assumptions: Projections for 2014-19 reflect agreement between the authorities and the IMF staff in the context of program discussion. Start/end months of reporting year: January/December GFS Manual used: Government Finance Statistics Manual (GFSM) 2001 Basis of recording: Cash General government includes: Central Government Primary domestic currency: Armenian dram Data last updated: 09/2015</t>
  </si>
  <si>
    <t>AUS</t>
  </si>
  <si>
    <t>Source: National Statistics Office. Australian Bureau of Statistics (via Time Series Plus &amp; dXdata) Latest actual data: 2014 National accounts manual used: System of National Accounts (SNA) 2008 GDP valuation: Market prices. Data refer to calendar years Start/end months of reporting year: January/December Base year: 2012/13 Chain-weighted: Yes, from before 1980. Annually-reweighted Primary domestic currency: Australian dollar Data last updated: 09/2015</t>
  </si>
  <si>
    <t>Source: Ministry of Finance or Treasury. Treasury Department Latest actual data: 2013/14. Final Budget Outcome Notes: Social Benefits series comprises social security and welfare spending for which we do not have comparable data prior to 2004. Fiscal assumptions: Fiscal projections are based on Australian Bureau of Statistics data, the 2015?16 budget documents, and IMF staff estimates. Start/end months of reporting year: January/December. July/June by authorities, and Jan/Dec by staff GFS Manual used: Government Finance Statistics Manual (GFSM) 2001 Basis of recording: Accrual General government includes: Central Government;State Government;Local Government;Other;. Other includes Territory governments Valuation of public debt: Nominal value Primary domestic currency: Australian dollar Data last updated: 09/2015</t>
  </si>
  <si>
    <t>AUT</t>
  </si>
  <si>
    <t>Source: National Statistics Office Latest actual data: 2014 National accounts manual used: European System of Accounts (ESA) 2010 GDP valuation: Market prices Start/end months of reporting year: January/December Base year: 2010 Chain-weighted: Yes, from 1995 Primary domestic currency: Euro Data last updated: 09/2015</t>
  </si>
  <si>
    <t>Source: National Statistics Office Latest actual data: 2014 Fiscal assumptions: For 2014, the creation of a defeasance structure for Hypo Alpe Adria is assumed to have increased the general government debt-to-GDP ratio by 4.3 percentage points, and the deficit effect arising from Hypo is assumed at 1.4 percentage points. Start/end months of reporting year: January/December GFS Manual used: Government Finance Statistics Manual (GFSM) 2001 Basis of recording: Accrual General government includes: Central Government;State Government;Local Government;Social Security Funds; Valuation of public debt: Face value Primary domestic currency: Euro Data last updated: 09/2015</t>
  </si>
  <si>
    <t>AZE</t>
  </si>
  <si>
    <t>Source: National Statistics Office Latest actual data: 2014 Notes: Data prior to 2005 cannot be confirmed at this time. National accounts manual used: System of National Accounts (SNA) 1993 GDP valuation: Market prices Start/end months of reporting year: January/December Base year: 2003 Chain-weighted: Yes, from 1994 Primary domestic currency: Azerbaijan manat Data last updated: 09/2015</t>
  </si>
  <si>
    <t>Source: Ministry of Finance or Treasury Latest actual data: 2014 Notes: Since the general government accounts for Azerbaijan are not available, all general government series are equal to the central government series. Central government includes state budget and main extrabudgetary funds, including operations of the oil fund and the social protection fund. Start/end months of reporting year: January/December GFS Manual used: in transition to 2001 GFS Basis of recording: Cash General government includes: Central Government; Valuation of public debt: Face value Primary domestic currency: Azerbaijan manat Data last updated: 09/2015</t>
  </si>
  <si>
    <t>BHS</t>
  </si>
  <si>
    <t>Source: National Statistics Office Latest actual data: 2014 National accounts manual used: System of National Accounts (SNA) 1993 GDP valuation: Market prices Start/end months of reporting year: January/December Base year: 2006 Chain-weighted: No Primary domestic currency: Bahamian dollar Data last updated: 09/2015</t>
  </si>
  <si>
    <t>Source: Ministry of Finance or Treasury Latest actual data: 2014/15 Notes: All fiscal and debt series data in WEO are on fiscal year basis. Fiscal assumptions: Broadly elasticity of 1 with nominal growth, except for recent measures adopted by authorities. Start/end months of reporting year: July/June GFS Manual used: Government Finance Statistics Manual (GFSM) 2001 Basis of recording: Cash General government includes: Central Government; Valuation of public debt: Nominal value Primary domestic currency: Bahamian dollar Data last updated: 09/2015</t>
  </si>
  <si>
    <t>BHR</t>
  </si>
  <si>
    <t>Source: Ministry of Finance or Treasury Latest actual data: 2014 National accounts manual used: System of National Accounts (SNA) 2008 GDP valuation: Market prices Start/end months of reporting year: January/December Base year: 2010 Chain-weighted: No Primary domestic currency: Bahrain dinar Data last updated: 09/2015</t>
  </si>
  <si>
    <t>Source: Ministry of Finance or Treasury Latest actual data: 2014 Notes: The projections use the 1986 Manual --- all the series are on cash basis only. Fiscal assumptions: The projections are based on the current WEO assumptions (for Bahrain), as well as the country's debt profile and budget. Start/end months of reporting year: January/December GFS Manual used: Government Finance Statistics Manual (GFSM) 1986 Basis of recording: Cash General government includes: Central Government; Valuation of public debt: Face value Primary domestic currency: Bahrain dinar Data last updated: 09/2015</t>
  </si>
  <si>
    <t>BGD</t>
  </si>
  <si>
    <t>Source: Bangladesh Bureau of Statistics Latest actual data: 2013 National accounts manual used: System of National Accounts (SNA) 1993 GDP valuation: Market prices Start/end months of reporting year: January/December. Authorities report July/June, we report Jan/Dec. Base year: 2005 Chain-weighted: No Primary domestic currency: Bangladesh taka Data last updated: 08/2015</t>
  </si>
  <si>
    <t>Source: Ministry of Finance or Treasury. GGR (Total Revenue) includes Grants starting 1990 on wards. Before, GGR does not include grants. Latest actual data: 2013/14 Start/end months of reporting year: July/June GFS Manual used: Other Basis of recording: Cash General government includes: Central Government; Valuation of public debt: Nominal value Primary domestic currency: Bangladesh taka Data last updated: 08/2015</t>
  </si>
  <si>
    <t>BRB</t>
  </si>
  <si>
    <t>Source: National Statistics Office. The National Statistics Office is the primary source of National Accounts Data. Partial data is published on the central bank website. Latest actual data: 2013 National accounts manual used: System of National Accounts (SNA) 1993 GDP valuation: Factor costs Start/end months of reporting year: January/December Base year: 1974. Constant price GDP is based on 1974 as base year, compiled by the Central bank of Barbados (CBB). Currently, the Barbados Statistical Services (BSS) ,with the assistance of CARTAC, began compiling constant price GDP by industry using 2006 as base year, which is expected to be publicly available in 2014. Real and nominal GDP data generate inconsistency in the deflator because over time, they were produced by two separates institutions. GDP series provided by the authorities include statistical discrepancies. Chain-weighted: No Primary domestic currency: Barbados dollar Data last updated: 08/2015</t>
  </si>
  <si>
    <t>Source: Ministry of Finance or Treasury Latest actual data: 2014/15 Start/end months of reporting year: April/March GFS Manual used: Government Finance Statistics Manual (GFSM) 1986 Basis of recording: Cash General government includes: Central Government;Social Security Funds;Nonfinancial Public Corporation; Valuation of public debt: Current market value Primary domestic currency: Barbados dollar Data last updated: 08/2015</t>
  </si>
  <si>
    <t>BLR</t>
  </si>
  <si>
    <t>Source: National Statistics Office. Formally, the National Statistical Committee of the Republic of Belarus Latest actual data: 2013 National accounts manual used: European System of Accounts (ESA) 1995 GDP valuation: Market prices Start/end months of reporting year: January/December Base year: 2009 Chain-weighted: Yes, from 2005 Primary domestic currency: Belarusian rubel Data last updated: 08/2015</t>
  </si>
  <si>
    <t>Source: Ministry of Finance or Treasury Latest actual data: 2013 Fiscal assumptions: 2014-2019 are IMF staff projections. Start/end months of reporting year: January/December GFS Manual used: Government Finance Statistics Manual (GFSM) 2001 Basis of recording: Cash General government includes: Central Government;Local Government;Social Security Funds; Valuation of public debt: Nominal value Primary domestic currency: Belarusian rubel Data last updated: 08/2015</t>
  </si>
  <si>
    <t>BEL</t>
  </si>
  <si>
    <t>Source: Central Bank. Data before 1995 were spliced with older series. Data from 1995 reflect current official series. Latest actual data: 2014 National accounts manual used: European System of Accounts (ESA) 2010. ESA 2010 GDP valuation: Market prices Start/end months of reporting year: January/December Base year: 2012 Chain-weighted: Yes, from 1995. Data before 1995 are spliced with older series. Primary domestic currency: Euro Data last updated: 09/2015</t>
  </si>
  <si>
    <t>Source: Central Bank Latest actual data: 2014 Fiscal assumptions: Projections reflect the authorities' 2015 budget (updated for new developments) and the 2015-18 stability program objectives, adjusted for differences in the IMF staff?s macroeconomic framework. Start/end months of reporting year: January/December GFS Manual used: Government Finance Statistics Manual (GFSM) 2001. ESA 2010 data definitions Basis of recording: Accrual General government includes: Central Government;State Government;Local Government;Social Security Funds;Other; Valuation of public debt: Face value Primary domestic currency: Euro Data last updated: 09/2015</t>
  </si>
  <si>
    <t>BLZ</t>
  </si>
  <si>
    <t>Source: National Statistics Office Latest actual data: 2013 National accounts manual used: System of National Accounts (SNA) 1993 GDP valuation: Market prices Start/end months of reporting year: January/December Base year: 2000 Chain-weighted: No Primary domestic currency: Belize dollar Data last updated: 08/2015</t>
  </si>
  <si>
    <t>Source: Ministry of Finance or Treasury Latest actual data: 2013/14 Notes: Gross  and net debt-to-GDP ratios are calculated dividing debt at end of calendar year  by fiscal year GDP. Fiscal assumptions: Based on WEO assumptions, authorities' input, and staff assessment of necessary measures to attain authorities? announced fiscal targets. Projections already include the results from the restructuring of the "super-bond" in 2013 and the potential debt associated with the nationalization of two utilities companies (at mid-point valuation), in 2014. Start/end months of reporting year: April/March GFS Manual used: Government Finance Statistics Manual (GFSM) 1986. Belize does not follow GFSM2001 convention due to limited capacity to implement it. Basis of recording: Authorities report debt service on accrual basis, but other expenditures on a cash basis. General government includes: Central Government;Monetary Public Corporations, incl. central bank; Valuation of public debt: Nominal value Primary domestic currency: Belize dollar Data last updated: 08/2015</t>
  </si>
  <si>
    <t>BEN</t>
  </si>
  <si>
    <t>Source: National Statistics Office Latest actual data: 2012 National accounts manual used: System of National Accounts (SNA) 1993 GDP valuation: Market prices Start/end months of reporting year: January/December Base year: 2000. Real data from Authorities has a base of 1985.  We rescale to 2000=100 at request of WEO. Chain-weighted: No Primary domestic currency: CFA franc Data last updated: 08/2015</t>
  </si>
  <si>
    <t>Source: Ministry of Finance or Treasury Latest actual data: 2013 Start/end months of reporting year: January/December GFS Manual used: Government Finance Statistics Manual (GFSM) 2001 Basis of recording: Cash General government includes: Central Government;Other Primary domestic currency: CFA franc Data last updated: 08/2015</t>
  </si>
  <si>
    <t>BTN</t>
  </si>
  <si>
    <t>Source: National Statistics Office Latest actual data: Fiscal year 2011/12. GDP valuation: Factor costs Start/end months of reporting year: July/June Base year: 2000. Nominal and real GDP are not measured in the same way and as a result, the GDP deflator is not equal to 100. Chain-weighted: No Primary domestic currency: Bhutanese ngultrum Data last updated: 07/2015</t>
  </si>
  <si>
    <t>Source: Ministry of Finance or Treasury Latest actual data: 2012/13 Fiscal assumptions: Royal Government of Bhutan's Medium Term Expenditure Framework as detailed in Five Year Plans (including foreign grants projections), technical data on projected hydropower generation and sales, and staff projections of other non-hydropower revenues. Start/end months of reporting year: July/June GFS Manual used: Government Finance Statistics Manual (GFSM) 1986 Basis of recording: Cash General government includes: Central Government Primary domestic currency: Bhutanese ngultrum Data last updated: 07/2015</t>
  </si>
  <si>
    <t>BOL</t>
  </si>
  <si>
    <t>Source: National Statistics Office Latest actual data: 2014 National accounts manual used: Other GDP valuation: Market prices Start/end months of reporting year: January/December Base year: 1990 Chain-weighted: No Primary domestic currency: Bolivian boliviano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</si>
  <si>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Government;Social Security Funds;Monetary Public Corporations, incl. central bank;Nonmonetary Financial Public Corporations;Nonfinancial Public Corporation; Valuation of public debt: Nominal value Primary domestic currency: Bolivian boliviano Data last updated: 09/2015</t>
  </si>
  <si>
    <t>BIH</t>
  </si>
  <si>
    <t>Source: National Statistics Office. Authorities provided revised supply-side GDP data for the period 00-10 and demand -side GDP data for the period 04-10. Latest actual data: 2014 National accounts manual used: European System of Accounts (ESA) 2010 GDP valuation: Market prices Start/end months of reporting year: January/December Base year: 2010 Chain-weighted: Yes, from 2000 Primary domestic currency: Convertible marka Data last updated: 08/2015</t>
  </si>
  <si>
    <t>Source: Ministry of Finance or Treasury. Additional data received from the Indirect Tax Authority Latest actual data: 2014 Fiscal assumptions: Budget, macro framework, structural reforms set by program, and WEO. Start/end months of reporting year: January/December GFS Manual used: Government Finance Statistics Manual (GFSM) 2001 Basis of recording: Accrual General government includes: Central Government;State Government;Local Government;Social Security Funds;Other; Valuation of public debt: Face value Primary domestic currency: Convertible marka Data last updated: 08/2015</t>
  </si>
  <si>
    <t>BWA</t>
  </si>
  <si>
    <t>Source: National Statistics Office Latest actual data: 2012 National accounts manual used: System of National Accounts (SNA) 1993 GDP valuation: Market prices Start/end months of reporting year: January/December Base year: 2006 Chain-weighted: No Primary domestic currency: Botswana pula Data last updated: 09/2015</t>
  </si>
  <si>
    <t>Source: Ministry of Finance or Treasury Latest actual data: 2011/12 Start/end months of reporting year: April/March GFS Manual used: Government Finance Statistics Manual (GFSM) 1986 Basis of recording: Cash General government includes: Central Government; Valuation of public debt: Nominal value Primary domestic currency: Botswana pula Data last updated: 09/2015</t>
  </si>
  <si>
    <t>BRA</t>
  </si>
  <si>
    <t>Source: National Statistics Office Latest actual data: 2014 National accounts manual used: System of National Accounts (SNA) 2008 GDP valuation: Market prices Start/end months of reporting year: January/December Base year: 1995 Chain-weighted: No Primary domestic currency: Brazilian real Data last updated: 09/2015</t>
  </si>
  <si>
    <t>Source: Ministry of Finance or Treasury Latest actual data: 2014 Notes: General Government (GG) data refers to the non-financial public sector, which includes the federal, state and local governments as well as public enterprises (excluding Petrobras and Eletrobras), and is consolidated with the Sovereign Wealth Fund (SWF). Revenue and expenditures of federal public enterprises are added in full to the respective aggregates. Transfers or withdrawals from the SWF do not impact the primary balance. Disaggregated data on gross interest payments and interest receipts is available from 2003 onwards only. Prior to 2003, Total Revenue of the GG excludes interest receipts, while Total Expenditure of the GG includes net interest payments. Gross public debt includes the treasury bills at the central bank's balance sheet, including those not used under repurchase agreements. Net public debt consolidates GG, as defined above, with the Central Bank. Fiscal assumptions: For 2014, outturn estimates are based on the information available as of February 2015. Projections for 2015 take into account budget performance until April 2015, adjustment measures approved by the Congress and the Senate until May 2015, and the budget freeze (contingeciamento) announced by the government at the end of May 2015. In outer years, projections are consistent with the announced primary surplus objectives. Start/end months of reporting year: January/December GFS Manual used: Government Finance Statistics Manual (GFSM) 2001. Total Revenue includes disposal of non financial assets, and Net Acquisition of Nonfinancial Assets does not net out these proceeds. Basis of recording: Cash Valuation of public debt: Nominal value Primary domestic currency: Brazilian real Data last updated: 09/2015</t>
  </si>
  <si>
    <t>BRN</t>
  </si>
  <si>
    <t>Source: National Statistics Office. Department of Economic Planning and Development, Prime Minister's office. Latest actual data: 2014 National accounts manual used: SNA 1993 GDP valuation: Market prices Start/end months of reporting year: January/December Base year: 2010 Chain-weighted: No Primary domestic currency: Brunei dollar Data last updated: 09/2015</t>
  </si>
  <si>
    <t>Source: Ministry of Finance or Treasury Latest actual data: 2014. Latest observation Dec. 2014 Fiscal assumptions: Value added from energy sector and expected fiscal policies. Start/end months of reporting year: January/December. BRN team reports fiscal sector data on calendar year basis. Starting 2004, Brunei's fiscal year changed from January/December to April/March; however, we do not have longer series for FY basis data. GFS Manual used: Other Basis of recording: Cash General government includes: Central Government;. Budgetary central govt. Valuation of public debt: No liabilities Primary domestic currency: Brunei dollar Data last updated: 09/2015</t>
  </si>
  <si>
    <t>BGR</t>
  </si>
  <si>
    <t>Source: National Statistics Office Latest actual data: 2014 National accounts manual used: European System of Accounts (ESA) 2010 GDP valuation: Market prices Start/end months of reporting year: January/December Base year: 2010 Chain-weighted: Yes, from 1996 Primary domestic currency: Bulgarian lev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</si>
  <si>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Government;Social Security Funds Primary domestic currency: Bulgarian lev Data last updated: 09/2015</t>
  </si>
  <si>
    <t>BFA</t>
  </si>
  <si>
    <t>Source: National Statistics Office. The ministry of economy also provides estimates Latest actual data: 2014 National accounts manual used: System of National Accounts (SNA) 1993 GDP valuation: Market prices Start/end months of reporting year: January/December Base year: 1999 Chain-weighted: No Primary domestic currency: CFA franc Data last updated: 08/2015</t>
  </si>
  <si>
    <t>Source: Ministry of Finance or Treasury Latest actual data: 2014 Fiscal assumptions: Discussion with the authorities, past trends and impact of on going structural reforms Start/end months of reporting year: January/December GFS Manual used: Government Finance Statistics Manual (GFSM) 2001 Basis of recording: Commitment basis , with cash adjustment General government includes: Central Government; Valuation of public debt: Face value Primary domestic currency: CFA franc Data last updated: 08/2015</t>
  </si>
  <si>
    <t>BDI</t>
  </si>
  <si>
    <t>Source: National Statistics Office Latest actual data: 2011. No official national accounts data have been published since 1998. National accounts manual used: System of National Accounts (SNA) 1993 GDP valuation: Market prices Start/end months of reporting year: January/December Base year: 2005 Chain-weighted: No Primary domestic currency: Burundi franc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</si>
  <si>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 Valuation of public debt: Nominal value Primary domestic currency: Burundi franc Data last updated: 09/2015</t>
  </si>
  <si>
    <t>CPV</t>
  </si>
  <si>
    <t>Cabo Verde</t>
  </si>
  <si>
    <t>Source: National Statistics Office Latest actual data: 2014 Notes: The national accounts data have been revised from 2002 onward. The new data are obtained through a new computation methodology that uses an updated input-output table. The base year for the constant prices data is 2007. National accounts manual used: System of National Accounts (SNA) 2008 GDP valuation: Market prices Start/end months of reporting year: January/December Base year: 2007 Chain-weighted: Yes, from 2011 Primary domestic currency: Cabo Verde escudo Data last updated: 08/2015</t>
  </si>
  <si>
    <t>Source: Ministry of Finance Latest actual data: 2014 Fiscal assumptions: Estimations from Authorities and Staff Start/end months of reporting year: January/December GFS Manual used: Government Finance Statistics Manual (GFSM) 2001 Basis of recording: Accrual General government includes: Central Government;Social Security Funds Primary domestic currency: Cabo Verde escudo Data last updated: 08/2015</t>
  </si>
  <si>
    <t>KHM</t>
  </si>
  <si>
    <t>Source: National Statistics Office Latest actual data: 2013. The authorities' published data is up to 2013. National accounts manual used: System of National Accounts (SNA) 1993 GDP valuation: Market prices Start/end months of reporting year: January/December Base year: 2000 Chain-weighted: No Primary domestic currency: Cambodian riel Data last updated: 09/2015</t>
  </si>
  <si>
    <t>Source: Ministry of Finance or Treasury Latest actual data: 2014 Fiscal assumptions: Historical fiscal and monetary data are from the Cambodia authorities. Projections are based on staff's assumptions given discussions with the authorities. Start/end months of reporting year: January/December GFS Manual used: Government Finance Statistics Manual (GFSM) 1986 Basis of recording: Accrual General government includes: Central Government;Local Government; Valuation of public debt: Face value Primary domestic currency: Cambodian riel Data last updated: 09/2015</t>
  </si>
  <si>
    <t>CMR</t>
  </si>
  <si>
    <t>Source: National Statistics Office Latest actual data: 2014 National accounts manual used: System of National Accounts (SNA) 1993 GDP valuation: Market prices Start/end months of reporting year: January/December Base year: 2000 Chain-weighted: No Primary domestic currency: CFA franc Data last updated: 09/2015</t>
  </si>
  <si>
    <t>Source: Ministry of Finance or Treasury Latest actual data: 2014 Fiscal assumptions: Actual fiscal data and WEO projections Start/end months of reporting year: January/December GFS Manual used: Government Finance Statistics Manual (GFSM) 2001 Basis of recording: Cash General government includes: Central Government;Nonfinancial Public Corporation; Valuation of public debt: Current market value Primary domestic currency: CFA franc Data last updated: 09/2015</t>
  </si>
  <si>
    <t>CAN</t>
  </si>
  <si>
    <t>Source: National Statistics Office Latest actual data: 2014 National accounts manual used: System of National Accounts (SNA) 2008 GDP valuation: Market prices Start/end months of reporting year: January/December Base year: 2007 Chain-weighted: Yes, from 1980 Primary domestic currency: Canadian dollar Data last updated: 09/2015</t>
  </si>
  <si>
    <t>Source: Ministry of Finance or Treasury Latest actual data: 2014 Notes: Fiscal data are on a calendar year basis. Fiscal assumptions: Projections use the baseline forecasts in the Economic Action Plan 2015 and 2015 provincial budgets as available. The IMF staff makes some adjustments to this forecast for differences in macroeconomic projections. The IMF staff forecast also incorporates the most recent data releases from Statistics Canada?s Canadian System of National Economic Accounts, including federal, provincial, and territorial budgetary outturns through the end of the second quarter of 2015. Start/end months of reporting year: January/December GFS Manual used: Government Finance Statistics Manual (GFSM) 2001. Comment: Preliminary data: based on quarterly data. Basis of recording: Accrual General government includes: Central Government;State Government;Local Government;Social Security Funds; Valuation of public debt: Face value Primary domestic currency: Canadian dollar Data last updated: 09/2015</t>
  </si>
  <si>
    <t>CAF</t>
  </si>
  <si>
    <t>Source: National Statistics Office Latest actual data: 2012 National accounts manual used: System of National Accounts (SNA) 1993 GDP valuation: Market prices Start/end months of reporting year: January/December Base year: 2005 Chain-weighted: No Primary domestic currency: CFA franc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</si>
  <si>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 Primary domestic currency: CFA franc Data last updated: 09/2015</t>
  </si>
  <si>
    <t>TCD</t>
  </si>
  <si>
    <t>Source: Central Bank Latest actual data: 2013 National accounts manual used: Unknown GDP valuation: Market prices Start/end months of reporting year: January/December Base year: 2005 Chain-weighted: No Primary domestic currency: CFA franc Data last updated: 08/2015</t>
  </si>
  <si>
    <t>Source: Ministry of Finance or Treasury Latest actual data: 2014 Fiscal assumptions: Historical data series, annual budget, and additional data from the authorities Start/end months of reporting year: January/December GFS Manual used: Government Finance Statistics Manual (GFSM) 1986 Basis of recording: Cash General government includes: Central Government;Nonfinancial Public Corporation; Valuation of public debt: Face value Primary domestic currency: CFA franc Data last updated: 08/2015</t>
  </si>
  <si>
    <t>CHL</t>
  </si>
  <si>
    <t>Source: Central Bank Latest actual data: 2014 National accounts manual used: System of National Accounts (SNA) 2008 GDP valuation: Market prices Start/end months of reporting year: January/December Base year: 2008. Seasonally adjusted GDP data, therefore, base year is not equal to 100. Chain-weighted: Yes, from 2003 Primary domestic currency: Chilean peso Data last updated: 09/2015</t>
  </si>
  <si>
    <t>Source: Ministry of Finance or Treasury Latest actual data: 2014 Notes: GGCB and GGSB are approximated by the Central Government Cyclical-Adjusted Balance and Structural Balance, respectively as more than 90% of the expenditures and revenues are from the Central Government. Fiscal assumptions: Projections are based on the authorities? budget projections, adjusted to reflect the IMF staff?s projections for GDP and copper prices. Start/end months of reporting year: January/December GFS Manual used: Government Finance Statistics Manual (GFSM) 2001 Basis of recording: Accrual. Some elements including tax revenues are recorded on a cash basis General government includes: Central Government;Local Government; Valuation of public debt: Face value Primary domestic currency: Chilean peso Data last updated: 09/2015</t>
  </si>
  <si>
    <t>CHN</t>
  </si>
  <si>
    <t>Source: National Statistics Office. Data retrieved from CEIC Latest actual data: 2014 National accounts manual used: System of National Accounts (SNA) 2008 GDP valuation: Market prices. Authorities publish production-based measure; staff estimates expenditure-based measures. Start/end months of reporting year: January/December Base year: 1990 Chain-weighted: No Primary domestic currency: Chinese yuan Data last updated: 09/2015</t>
  </si>
  <si>
    <t>Source: Ministry of Finance or Treasury. Ministry of Finance (data retrieved from CEIC) and National Audit Office (NAO) (data obtained from NAO audit report) Latest actual data: 2014 Notes: Fiscal Balance: Data differ from official figures released by China?s Ministry of Finance mainly because of a difference in treatment of net contributions to the other accounts (e.g. Budget Stabilization Fund). General Government Debt: Data differ from official figures released by China?s Ministry of Finance because IMF numbers include, from 2010 onward, the stock of local government debt outstanding as reported in the June 2011 National Audit Office Report. For subsequent years, we have followed the amortization schedule outlined in the same report. Fiscal assumptions: The pace of fiscal consolidation is likely to be more gradual, reflecting reforms to strengthen social safety nets and the social security system announced as part of the Third Plenum reform agenda. Start/end months of reporting year: January/December GFS Manual used: Government Finance Statistics Manual (GFSM) 2001. Authorities do not publish in GFS Manual 2001. Data estimated by staff. Basis of recording: Cash General government includes: Central Government;Local Government;. Includes adjustments of stabilization fund, social security fund, and government-managed funds. Valuation of public debt: Face value Primary domestic currency: Chinese yuan Data last updated: 09/2015</t>
  </si>
  <si>
    <t>COL</t>
  </si>
  <si>
    <t>Source: National Statistics Office Latest actual data: 2014 National accounts manual used: Fifth Manual GDP valuation: Market prices Start/end months of reporting year: January/December Base year: 2005. DANE (Colombia Institute of Statistics) has done a rebasing of the national accounts (now base year is 2005 and before 2000). Data with the new base is ONLY AVAILABLE FROM 2000. The change also includes methodological changes (for example, direct estimation of private consumption based on a survey) and most important, change in the index formulae (historically a Laspeyres fixed-base index and now a Laspeyres chain index). The main implications are that the 2000 and 2005 series are not comparable and the chain index is associated with non-additivity of the components. Chain-weighted: Yes, from 2000 Primary domestic currency: Colombian peso Data last updated: 09/2015</t>
  </si>
  <si>
    <t>Source: Ministry of Finance or Treasury Latest actual data: 2014 Notes: Structural balance based on staff estimates; adjusts for the cyclical variation of GDP, oil prices and oil production levels. Start/end months of reporting year: January/December GFS Manual used: Government Finance Statistics Manual (GFSM) 2001. Transitioning toward 2001 manual Basis of recording: Revenue (cash); Expenditure (cash modified) General government includes: Central Government;State Government;Local Government;Social Security Funds;Other; Valuation of public debt: Face value Primary domestic currency: Colombian peso Data last updated: 09/2015</t>
  </si>
  <si>
    <t>COM</t>
  </si>
  <si>
    <t>Source: Planning Commissariat Latest actual data: 2013 National accounts manual used: Other GDP valuation: Market prices Start/end months of reporting year: January/December Base year: 2000 Chain-weighted: No Primary domestic currency: Comorian franc Data last updated: 08/2015</t>
  </si>
  <si>
    <t>Source: Ministry of Finance or Treasury Latest actual data: 2013 Start/end months of reporting year: January/December GFS Manual used: Government Finance Statistics Manual (GFSM) 1986 Basis of recording: Cash for expenditures, accrual for revenues General government includes: Central Government; Valuation of public debt: Nominal value Primary domestic currency: Comorian franc Data last updated: 08/2015</t>
  </si>
  <si>
    <t>COD</t>
  </si>
  <si>
    <t>Democratic Republic of the Congo</t>
  </si>
  <si>
    <t>Source: National Statistics Office Latest actual data: 2006. The latest National accounts data validated is for 2006. 2007-09 are preliminary and 2010-13 are estimates Notes: Data prior to 2001 cannot be confirmed by national sources at this time. National accounts manual used: System of National Accounts (SNA) 1993 GDP valuation: Market prices Start/end months of reporting year: January/December Base year: 2005 Chain-weighted: No Primary domestic currency: Congo franc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</si>
  <si>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Government;Local Government Primary domestic currency: Congo franc Data last updated: 09/2015</t>
  </si>
  <si>
    <t>COG</t>
  </si>
  <si>
    <t>Source: National Statistics Office Latest actual data: 2014 National accounts manual used: System of National Accounts (SNA) 1993 GDP valuation: Market prices Start/end months of reporting year: January/December Base year: 1990 Chain-weighted: No Primary domestic currency: CFA franc Data last updated: 09/2015</t>
  </si>
  <si>
    <t>Source: Ministry of Finance or Treasury Latest actual data: 2014 Start/end months of reporting year: January/December GFS Manual used: Government Finance Statistics Manual (GFSM) 2001 Basis of recording: Accrual General government includes: Central Government; Valuation of public debt: Nominal value Primary domestic currency: CFA franc Data last updated: 09/2015</t>
  </si>
  <si>
    <t>CRI</t>
  </si>
  <si>
    <t>Source: Central Bank Latest actual data: 2014 National accounts manual used: System of National Accounts (SNA) 1993 GDP valuation: Market prices Start/end months of reporting year: January/December Base year: 1991 Chain-weighted: No Primary domestic currency: Costa Rican colón Data last updated: 09/2015</t>
  </si>
  <si>
    <t>Source: Ministry of Finance and Central Bank. Latest actual data: 2014 Start/end months of reporting year: January/December GFS Manual used: Government Finance Statistics Manual (GFSM) 1986. Desk is working on the transition to GFS2001. Basis of recording: Cash General government includes: Central Government; Valuation of public debt: Nominal value Primary domestic currency: Costa Rican colón Data last updated: 09/2015</t>
  </si>
  <si>
    <t>CIV</t>
  </si>
  <si>
    <t>Source: National Statistics Office Latest actual data: 2012 National accounts manual used: System of National Accounts (SNA) 1993 GDP valuation: Market prices Start/end months of reporting year: January/December Base year: 2009 Chain-weighted: No Primary domestic currency: CFA franc Data last updated: 08/2015</t>
  </si>
  <si>
    <t>Source: Ministry of Finance or Treasury Latest actual data: 2014 Fiscal assumptions: based on the announced budget and adjusted to staff's less optimistic scenario. Start/end months of reporting year: January/December. The 2011 government finance data cover only the April/December period due to post-election crisis in 2011Q1, thus the fiscal GDP also covers the same 3 quarters. GFS Manual used: Government Finance Statistics Manual (GFSM) 1986 Basis of recording: Accrual General government includes: Central Government Primary domestic currency: CFA franc Data last updated: 08/2015</t>
  </si>
  <si>
    <t>HRV</t>
  </si>
  <si>
    <t>Source: National Statistics Office. Formally, the Central Bureau of Statistics of the Republic of Croatia (CroStat) Latest actual data: 2014 Notes: National account statistics for 1995?2008 were revised in 2009. Under the new ESA95 methodology, revised data include estimates for the "gray economy," imputed dwelling rates, and financial intermediation services indirectly measured (FISIM). GDP Data for 2005-2011 were revised in 2012. National accounts manual used: European System of Accounts (ESA) 2010 GDP valuation: Market prices Start/end months of reporting year: January/December Base year: 2005 Chain-weighted: No Primary domestic currency: Croatian kuna Data last updated: 09/2015</t>
  </si>
  <si>
    <t>Source: Ministry of Finance or Treasury Latest actual data: 2014 Fiscal assumptions: Projections based on macro framework and authorities' medium-term fiscal guidelines. Start/end months of reporting year: January/December GFS Manual used: Government Finance Statistics Manual (GFSM) 2001 Basis of recording: Accrual General government includes: Central Government;Local Government;Other; Valuation of public debt: Nominal value Primary domestic currency: Croatian kuna Data last updated: 09/2015</t>
  </si>
  <si>
    <t>CYP</t>
  </si>
  <si>
    <t>Source: Eurostat Latest actual data: 2014 National accounts manual used: ESA 2010 GDP valuation: Market prices Start/end months of reporting year: January/December Base year: 2005 Chain-weighted: Yes, from 1995 Primary domestic currency: Euro Data last updated: 08/2015</t>
  </si>
  <si>
    <t>Source: EUROSTAT Latest actual data: 2014 Fiscal assumptions: Projections are on a cash basis based on the latest information on the budget, fiscal measures, and staff's macroeconomic assumptions. Start/end months of reporting year: January/December GFS Manual used: Methodology is ESA 2010 Basis of recording: ESA 95 for history and ESA 95 classification but on a cash basis for projections in line with the program General government includes: Central Government;Local Government;Social Security Funds;. Extra-Budgetary Funds are also part of the General Government composition. Valuation of public debt: Face value Primary domestic currency: Euro Data last updated: 08/2015</t>
  </si>
  <si>
    <t>CZE</t>
  </si>
  <si>
    <t>Source: National Statistics Office Latest actual data: 2014 National accounts manual used: European System of Accounts (ESA) 2010 GDP valuation: Market prices Start/end months of reporting year: January/December Base year: 2010 Chain-weighted: Yes, from 1995 Primary domestic currency: Czech koruna Data last updated: 09/2015</t>
  </si>
  <si>
    <t>Source: Ministry of Finance or Treasury Latest actual data: 2014 Fiscal assumptions: Projections are based on the authorities? budget forecast for 2015-16 with adjustments for macroeconomic projections of the IMF staff. Projections for 2017 onwards are based on Convergence program.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Czech koruna Data last updated: 09/2015</t>
  </si>
  <si>
    <t>DNK</t>
  </si>
  <si>
    <t>Source: National Statistics Office Latest actual data: 2014 National accounts manual used: ESA 2010 GDP valuation: Market prices Start/end months of reporting year: January/December Base year: 2010 Chain-weighted: Yes, from 1980 Primary domestic currency: Danish krone Data last updated: 09/2015</t>
  </si>
  <si>
    <t>Source: National Statistics Office Latest actual data: 2014 Fiscal assumptions: Projections for 2014?15 are aligned with the latest official budget estimates and the underlying economic projections, adjusted where appropriate for the IMF staff?s macroeconomic assumptions. For 2016?20, the projections incorporate key features of the medium-term fiscal plan as embodied in the authorities? 2014 Convergence Program submitted to the EU.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Danish krone Data last updated: 09/2015</t>
  </si>
  <si>
    <t>DJI</t>
  </si>
  <si>
    <t>Source: National Statistics Office Latest actual data: 2014 GDP valuation: Market prices Start/end months of reporting year: January/December Base year: 1990 Chain-weighted: No Primary domestic currency: Djibouti franc Data last updated: 09/2015</t>
  </si>
  <si>
    <t>Source: Ministry of Finance or Treasury Latest actual data: 2014 Notes: GGE serie was changed as of July 2011 = current expenditure (before = total expenditure) Fiscal assumptions: Desk projections in absence of projections from authorities. Start/end months of reporting year: January/December GFS Manual used: Government Finance Statistics Manual (GFSM) 2001 Basis of recording: Accrual General government includes: Central Government; Valuation of public debt: Nominal value Primary domestic currency: Djibouti franc Data last updated: 09/2015</t>
  </si>
  <si>
    <t>DMA</t>
  </si>
  <si>
    <t>Source: National Statistics Office Latest actual data: 2014. Estimates. National accounts manual used: System of National Accounts (SNA) 1993 GDP valuation: Market prices Start/end months of reporting year: January/December Base year: 2006 Chain-weighted: No Primary domestic currency: Eastern Caribbean dollar Data last updated: 07/2015</t>
  </si>
  <si>
    <t>Source: Ministry of Finance or Treasury Latest actual data: 2013/14 Start/end months of reporting year: July/June GFS Manual used: Government Finance Statistics Manual (GFSM) 1986 Basis of recording: Cash General government includes: Central Government;. Debt corresponds to nonfinancial public sector (central government and SOEs) Valuation of public debt: Nominal value Primary domestic currency: Eastern Caribbean dollar Data last updated: 07/2015</t>
  </si>
  <si>
    <t>DOM</t>
  </si>
  <si>
    <t>Source: Central Bank Latest actual data: 2014 National accounts manual used: System of National Accounts (SNA) 2008 GDP valuation: Market prices Start/end months of reporting year: January/December Base year: 2007 Chain-weighted: Yes, from 2007 Primary domestic currency: Dominican peso Data last updated: 09/2015</t>
  </si>
  <si>
    <t>Source: Ministry of Finance or Treasury Latest actual data: 2014 Start/end months of reporting year: January/December GFS Manual used: Government Finance Statistics Manual (GFSM) 2001 Basis of recording: Accrual General government includes: Central Government;State Government;Local Government;Social Security Funds; Valuation of public debt: Face value Primary domestic currency: Dominican peso Data last updated: 09/2015</t>
  </si>
  <si>
    <t>ECU</t>
  </si>
  <si>
    <t>Source: Central Bank Latest actual data: 2014 Notes: The national accounts have been updated from 2002 onwards. Prior to 2002 the data are adjusted to produce smooth series with the use of splicing technique. These estimates continue to serve as proxies for historical series when complete information is unavailable. National accounts manual used: System of National Accounts (SNA) 1993 GDP valuation: Market prices Start/end months of reporting year: January/December Base year: 2007 Chain-weighted: No Primary domestic currency: U.S. dollar Data last updated: 09/2015</t>
  </si>
  <si>
    <t>Source: Source: Central Bank and Ministry of Finance Latest actual data: 2014 Fiscal assumptions: All the fiscal series are based on 1986 methodology. The authorities have adopted a non-standard accounting methodology for budgetary purposes. Staff does not use this methodology. Start/end months of reporting year: January/December GFS Manual used: Government Finance Statistics Manual (GFSM) 1986 Basis of recording: Cash General government includes: Central Government;State Government;Local Government;Social Security Funds;Nonfinancial Public Corporation Primary domestic currency: U.S. dollar Data last updated: 09/2015</t>
  </si>
  <si>
    <t>EGY</t>
  </si>
  <si>
    <t>Source: Ministry of Planning Latest actual data: 2013/14. Fiscal year 2013/2014 Notes: Data prior to 1987 cannot be confirmed by national sources at this time. National accounts manual used: System of National Accounts (SNA) 1993. From 2001/2002, the structure, concepts, definitions, and classifications follow the 1993 System and part of 2008 of National Accounts GDP valuation: Market prices. Data refer to fiscal years Start/end months of reporting year: July/June Base year: 2011/12. 2001/02 for demand side, 2011/12 for supply side Chain-weighted: No Primary domestic currency: Egyptian pound Data last updated: 09/2015</t>
  </si>
  <si>
    <t>Source: Ministry of Finance or Treasury Latest actual data: 2013/14. 2013/14 annual for General Government data. January 2015 for Budget Sector data. Fiscal assumptions: The fiscal projections are mainly based on budget sector operations (with trends of main variables discussed with the Ministry of Finance during the November 2014 consultation). Start/end months of reporting year: July/June GFS Manual used: Government Finance Statistics Manual (GFSM) 2001 Basis of recording: Cash General government includes: Central Government;Local Government;Social Security Funds;Other;. Central Government,Local Government,Social Security Funds,Other. General government includes budget sector (central government, local governorates and public service authorities), social insurance fund and national investment bank Valuation of public debt: Nominal value Primary domestic currency: Egyptian pound Data last updated: 09/2015</t>
  </si>
  <si>
    <t>SLV</t>
  </si>
  <si>
    <t>Source: Central Bank Latest actual data: 2014 National accounts manual used: Other GDP valuation: Market prices Start/end months of reporting year: January/December Base year: 1990 Chain-weighted: No Primary domestic currency: U.S. dollar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</si>
  <si>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Current market value Primary domestic currency: U.S. dollar Data last updated: 09/2015</t>
  </si>
  <si>
    <t>GNQ</t>
  </si>
  <si>
    <t>Source: Ministry of Economy and/or Planning. Ministry of Economy, Planning, and Public Investment, and Banque des Etats de l'Afrique Centrale (Central Bank) Latest actual data: 2013 Notes: Since 2006, IMF staff have estimated real GDP growth from hydrocarbon production and investment data and the government expenditure. The national authorities are considering the adoption of the IMF staff estimates. National accounts manual used: System of National Accounts (SNA) 1993 GDP valuation: Market prices Start/end months of reporting year: January/December Base year: 2006 Chain-weighted: No Primary domestic currency: CFA franc Data last updated: 09/2015</t>
  </si>
  <si>
    <t>Source: Ministry of Finance and Budget Latest actual data: 2014 Fiscal assumptions: Actual fiscal data and WEO projections Start/end months of reporting year: January/December GFS Manual used: Government Finance Statistics Manual (GFSM) 1986 Basis of recording: Cash General government includes: Central Government;. State/local government and other public institution are not covered due to limited information. Valuation of public debt: Nominal value Primary domestic currency: CFA franc Data last updated: 09/2015</t>
  </si>
  <si>
    <t>ERI</t>
  </si>
  <si>
    <t>Source: IMF Staff Estimates Latest actual data: 2006 National accounts manual used: System of National Accounts (SNA) 1993 GDP valuation: Market prices Start/end months of reporting year: January/December Base year: 2000 Chain-weighted: No Primary domestic currency: Eritrean nakfa Data last updated: 08/2015</t>
  </si>
  <si>
    <t>Source: Ministry of Finance or Treasury Latest actual data: 2008 Start/end months of reporting year: January/December GFS Manual used: Government Finance Statistics Manual (GFSM) 2001 Basis of recording: Cash General government includes: Central Government Primary domestic currency: Eritrean nakfa Data last updated: 08/2015</t>
  </si>
  <si>
    <t>EST</t>
  </si>
  <si>
    <t>Source: National Statistics Office Latest actual data: 2013 Notes: Data from 2003 onwards reflect methodological revisions. National accounts manual used: European System of Accounts (ESA) 2010 GDP valuation: Market prices Start/end months of reporting year: January/December Base year: 2010 Chain-weighted: Yes, from 1995 Primary domestic currency: Euro Data last updated: 09/2015</t>
  </si>
  <si>
    <t>Source: Ministry of Finance or Treasury Latest actual data: 2013 Fiscal assumptions: The forecast, which is cash-, not accrual-, based, incorporates the authorities? 2014 budget, adjusted for newly available information and for the staff?s macroeconomic scenario. Start/end months of reporting year: January/December GFS Manual used: Hybrid of 1986 and 2001 manuals used Basis of recording: Cash General government includes: Central Government;Local Government;Social Security Funds; Valuation of public debt: Nominal value. This is the format of data provided by the authorities. Primary domestic currency: Euro Data last updated: 09/2015</t>
  </si>
  <si>
    <t>ETH</t>
  </si>
  <si>
    <t>Source: National Statistics Office Latest actual data: 2013/14 National accounts manual used: System of National Accounts (SNA) 1993 GDP valuation: Factor costs. Data refer to fiscal years (July/June). Data for 2011 represent fiscal year 2010/11. Start/end months of reporting year: July/June Base year: 2011. The base year is 2010/11 Chain-weighted: No Primary domestic currency: Ethiopian birr Data last updated: 09/2015</t>
  </si>
  <si>
    <t>Source: Ministry of Finance or Treasury Latest actual data: 2013/14 Start/end months of reporting year: July/June GFS Manual used: Government Finance Statistics Manual (GFSM) 1986 Basis of recording: Cash General government includes: Central Government;State Government;Local Government;Nonfinancial Public Corporation; Valuation of public debt: Nominal value Primary domestic currency: Ethiopian birr Data last updated: 09/2015</t>
  </si>
  <si>
    <t>FJI</t>
  </si>
  <si>
    <t>Source: National Statistics Office. Fiji Islands Bureau of Statistics Latest actual data: 2013. Latest data are available from 2008-2012, prior to 2008 the series has been spliced using growth rates National accounts manual used: Combination of 2008 and 1993 SNA GDP valuation: Factor costs Start/end months of reporting year: January/December Base year: 2008. The data have been rebased to 2008 but are available from 2008-2012 only. Prior to 2008 the series have been spliced based on 2005 growth rates Primary domestic currency: Fiji dollar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</si>
  <si>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 Valuation of public debt: Face value Primary domestic currency: Fiji dollar Data last updated: 09/2015</t>
  </si>
  <si>
    <t>FIN</t>
  </si>
  <si>
    <t>Source: National Statistics Office. Downloaded through Haver Analytics and DataInsight Latest actual data: 2014 National accounts manual used: ESA 2010 GDP valuation: Market prices Start/end months of reporting year: January/December Base year: 2010 Chain-weighted: Yes, from 1980 Primary domestic currency: Euro Data last updated: 09/2015</t>
  </si>
  <si>
    <t>Source: Ministry of Finance or Treasury Latest actual data: 2014 Fiscal assumptions: Based on announced policies by the authorities, adjusted for the Staff macroeconomic scenario.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Euro Data last updated: 09/2015</t>
  </si>
  <si>
    <t>FRA</t>
  </si>
  <si>
    <t>Source: National Statistics Office Latest actual data: 2014 National accounts manual used: European System of Accounts (ESA) 2010 GDP valuation: Market prices Start/end months of reporting year: January/December Base year: 2010. On May 15 2014 the National Accounts were rebased from 2005 to 2010. In addition, concepts underpinning the computation of accounts have been substantially modified in compliance with the new European System of Accounts (ESA, 2010). One important methodological change affects the computation of R&amp;D expenditures as an investment (previously registered as intermediate consumption) which results in a substantial revision in the GDP level. Chain-weighted: Yes, from 1980 Primary domestic currency: Euro Data last updated: 08/2015</t>
  </si>
  <si>
    <t>Source: National Statistics Office Latest actual data: 2014 Fiscal assumptions: Projections for 2015 reflect the budget law. For 2016?17, they are based on the multiyear budget and the April 2015 Stability Program adjusted for differences in assumptions on macro and financial variables, and revenue projections. Historical fiscal data reflect the May 2015 revision and update of the fiscal accounts and national accounts. Start/end months of reporting year: January/December GFS Manual used: Government Finance Statistics Manual (GFSM) 2001 Basis of recording: Accrual General government includes: Central Government;Local Government;Social Security Funds;Other; Valuation of public debt: Face value Primary domestic currency: Euro Data last updated: 08/2015</t>
  </si>
  <si>
    <t>GAB</t>
  </si>
  <si>
    <t>Source: Ministry of Finance or Treasury Latest actual data: 2013 National accounts manual used: System of National Accounts (SNA) 1993 GDP valuation: Market prices Start/end months of reporting year: January/December Base year: 2001 Chain-weighted: No Primary domestic currency: CFA franc Data last updated: 09/2015</t>
  </si>
  <si>
    <t>Source: IMF Staff Estimates Latest actual data: 2014 Start/end months of reporting year: January/December GFS Manual used: Government Finance Statistics Manual (GFSM) 2001 Basis of recording: Accrual General government includes: Central Government; Valuation of public debt: Nominal value Primary domestic currency: CFA franc Data last updated: 09/2015</t>
  </si>
  <si>
    <t>GMB</t>
  </si>
  <si>
    <t>Source: National Statistics Office Latest actual data: 2012 National accounts manual used: System of National Accounts (SNA) 1993 GDP valuation: Market prices Start/end months of reporting year: January/December Base year: 2004 Chain-weighted: No Primary domestic currency: Gambian dalasi Data last updated: 09/2015</t>
  </si>
  <si>
    <t>Source: Ministry of Finance or Treasury Latest actual data: 2013 Fiscal assumptions: Projections are based on known projects and commitments, macroeconomic projections, and anticipated policy changes. Start/end months of reporting year: January/December GFS Manual used: Government Finance Statistics Manual (GFSM) 2001 Basis of recording: Cash General government includes: Central Government; Valuation of public debt: Nominal value Primary domestic currency: Gambian dalasi Data last updated: 09/2015</t>
  </si>
  <si>
    <t>GEO</t>
  </si>
  <si>
    <t>Georgia</t>
  </si>
  <si>
    <t>Source: National Statistics Office Latest actual data: 2014 National accounts manual used: System of National Accounts (SNA) 1993 GDP valuation: Market prices Start/end months of reporting year: January/December Base year: 2000 Chain-weighted: Yes, from 1996 Primary domestic currency: Georgian lari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</si>
  <si>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 Valuation of public debt: Nominal value Primary domestic currency: Georgian lari Data last updated: 09/2015</t>
  </si>
  <si>
    <t>DEU</t>
  </si>
  <si>
    <t>Germany</t>
  </si>
  <si>
    <t>Source: National Statistics Office Latest actual data: 2014 Notes: Data until 1990 refers to German federation only (West Germany). National accounts data until 1990 do not include FISIM. Data from 1991 refer to United Germany and include FISIM. National accounts manual used: ESA 2010 data used for historical series. GDP valuation: Market prices Start/end months of reporting year: January/December Base year: 2010. The GDP deflator in the base year is not exactly equal to 100 since it is computed based on the quarterly real GDP data, which have been adjusted for seasonal and calendar effects. Chain-weighted: Yes, from 1991. From 1991. Primary domestic currency: Euro Data last updated: 09/2015</t>
  </si>
  <si>
    <t>Source: National Statistics Office. Data of general government gross debt comes from EUROSTAT Latest actual data: 2014 Notes: Costs related to the large influx of asylum seekers may reduce the general government surplus in 2015-16 relative to the Fall 2015 WEO projections. Fiscal assumptions: The IMF staff?s projections for 2015 and beyond reflect the authorities? adopted core federal government budget plan and the 2015 German Stability Programme, adjusted for the differences in the IMF staff?s macroeconomic framework. The estimate of gross debt includes portfolios of impaired assets and noncore business transferred to institutions that are winding up, as well as other financial sector and EU support operations. Start/end months of reporting year: January/December GFS Manual used: Government Finance Statistics Manual (GFSM) 2001 Basis of recording: Accrual General government includes: Central Government;State Government;Local Government;Social Security Funds;. other refers to special funds Valuation of public debt: Face value Primary domestic currency: Euro Data last updated: 09/2015</t>
  </si>
  <si>
    <t>GHA</t>
  </si>
  <si>
    <t>Ghana</t>
  </si>
  <si>
    <t>Source: National Statistics Office Latest actual data: 2014 National accounts manual used: System of National Accounts (SNA) 1993 GDP valuation: Market prices Start/end months of reporting year: January/December Base year: 2006 Chain-weighted: No Primary domestic currency: Ghanaian cedi Data last updated: 08/2015</t>
  </si>
  <si>
    <t>Source: Ministry of Finance or Treasury Latest actual data: 2014 Start/end months of reporting year: January/December GFS Manual used: Government Finance Statistics Manual (GFSM) 2001 Basis of recording: Cash General government includes: Central Government;State Government;Local Government; Valuation of public debt: Face value Primary domestic currency: Ghanaian cedi Data last updated: 08/2015</t>
  </si>
  <si>
    <t>GRC</t>
  </si>
  <si>
    <t>Source: National Statistics Office. Formally, the National Statistical Office (ELSTAT) Latest actual data: 2014. For quarterly data, latest actual is 2015Q2. Notes: The National Statistical Office has significantly and repeatedly revised national accounts data over the course of the past several years. Official data are only available from 1995. Staff has estimated data prior to 1995 using growth rates from previous releases of the World Economic Outlook. Therefore, these estimates should be treated as provisional. National accounts manual used: European System of Accounts (ESA) 2010 GDP valuation: Market prices Start/end months of reporting year: January/December Base year: 2010 Chain-weighted: Yes, from 1995 Primary domestic currency: Euro Data last updated: 09/2015</t>
  </si>
  <si>
    <t>Source: Ministry of Finance or Treasury Latest actual data: 2014. 2014 data are preliminary. Fiscal assumptions: The fiscal projections for 2015 and the medium term are staff estimates based on the fiscal package included in the ESM program agreed between Greece and its European partners and on information available as of August 12, 2015. Start/end months of reporting year: January/December GFS Manual used: Government Finance Statistics Manual (GFSM) 1986 Basis of recording: Accrual. Data from 2006 onwards in line with ESA-2010. Data prior to 2006 based on ESA-95. General government includes: Central Government;Local Government;Social Security Funds; Valuation of public debt: Nominal value. Net debt data, including historical data, are provisional. Gross debt decreases due to privatization receipts greater than the fiscal deficit. Primary domestic currency: Euro Data last updated: 09/2015</t>
  </si>
  <si>
    <t>GRD</t>
  </si>
  <si>
    <t>Source: National Statistics Office Latest actual data: 2014. Estimates. National accounts manual used: System of National Accounts (SNA) 1993 GDP valuation: Market prices Start/end months of reporting year: January/December Base year: 2006 Chain-weighted: No Primary domestic currency: Eastern Caribbean dollar Data last updated: 09/2015</t>
  </si>
  <si>
    <t>Source: Ministry of Finance or Treasury Latest actual data: 2014 Start/end months of reporting year: January/December GFS Manual used: Government Finance Statistics Manual (GFSM) 2001 Basis of recording: Commitments Basis General government includes: Central Government;. Debt corresponds to central government + guaranteed Valuation of public debt: Nominal value Primary domestic currency: Eastern Caribbean dollar Data last updated: 09/2015</t>
  </si>
  <si>
    <t>GTM</t>
  </si>
  <si>
    <t>Source: Central Bank Latest actual data: 2014 National accounts manual used: System of National Accounts (SNA) 1993 GDP valuation: Market prices Start/end months of reporting year: January/December Base year: 2001 Chain-weighted: Yes, from 2001 Primary domestic currency: Guatemalan quetzal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</si>
  <si>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Guatemalan quetzal Data last updated: 09/2015</t>
  </si>
  <si>
    <t>GIN</t>
  </si>
  <si>
    <t>Source: National Statistics Office Latest actual data: 2009 Notes: Data prior to 1995 cannot be confirmed by national sources at this time. National accounts manual used: System of National Accounts (SNA) 1993 GDP valuation: Market prices Start/end months of reporting year: January/December Base year: 2003 Chain-weighted: No Primary domestic currency: Guinean franc Data last updated: 08/2015</t>
  </si>
  <si>
    <t>Source: Ministry of Finance or Treasury Latest actual data: 2014 Start/end months of reporting year: January/December GFS Manual used: Government Finance Statistics Manual (GFSM) 2001 Basis of recording: Other General government includes: Central Government; Valuation of public debt: Nominal value Primary domestic currency: Guinean franc Data last updated: 08/2015</t>
  </si>
  <si>
    <t>GNB</t>
  </si>
  <si>
    <t>Source: National Statistics Office Latest actual data: 2011 Notes: Data prior to 1997 cannot be confirmed by national sources at this time. National accounts manual used: System of National Accounts (SNA) 1993 GDP valuation: Market prices Start/end months of reporting year: January/December Base year: 2005 Chain-weighted: No Primary domestic currency: CFA franc Data last updated: 09/2015</t>
  </si>
  <si>
    <t>Source: Ministry of Finance or Treasury Latest actual data: 2011 Start/end months of reporting year: January/December GFS Manual used: Government Finance Statistics Manual (GFSM) 2001 Basis of recording: Accrual. Guinea-Bissu fiscal is anchored on an accrual basis. Only overall balance is presented on both cash and accrual basis. General government includes: Central Government;. General government is only composed of central government. Valuation of public debt: Nominal value Primary domestic currency: CFA franc Data last updated: 09/2015</t>
  </si>
  <si>
    <t>GUY</t>
  </si>
  <si>
    <t>Source: National Statistics Office Latest actual data: 2012 National accounts manual used: System of National Accounts (SNA) 1993 GDP valuation: Factor costs Start/end months of reporting year: January/December Base year: 2006. Previous base year 1988. Rebased to 2006 in 2009. GDP deflator not equal to 100 in base year (2006) because the nominal GDP at market prices includes indirect taxes. Chain-weighted: No Primary domestic currency: Guyana dollar Data last updated: 09/2015</t>
  </si>
  <si>
    <t>Source: Ministry of Finance or Treasury Latest actual data: 2012 Fiscal assumptions: Consistent with other sectors. Start/end months of reporting year: January/December GFS Manual used: Government Finance Statistics Manual (GFSM) 2001 Basis of recording: Cash General government includes: Central Government;Social Security Funds; Valuation of public debt: Nominal value Primary domestic currency: Guyana dollar Data last updated: 09/2015</t>
  </si>
  <si>
    <t>HTI</t>
  </si>
  <si>
    <t>Source: National Statistics Office Latest actual data: 2014/15 National accounts manual used: System of National Accounts (SNA) 2008 GDP valuation: Market prices Start/end months of reporting year: October/September Base year: 1987. Fiscal year 1986-1987 Chain-weighted: No Primary domestic currency: Haitian gourde Data last updated: 09/2015</t>
  </si>
  <si>
    <t>Source: Ministry of Finance or Treasury Latest actual data: 2014/15 Notes: General Government only includes Central Government Start/end months of reporting year: October/September GFS Manual used: Government Finance Statistics Manual (GFSM) 2001 Basis of recording: Cash General government includes: Central Government; Valuation of public debt: Nominal value Primary domestic currency: Haitian gourde Data last updated: 09/2015</t>
  </si>
  <si>
    <t>HND</t>
  </si>
  <si>
    <t>Source: Central Bank Latest actual data: 2013. Estimates of the CBH, subject to change National accounts manual used: System of National Accounts (SNA) 1993 GDP valuation: Market prices Start/end months of reporting year: January/December Base year: 2000 Chain-weighted: No Primary domestic currency: Honduran lempira Data last updated: 09/2015</t>
  </si>
  <si>
    <t>Source: Ministry of Finance or Treasury Latest actual data: 2013. preliminary Start/end months of reporting year: January/December GFS Manual used: Government Finance Statistics Manual (GFSM) 1986. Desk is working on the transition to GFS2001. Basis of recording: Accrual General government includes: Central Government;Local Government;Social Security Funds;Nonfinancial Public Corporation;Other; Valuation of public debt: Nominal value Primary domestic currency: Honduran lempira Data last updated: 09/2015</t>
  </si>
  <si>
    <t>HKG</t>
  </si>
  <si>
    <t>Hong Kong SAR</t>
  </si>
  <si>
    <t>Source: National Statistics Office. Data retrieved from CEIC Latest actual data: 2014 National accounts manual used: System of National Accounts (SNA) 2008 GDP valuation: Market prices Start/end months of reporting year: January/December Base year: 2013 Chain-weighted: Yes, from 1980 Primary domestic currency: Hong Kong dollar Data last updated: 09/2015</t>
  </si>
  <si>
    <t>Source: National Statistics Office. Data retrieved from CEIC Latest actual data: 2014/15 Fiscal assumptions: Projections are based on the authorities? medium-term fiscal projections on expenditures. Start/end months of reporting year: April/March GFS Manual used: Government Finance Statistics Manual (GFSM) 2001 Basis of recording: Cash General government includes: Central Government; Valuation of public debt: Face value Primary domestic currency: Hong Kong dollar Data last updated: 09/2015</t>
  </si>
  <si>
    <t>HUN</t>
  </si>
  <si>
    <t>Source: National Statistics Office Latest actual data: 2014. Preliminary Notes: We maintain data only after 1995, as this is what the Statistical office provides. National accounts manual used: European System of Accounts (ESA) 1995 GDP valuation: Market prices Start/end months of reporting year: January/December Base year: 2005 Chain-weighted: Yes, from 2005. Changes in inventories is an estimate. Primary domestic currency: Hungarian forint Data last updated: 07/2015</t>
  </si>
  <si>
    <t>Source: Ministry of Economy and/or Planning. Ministry of National Economy; Eurostat Latest actual data: 2014. Preliminary Fiscal assumptions: Fiscal projections include IMF staff projections of the macroeconomic framework and of the impact of recent legislative measures, as well as fiscal policy plans announced in the 2015 budget. Start/end months of reporting year: January/December GFS Manual used: Government Finance Statistics Manual (GFSM) 2001 Basis of recording: Accrual General government includes: Central Government;Local Government;Social Security Funds;Nonmonetary Financial Public Corporations;. State Government does not apply to Hungary Valuation of public debt: Face value Primary domestic currency: Hungarian forint Data last updated: 07/2015</t>
  </si>
  <si>
    <t>ISL</t>
  </si>
  <si>
    <t>Source: National Statistics Office Latest actual data: 2014 National accounts manual used: European System of Accounts (ESA) 2010 GDP valuation: Market prices Start/end months of reporting year: January/December Base year: 2005 Chain-weighted: Yes, from 1990 Primary domestic currency: Icelandic króna Data last updated: 09/2015</t>
  </si>
  <si>
    <t>Source: National Statistics Office Latest actual data: 2014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Icelandic króna Data last updated: 09/2015</t>
  </si>
  <si>
    <t>IND</t>
  </si>
  <si>
    <t>Source: National Statistics Office. The original data is in fiscal years, which begins in April and ends in March, to match with authorities' reporting methods. Latest actual data: 2014/15. Official data for the latest year are revised estimates. Data available on quarter-by-quarter basis. National accounts manual used: System of National Accounts (SNA) 1993 GDP valuation: Market prices Start/end months of reporting year: April/March Base year: 2011/12. The base year is by Fiscal Year, which is April to March (e.g. FY2004: April 2004 ? March 2005) Chain-weighted: No Primary domestic currency: Indian rupee Data last updated: 09/2015</t>
  </si>
  <si>
    <t>Source: Ministry of Finance or Treasury. and IMF staff calculations Latest actual data: 2013/14. State Level data arrive with significantly longer lag than Central data. Fiscal assumptions: Historical data are based on budgetary execution data. Projections are based on available information on the authorities? fiscal plans, with adjustments for IMF staff assumptions. Subnational data are incorporated with a lag of up to two years; general government data are thus finalized well after central government data. IMF and Indian presentations differ, particularly regarding divestment and license auction proceeds, net versus gross recording of revenues in certain minor categories, and some public sector lending. Start/end months of reporting year: April/March. The original data from the authority is on FY (Apr/Mar) basis. GFS Manual used: Government Finance Statistics Manual (GFSM) 2001 Basis of recording: Accrual General government includes: Central Government;State Government;. This is according to the authorities' account standards. Valuation of public debt: Nominal value. Authorities debt figures often Primary domestic currency: Indian rupee Data last updated: 09/2015</t>
  </si>
  <si>
    <t>IDN</t>
  </si>
  <si>
    <t>Source: National Statistics Office. Accessed via Haver Data. Latest actual data: 2014 National accounts manual used: System of National Accounts (SNA) 2008. National account SNA 2008 was recently released in 2015 and the authorities publish data from 2010 only. Whenever applicable, the desks use spliced series from Haver for data prior 2010. GDP valuation: Market prices Start/end months of reporting year: January/December Base year: 2010 Chain-weighted: No Primary domestic currency: Indonesian rupiah Data last updated: 09/2015</t>
  </si>
  <si>
    <t>Source: Ministry of Finance or Treasury Latest actual data: 2014 Fiscal assumptions: IMF projections are based on moderate tax policy and administration reforms, fuel subsidy pricing reforms introduced in January 2015, and a gradual increase in social and capital spending over the medium term in line with fiscal space Start/end months of reporting year: January/December. From 2000 onward GFS Manual used: Government Finance Statistics Manual (GFSM) 2001 Basis of recording: Cash. The budget in Indonesia is reported on cash basis. There is an ongoing project to change to accrual basis in their reporting in the coming years. General government includes: Central Government;Local Government;. The general government composition consists of Central Government and Subnational levels, including Provinces and municipalities. Social Security Funds will be included in the general government reporting in the future. Valuation of public debt: Face value. Book value Primary domestic currency: Indonesian rupiah Data last updated: 09/2015</t>
  </si>
  <si>
    <t>IRN</t>
  </si>
  <si>
    <t>Source: Central Bank Latest actual data: 2014/15 Notes: GDP in current prices in U.S. dollars is calculated by using the official exchange rate of the Central Bank of Iran (CBI), except for the years 2011- 2015 when the applicable exchange rate is a weighted average of the CBI official exchange rate and the parallel market exchange rate. National accounts manual used: System of National Accounts (SNA) 1993 GDP valuation: Market prices. Data refer to fiscal years Start/end months of reporting year: April/March Base year: 2004. 2004/05=100 Chain-weighted: No Primary domestic currency: Iranian rial Data last updated: 09/2015</t>
  </si>
  <si>
    <t>Source: Ministry of Finance or Treasury Latest actual data: 2014/15 Notes: Excludes Targeted Subsidy Organization and National Development Fund Start/end months of reporting year: April/March GFS Manual used: Government Finance Statistics Manual (GFSM) 2001 Basis of recording: Cash. Accrual accounting method is not used General government includes: Central Government;. General Government data set equal to Central Government since General Government data are not reported. Valuation of public debt: Nominal value Primary domestic currency: Iranian rial Data last updated: 09/2015</t>
  </si>
  <si>
    <t>IRQ</t>
  </si>
  <si>
    <t>Source: National Statistics Office Latest actual data: 2014. Latest actual data available through Q2 2014. GDP valuation: Market prices Start/end months of reporting year: January/December Base year: 2007. Base year rebased from 1988 to 2007 in end-2014. Chain-weighted: No Primary domestic currency: Iraqi dinar  Data last updated: 09/2015</t>
  </si>
  <si>
    <t>Source: Ministry of Finance or Treasury Latest actual data: 2014. 2014 data are preliminary. Start/end months of reporting year: January/December GFS Manual used: Government Finance Statistics Manual (GFSM) 2001 Basis of recording: Cash General government includes: Central Government; Valuation of public debt: Current market value Primary domestic currency: Iraqi dinar  Data last updated: 09/2015</t>
  </si>
  <si>
    <t>IRL</t>
  </si>
  <si>
    <t>Source: National Statistics Office. Central Statistical Office of Ireland (CSO) Latest actual data: 2014 Notes: Prior to 1995 Real GDP is calculated using implied growth rates and excludes services produced by financial intermediaries (FISIM). National accounts manual used: European System of Accounts (ESA) 2010. The revision of NAs in accordance with ESA 2010 starts in 1995. GDP valuation: Market prices Start/end months of reporting year: January/December Base year: 2013 Chain-weighted: Yes, from 2013 Primary domestic currency: Euro Data last updated: 09/2015</t>
  </si>
  <si>
    <t>Source: Ministry of Finance or Treasury Latest actual data: 2014 Fiscal assumptions: Fiscal projections are based on the 2015 budget. The fiscal projections are adjusted for differences between the IMF staff?s macroeconomic projections and those of the Irish authorities. Start/end months of reporting year: January/December GFS Manual used: Government Finance Statistics Manual (GFSM) 2001. Data are provided with ESA 2010 and mapped to GFS Basis of recording: Accrual General government includes: Central Government;Local Government;Social Security Funds;Other; Valuation of public debt: Nominal value Primary domestic currency: Euro Data last updated: 09/2015</t>
  </si>
  <si>
    <t>ISR</t>
  </si>
  <si>
    <t>Source: Haver Analytics Latest actual data: 2014 National accounts manual used: System of National Accounts (SNA) 2008. The System of National Accounts was revised in August 2013 in accordance with changes in the new System of National Accounts 2008. GDP valuation: Market prices Start/end months of reporting year: January/December Base year: 2010 Chain-weighted: Yes, from 1995 Primary domestic currency: Israeli shekel Data last updated: 09/2015</t>
  </si>
  <si>
    <t>Source: Ministry of Finance or Treasury Latest actual data: 2014 Fiscal assumptions: Historical data are based on Government Finance Statistics (GFS) submitted by the Central Bureau of Statistics. Monetary policy stance is assumed to be unchanged. Start/end months of reporting year: January/December GFS Manual used: Government Finance Statistics Manual (GFSM) 2001 Basis of recording: Quasi-accrual basis. General government includes: Central Government;Local Government;Social Security Funds; Valuation of public debt: Nominal value Primary domestic currency: Israeli shekel Data last updated: 09/2015</t>
  </si>
  <si>
    <t>ITA</t>
  </si>
  <si>
    <t>Source: National Statistics Office Latest actual data: 2014 National accounts manual used: ESA2010 GDP valuation: Gross domestic product, chained Start/end months of reporting year: January/December Base year: 2010 Chain-weighted: Yes, from 1980 Primary domestic currency: Euro Data last updated: 09/2015</t>
  </si>
  <si>
    <t>Source: National Statistics Office Latest actual data: 2014 Fiscal assumptions: IMF staff estimates and projections are based on the fiscal plans included in the government's 2015 Budget, April 2015 Economic and Financial Document, and subsequently approved measures. Estimates of the cyclically adjusted balance include the expenditure to clear capital arrears in 2013, which are excluded from the structural balance. After 2015, the IMF staff projects convergence to a structural balance in line with Italy?s fiscal rule, which implies corrective measures in some years, as yet unidentified.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</si>
  <si>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JAM</t>
  </si>
  <si>
    <t>Source: National Statistics Office Latest actual data: 2014 National accounts manual used: System of National Accounts (SNA) 1993 GDP valuation: Market prices Start/end months of reporting year: January/December Base year: 2007. Base year was changed from 2003 to 2007 for the Spring 2012 WEO round. Chain-weighted: No Primary domestic currency: Jamaica dollar Data last updated: 09/2015</t>
  </si>
  <si>
    <t>Source: Ministry of Finance or Treasury Latest actual data: 2014/15 Notes: All fiscal and debt series data in WEO are on fiscal year basis. Fiscal assumptions: Based on policies to be implemented under the EFF Start/end months of reporting year: April/March GFS Manual used: Government Finance Statistics Manual (GFSM) 1986. Public Bodies also  report in 1986 format. Basis of recording: Cash General government includes: Central Government;. The fiscal coverage is central government only Valuation of public debt: Nominal value. The debt coverage is central government and public bodies Primary domestic currency: Jamaica dollar Data last updated: 09/2015</t>
  </si>
  <si>
    <t>JPN</t>
  </si>
  <si>
    <t>Source: Cabinet Office of Japan via Haver database. Latest actual data: 2014 National accounts manual used: System of National Accounts (SNA) 1993 GDP valuation: Market prices Start/end months of reporting year: January/December Base year: 2005 Chain-weighted: Yes, from 1980 Primary domestic currency: Japanese yen Data last updated: 09/2015</t>
  </si>
  <si>
    <t>Source: Cabinet Office of Japan via Haver database. Latest actual data: 2013. Authorities release fiscal data with an 18 month delay. Fiscal assumptions: The projections include fiscal measures already announced by the government, including consumption tax increases, earthquake reconstruction spending, and the stimulus package. Start/end months of reporting year: January/December GFS Manual used: Government Finance Statistics Manual (GFSM) 2001 Basis of recording: Accrual General government includes: Central Government;Local Government;Social Security Funds;. Government in Japan consists of 3 layers: central, prefectural, and municipal. The latter two government levels are covered under local government. There is no government at the state level in Japan. Valuation of public debt: Nominal value. Gross public debt includes equity shares. Primary domestic currency: Japanese yen Data last updated: 09/2015</t>
  </si>
  <si>
    <t>JOR</t>
  </si>
  <si>
    <t>Source: National Statistics Office Latest actual data: 2013 GDP valuation: Market prices Start/end months of reporting year: January/December Base year: 1994 Chain-weighted: No Primary domestic currency: Jordanian dinar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</si>
  <si>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Government;Nonfinancial Public Corporation;. Central government up to 2012. Starting in 2013, the government balance includes direct transfers to NEPCO (4.3 and 2.7 percent of GDP in 2013 and 2014). Valuation of public debt: Face value Primary domestic currency: Jordanian dinar Data last updated: 09/2015</t>
  </si>
  <si>
    <t>KAZ</t>
  </si>
  <si>
    <t>Source: National Statistics Office Latest actual data: 2014 Notes: Data prior to 1996 cannot be confirmed by national sources at this time. GDP valuation: Market prices. Official GDP is calculated based on production, which does not match the total by expenditure?s components. Start/end months of reporting year: January/December Base year: 2007 Chain-weighted: Yes, from 1994 Primary domestic currency: Kazakhstani tenge Data last updated: 09/2015</t>
  </si>
  <si>
    <t>Source: IMF Staff Estimates Latest actual data: 2014 Fiscal assumptions: Budget Law and staff projections Start/end months of reporting year: January/December GFS Manual used: Government Finance Statistics Manual (GFSM) 2001 Basis of recording: Accrual General government includes: Central Government;Local Government; Valuation of public debt: Nominal value Primary domestic currency: Kazakhstani tenge Data last updated: 09/2015</t>
  </si>
  <si>
    <t>KEN</t>
  </si>
  <si>
    <t>Source: National Statistics Office Latest actual data: 2014 National accounts manual used: System of National Accounts (SNA) 2008 GDP valuation: Market prices Start/end months of reporting year: January/December Base year: 2009 Chain-weighted: No Primary domestic currency: Kenya shillings Data last updated: 09/2015</t>
  </si>
  <si>
    <t>Source: Ministry of Finance or Treasury Latest actual data: 2014. Raw data is in fiscal year, which runs from July to June. Start/end months of reporting year: January/December. Reporting year is calendar year, done by taking the average of fiscal years. For example, 2000 is the average of 1999/2000 and 2000/2001. GFS Manual used: Government Finance Statistics Manual (GFSM) 2001 Basis of recording: Accrual General government includes: Central Government; Valuation of public debt: Current market value Primary domestic currency: Kenya shillings Data last updated: 09/2015</t>
  </si>
  <si>
    <t>KIR</t>
  </si>
  <si>
    <t>Source: National Statistics Office Latest actual data: 2013 GDP valuation: Market prices Base year: 2006 Chain-weighted: No Primary domestic currency: Australian dollar Data last updated: 07/2015</t>
  </si>
  <si>
    <t>Source: Ministry of Finance or Treasury Latest actual data: 2013 Start/end months of reporting year: January/December GFS Manual used: Government Finance Statistics Manual (GFSM) 1986. GFS manual adjusted for data shortcomings Basis of recording: Cash General government includes: Central Government;Local Government Primary domestic currency: Australian dollar Data last updated: 07/2015</t>
  </si>
  <si>
    <t>KOR</t>
  </si>
  <si>
    <t>Korea</t>
  </si>
  <si>
    <t>Source: Central Bank. The Bank of Korea revised the national accounts data when adopting the 2008 System of National Accounts (SNA). Official data are only available from 2000. Data prior to 2000 were obtained by applying the growth rates of the previous data series and should be treated as provisional. Latest actual data: 2014 National accounts manual used: System of National Accounts (SNA) 2008 GDP valuation: Market prices Start/end months of reporting year: January/December Base year: 2010 Chain-weighted: Yes, from before 1980 Primary domestic currency: Korean won Data last updated: 09/2015</t>
  </si>
  <si>
    <t>Source: Ministry of Finance or Treasury Latest actual data: 2014 Fiscal assumptions: The medium-term forecast incorporates the government?s announced medium-term consolidation path. Start/end months of reporting year: January/December GFS Manual used: Government Finance Statistics Manual (GFSM) 2001 Basis of recording: Cash General government includes: Central Government;. For government gross/net debt only, general government includes central government and local government, starting from 2001. Valuation of public debt: Nominal value Primary domestic currency: Korean won Data last updated: 09/2015</t>
  </si>
  <si>
    <t>UVK</t>
  </si>
  <si>
    <t>Kosovo</t>
  </si>
  <si>
    <t>Source: National Statistics Office. We have received revised National Accounts data. Latest actual data: 2013 National accounts manual used: European System of Accounts (ESA) 2010 GDP valuation: Market prices Start/end months of reporting year: January/December Base year: 2013 Chain-weighted: No Primary domestic currency: Euro Data last updated: 09/2015</t>
  </si>
  <si>
    <t>Source: Ministry of Finance or Treasury Latest actual data: 2013 Fiscal assumptions: Authorities Budget and medium-term expenditure framework as well as staff expectations. Start/end months of reporting year: January/December GFS Manual used: Other Basis of recording: Cash General government includes: Central Government;Local Government;Other; Valuation of public debt: Face value Primary domestic currency: Euro Data last updated: 09/2015</t>
  </si>
  <si>
    <t>KWT</t>
  </si>
  <si>
    <t>Source: Ministry of Planning and Central Statistical Office Latest actual data: 2014. The latest year of  data for national accounts at constant prices is 2012. Notes: Real GDP data for the period 1990-2009 have been adjusted by desk economist to account for breaks in the source data. The breaks are associated with changes in the base year from 1984 to 1995, to 2000, and subsequently to 2010. Pre-revision data exist for the period prior to 1995. The nominal data were revised back to 1995. The latest revision of nominal and real data go to 2010. Using the pre-revision data, desk economist recalculated the constant price data for the period prior to 1995 so that y-o-y change of each component remains unchanged. A similar adjustment was made to the period 1995-2009. National accounts manual used: System of National Accounts (SNA) 1993 GDP valuation: Market prices Start/end months of reporting year: January/December Base year: 2010. Nominal data has been revised by country authorities, therefore, deflators do not add to 100 until the Real figures get revised. Chain-weighted: No Primary domestic currency: Kuwaiti dinar Data last updated: 09/2015</t>
  </si>
  <si>
    <t>Source: Ministry of Finance or Treasury Latest actual data: 2014. FY 2013/14 Fiscal assumptions: Staff projections Start/end months of reporting year: January/December. Source data comes in fiscal year (March/April) basis. Calendar year data calculated by IMF staff using a weighted average of the fiscal data. GFS Manual used: Government Finance Statistics Manual (GFSM) 1986 Basis of recording: Cash. Some transactions recorded on accrual basis. General government includes: Central Government; Valuation of public debt: Nominal value Primary domestic currency: Kuwaiti dinar Data last updated: 09/2015</t>
  </si>
  <si>
    <t>KGZ</t>
  </si>
  <si>
    <t>Source: National Statistics Office Latest actual data: 2014 National accounts manual used: System of National Accounts (SNA) 1993 GDP valuation: Market prices Start/end months of reporting year: January/December Base year: 2007 Chain-weighted: No Primary domestic currency: Kyrgyz som Data last updated: 09/2015</t>
  </si>
  <si>
    <t>Source: Ministry of Finance or Treasury Latest actual data: 2014 Start/end months of reporting year: January/December GFS Manual used: Not reported according to GFS Basis of recording: Cash General government includes: Central Government;Local Government;Social Security Funds; Valuation of public debt: Face value Primary domestic currency: Kyrgyz som Data last updated: 09/2015</t>
  </si>
  <si>
    <t>LAO</t>
  </si>
  <si>
    <t>Source: National Statistics Office Latest actual data: 2013 National accounts manual used: System of National Accounts (SNA) 1993 GDP valuation: Market prices. by Activity at Constant Price 2002 Start/end months of reporting year: January/December Base year: 2002 Chain-weighted: No Primary domestic currency: Lao kip Data last updated: 09/2015</t>
  </si>
  <si>
    <t>Source: Ministry of Finance or Treasury Latest actual data: 2012/13 Start/end months of reporting year: October/September GFS Manual used: Government Finance Statistics Manual (GFSM) 2001 Basis of recording: Cash General government includes: Central Government Primary domestic currency: Lao kip Data last updated: 09/2015</t>
  </si>
  <si>
    <t>LVA</t>
  </si>
  <si>
    <t>Source: National Statistics Office Latest actual data: 2013 National accounts manual used: European System of Accounts (ESA) 2010 GDP valuation: Market prices Start/end months of reporting year: January/December Base year: 2010 Chain-weighted: Yes, from 1995 Primary domestic currency: Euro Data last updated: 07/2015</t>
  </si>
  <si>
    <t>Source: Ministry of Finance or Treasury Latest actual data: 2013 Start/end months of reporting year: January/December GFS Manual used: NAS Basis of recording: Cash General government includes: Central Government;Local Government;Social Security Funds;Nonfinancial Public Corporation; Valuation of public debt: Nominal value Primary domestic currency: Euro Data last updated: 07/2015</t>
  </si>
  <si>
    <t>LBN</t>
  </si>
  <si>
    <t>Source: National Statistics Office. 2004-2011 Latest actual data: 2011. Data for 2004-2011 revised as per the latest data from the statistics office. National accounts manual used: System of National Accounts (SNA) 2008. Accounts were established according to the SNA 2008 but with simplified model adapted to Lebanon. . GDP valuation: Market prices Start/end months of reporting year: January/December Base year: 2000. Used by Fund staff (the authorities use 2010 as base year). Chain-weighted: Yes, from 2010. The previous year is used as base year. Primary domestic currency: Lebanese pound Data last updated: 09/2015</t>
  </si>
  <si>
    <t>Source: Ministry of Finance or Treasury Latest actual data: 2013 Fiscal assumptions: Revenue projections are made based on the macroeconomic assumptions and revenue buoyancy of various taxes (as measures by elasticity measures and staff's understanding of the authorities' tax policy measures). On the spending side, projections reflect the authorities' projections, with a few deviations to take into account key macroeconomic assumptions (e.g., WEO oil price for subsidies to the electricity company). Monetary projections are based on key assumptions on deposits growth, dollarization and credit to private sector. Start/end months of reporting year: January/December GFS Manual used: Government Finance Statistics Manual (GFSM) 1986. GFSM 2001 has been adopted but should be refined. Budgetary expenditure data are reported on a modified cash basis, corresponding to the issuance of payment orders. Basis of recording: Cash. Modified cash basis (only corrects for arrears) General government includes: Central Government; Valuation of public debt: Nominal value Primary domestic currency: Lebanese pound Data last updated: 09/2015</t>
  </si>
  <si>
    <t>LSO</t>
  </si>
  <si>
    <t>Source: National Statistics Office Latest actual data: 2014 Notes: Revised national accounts were released in November 2008 where GDP was rebased from 1981 to 2007. National accounts manual used: The authorities produce estimates of GDP on the basis of sectoral production GDP valuation: Market prices Start/end months of reporting year: January/December. Manually converted to Calendar Year where available Base year: 2004 Chain-weighted: No Primary domestic currency: Lesotho loti Data last updated: 09/2015</t>
  </si>
  <si>
    <t>Source: Ministry of Finance or Treasury Latest actual data: 2014/15 Start/end months of reporting year: April/March GFS Manual used: Government Finance Statistics Manual (GFSM) 2001 Basis of recording: Cash General government includes: Central Government;Local Government; Valuation of public debt: Current market value Primary domestic currency: Lesotho loti Data last updated: 09/2015</t>
  </si>
  <si>
    <t>LBR</t>
  </si>
  <si>
    <t>Source: Central Bank of Liberia Latest actual data: 2011 Notes: Real GDP are in billions of U.S. dollars National accounts manual used: System of National Accounts (SNA) 1993. National accounts data for LBR are staff estimates, LBR has not yet produced national accounts yet. GDP valuation: Market prices. Offical data reported in billions of U.S. dollars. Start/end months of reporting year: January/December Base year: 1992 Chain-weighted: No Primary domestic currency: U.S. dollars Data last updated: 09/2015</t>
  </si>
  <si>
    <t>Source: Ministry of Finance or Treasury Latest actual data: 2013 Notes: Debt relief was granted in 2009, which explained the high number for that year in general government net lending/borrowing. Start/end months of reporting year: January/December GFS Manual used: Government Finance Statistics Manual (GFSM) 2001 Basis of recording: Accrual General government includes: Central Government; Valuation of public debt: Face value Primary domestic currency: U.S. dollars Data last updated: 09/2015</t>
  </si>
  <si>
    <t>LBY</t>
  </si>
  <si>
    <t>Source: Ministry of Planning . Latest actual data: 2014 National accounts manual used: System of National Accounts (SNA) 1993 GDP valuation: Market prices. Compiled using the 1968 System of National Accounts (SNA) methodology. Start/end months of reporting year: January/December Base year: 2003 Chain-weighted: No Primary domestic currency: Libyan dinar Data last updated: 09/2015</t>
  </si>
  <si>
    <t>Source: Ministry of  Finance Latest actual data: 2014 Start/end months of reporting year: January/December GFS Manual used: Government Finance Statistics Manual (GFSM) 1986 Basis of recording: Cash General government includes: Central Government;State Government;Local Government; Valuation of public debt: Face value Primary domestic currency: Libyan dinar Data last updated: 09/2015</t>
  </si>
  <si>
    <t>LTU</t>
  </si>
  <si>
    <t>Source: National Statistics Office. Data from Statistics Lithuania: http://www.stat.gov.lt/en/ Latest actual data: 2013. Latest actual data are 2014 Q2. Notes: Data prior to 1995 cannot be confirmed by national sources at this time. National accounts manual used: European System of Accounts (ESA) 2010 GDP valuation: Market prices Start/end months of reporting year: January/December Base year: 2010 Chain-weighted: Yes, from 2005 Primary domestic currency: Lithuanian litas Data last updated: 09/2015</t>
  </si>
  <si>
    <t>Source: Ministry of Finance or Treasury Latest actual data: 2013 Fiscal assumptions: Fiscal projections for 2014 are based on the authorities? budget after adjusting for differences in macroeconomic assumptions, and performance so far. Projections for 2015 onward are passive projections, as measures to underpin the authorities' public commitment to further consolidation have not yet been specified. Start/end months of reporting year: January/December GFS Manual used: Government Finance Statistics Manual (GFSM) 2001 Basis of recording: Accrual General government includes: Central Government;Local Government;Social Security Funds; Valuation of public debt: Nominal value. This is the format of data presented by the authorities. Primary domestic currency: Lithuanian litas Data last updated: 09/2015</t>
  </si>
  <si>
    <t>LUX</t>
  </si>
  <si>
    <t>Source: National Statistics Office Latest actual data: 2014 National accounts manual used: European System of Accounts (ESA) 2010 GDP valuation: Market prices Start/end months of reporting year: January/December Base year: 2010 Chain-weighted: Yes, from 1995. The Luxembourg statistics office (STATEC) publishes the national accounts data starting from 2000 only. Previously, the same data were published from 1995, but when the authorities moved to the ESA 2010 standard, the historical data were only revised back to 2000. Primary domestic currency: Euro Data last updated: 09/2015</t>
  </si>
  <si>
    <t>Source: Ministry of Finance or Treasury Latest actual data: 2014 Fiscal assumptions: These projections include assumptions based on the 2015 budget and the medium-term projections presented in April-May 2015.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</si>
  <si>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MKD</t>
  </si>
  <si>
    <t>Source: National Statistics Office Latest actual data: 2014 National accounts manual used: European System of Accounts (ESA) 2010 GDP valuation: Market prices Start/end months of reporting year: January/December Base year: 2005 Chain-weighted: No Primary domestic currency: Macedonian denar Data last updated: 09/2015</t>
  </si>
  <si>
    <t>Source: Ministry of Finance or Treasury Latest actual data: 2014 Fiscal assumptions: Budget forecast and medium term projections. Start/end months of reporting year: January/December GFS Manual used: Government Finance Statistics Manual (GFSM) 1986. Lending minus repayment is included in total expenditures Basis of recording: Cash General government includes: Central Government;State Government;Social Security Funds; Valuation of public debt: Nominal value Primary domestic currency: Macedonian denar Data last updated: 09/2015</t>
  </si>
  <si>
    <t>MDG</t>
  </si>
  <si>
    <t>Source: National Statistics Office Latest actual data: 2014 GDP valuation: Market prices Start/end months of reporting year: January/December Base year: 2000 Chain-weighted: No Primary domestic currency: Malagasy ariary Data last updated: 09/2015</t>
  </si>
  <si>
    <t>Source: Ministry of Finance or Treasury Latest actual data: 2014 Start/end months of reporting year: January/December GFS Manual used: Government Finance Statistics Manual (GFSM) 1986 Basis of recording: Cash. Mostly cash General government includes: Central Government;Local Government;. Data is for central government Primary domestic currency: Malagasy ariary Data last updated: 09/2015</t>
  </si>
  <si>
    <t>MWI</t>
  </si>
  <si>
    <t>Source: National Statistics Office Latest actual data: 2014 National accounts manual used: System of National Accounts (SNA) 2008 GDP valuation: Market prices Start/end months of reporting year: January/December Base year: 2010 Chain-weighted: No Primary domestic currency: Malawi kwacha Data last updated: 09/2015</t>
  </si>
  <si>
    <t>Source: Ministry of Finance or Treasury Latest actual data: 2014/15 Start/end months of reporting year: July/June GFS Manual used: Government Finance Statistics Manual (GFSM) 1986 Basis of recording: Cash General government includes: Central Government Primary domestic currency: Malawi kwacha Data last updated: 09/2015</t>
  </si>
  <si>
    <t>MYS</t>
  </si>
  <si>
    <t>Source: National Statistics Office. From Department of Statistics Malaysia (DOS) downloaded via CEIC Latest actual data: 2014 Notes: GDP was rebased by the National Statistical Office, new base year is 2010. The official series starts in 2010. Data prior to that is spliced based on the old series. National accounts manual used: System of National Accounts (SNA) 2008 GDP valuation: Market prices Start/end months of reporting year: January/December Base year: 2010. Data prior to 2005 are spliced by the desk;  we have shared the spliced data and the methodology with the authorities. Chain-weighted: No Primary domestic currency: Malaysian ringgit Data last updated: 09/2015</t>
  </si>
  <si>
    <t>Source: Ministry of Finance or Treasury Latest actual data: 2013 Fiscal assumptions: Fiscal year 2013 is based on actual outtturn. Fiscal year 2014 projections are based on preliminary outturn for H1 and staff projections taking into account the budget numbers. For the remainder of the projection period, the IMF staff assumes that the authorities undertake subsidy reform starting in 2015 and the introduction of GST in 2015. Start/end months of reporting year: January/December GFS Manual used: Government Finance Statistics Manual (GFSM) 1986 Basis of recording: Cash General government includes: Central Government;State Government;Local Government;. General government also includes 79 statutory bodies with individual budgets. Valuation of public debt: Nominal value Primary domestic currency: Malaysian ringgit Data last updated: 09/2015</t>
  </si>
  <si>
    <t>MDV</t>
  </si>
  <si>
    <t>Source: Ministry of Finance or Treasury. National Bureau of Statistics Latest actual data: 2014. The last two years are estimated figures National accounts manual used: System of National Accounts (SNA) 1993 GDP valuation: Market prices. Production-based measure. Start/end months of reporting year: January/December Base year: 2003 Chain-weighted: No Primary domestic currency: Maldivian rufiyaa Data last updated: 09/2015</t>
  </si>
  <si>
    <t>Source: Ministry of Finance and Treasury Latest actual data: 2014. budget estimates Start/end months of reporting year: January/December. Calendar GFS Manual used: Government Finance Statistics Manual (GFSM) 1986 Basis of recording: Cash General government includes: Central Government; Valuation of public debt: Nominal value. During the mission in Oct/Nov 2010, we found that the public guaranteed SOE debt for 2009 was only 20 percent of the figure previously reported. As a result, public debt to GDP ratio has declined significantly for 2009. Primary domestic currency: Maldivian rufiyaa Data last updated: 09/2015</t>
  </si>
  <si>
    <t>MLI</t>
  </si>
  <si>
    <t>Source: Ministry of Finance or Treasury Latest actual data: 2011 Notes: National accounts have new methodology starting in 1990. National accounts manual used: System of National Accounts (SNA) 1993 GDP valuation: Market prices Start/end months of reporting year: January/December Base year: 1987 Chain-weighted: No Primary domestic currency: CFA franc Data last updated: 09/2015</t>
  </si>
  <si>
    <t>Source: Ministry of Finance or Treasury Latest actual data: 2013 Fiscal assumptions: Aprroved budget and agreed program budget for current year; authorities'medium-term fiscal framework plus staff estimates for outer years. Start/end months of reporting year: January/December GFS Manual used: Government Finance Statistics Manual (GFSM) 2001 Basis of recording: Expenditure is reported on accrual basis, revenue on a cash basis (except for corporate income tax, which has a separate reporting regime) General government includes: Central Government; Valuation of public debt: Nominal value Primary domestic currency: CFA franc Data last updated: 09/2015</t>
  </si>
  <si>
    <t>MLT</t>
  </si>
  <si>
    <t>Source: Haver Analytics. Eurostat Latest actual data: 2013 National accounts manual used: ESA2010 GDP valuation: Market prices Start/end months of reporting year: January/December Base year: 2010 Chain-weighted: Yes, from 2000 Primary domestic currency: Euro Data last updated: 09/2015</t>
  </si>
  <si>
    <t>Source: NSO data via Eurostat Latest actual data: 2013 Fiscal assumptions: Projections are based on the latest Stability Programme Update by the authorities and budget documents, adjusted for staff's macroeconomic and other assumptions. Start/end months of reporting year: January/December GFS Manual used: Government Finance Statistics Manual (GFSM) 2001 Basis of recording: Accrual General government includes: Central Government;Social Security Funds; Valuation of public debt: Nominal value Primary domestic currency: Euro Data last updated: 09/2015</t>
  </si>
  <si>
    <t>MHL</t>
  </si>
  <si>
    <t>Source: National Statistics Office Latest actual data: 2013 National accounts manual used: Other GDP valuation: Market prices Start/end months of reporting year: October/September Base year: 2004. Base year is Fiscal Year 2004 (Calendar Year 2003/2004). Chain-weighted: No Primary domestic currency: U.S. dollar Data last updated: 08/2015</t>
  </si>
  <si>
    <t>Source: Ministry of Finance or Treasury Latest actual data: 2012/13 Start/end months of reporting year: October/September. Data only available for Fiscal Year for most series, the desk estimates calendar year data are the same with fiscal year data. GFS Manual used: Government Finance Statistics Manual (GFSM) 2001 Basis of recording: Accrual General government includes: Central Government;Local Government;Social Security Funds; Valuation of public debt: Face value Primary domestic currency: U.S. dollar Data last updated: 08/2015</t>
  </si>
  <si>
    <t>MRT</t>
  </si>
  <si>
    <t>Source: National Statistics Office Latest actual data: 2014 National accounts manual used: System of National Accounts (SNA) 1993 GDP valuation: Market prices Start/end months of reporting year: January/December Base year: 2004 Chain-weighted: No Primary domestic currency: Mauritanian ouguiya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</si>
  <si>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Mauritanian ouguiya Data last updated: 09/2015</t>
  </si>
  <si>
    <t>MUS</t>
  </si>
  <si>
    <t>Source: National Statistics Office Latest actual data: 2014 Notes: Figures for exports and imports of services are not equal to those compiled by the BOM, due to the difference in the treatment of FISIM by CSO and BOM. National accounts manual used: System of National Accounts (SNA) 1993 GDP valuation: Market prices Start/end months of reporting year: January/December Base year: 2006 Chain-weighted: Yes, from 1999 Primary domestic currency: Mauritian rupee Data last updated: 09/2015</t>
  </si>
  <si>
    <t>Source: Ministry of Finance or Treasury Latest actual data: 2013 Notes: The overall balance (Central Government net lending and borrowing)  and primary balance series do not include flows from extra-budgetary funds starting in 2007. Fiscal assumptions: Authorities and Staff Calculations Start/end months of reporting year: January/December GFS Manual used: Government Finance Statistics Manual (GFSM) 2001 Basis of recording: Cash. Few non-cash calculations. General government includes: Central Government;State Government;Local Government;Nonfinancial Public Corporation; Valuation of public debt: Face value Primary domestic currency: Mauritian rupee Data last updated: 09/2015</t>
  </si>
  <si>
    <t>MEX</t>
  </si>
  <si>
    <t>Source: National Statistics Office Latest actual data: 2014 National accounts manual used: System of National Accounts (SNA) 2008 GDP valuation: Market prices Start/end months of reporting year: January/December Base year: 2008 Chain-weighted: No Primary domestic currency: Mexican peso Data last updated: 09/2015</t>
  </si>
  <si>
    <t>Source: Ministry of Finance or Treasury Latest actual data: 2014 Fiscal assumptions: Fiscal projections for 2015 are broadly in line with the approved budget; projections for 2016 onward assume compliance with rules established in the Fiscal Responsibility Law. Start/end months of reporting year: January/December GFS Manual used: Government Finance Statistics Manual (GFSM) 2001. Currently the Mexico team is submitting data to WEO using GFSM2001 classification by doing some in-house adjustments with the help of STA. This classification is also used to present fiscal tables in the Art IV reports (in addition to standard tables used for discussion with Mexican authorities). However, Mexican authorities are not yet reporting public finance data using the GFSM2001 manual. Thus, accrual data are not available to the Mexico team. Basis of recording: Cash General government includes: Central Government;Social Security Funds;Nonfinancial Public Corporation;. Mexican authorities currently report fiscal data including the central government, financial and non-financial public corporations and entities, and the social security system. As of today, this is the relevant coverage level for policy discussion with Mexican authorities, and the team believes that it is important to keep the broadest available coverage. As the authorities continue transitioning toward GFSM2001 and report data accordingly, the Mexico team will be able to report data in line with GFSM2001, in particular regarding state governments.   Valuation of public debt: Face value Primary domestic currency: Mexican peso Data last updated: 09/2015</t>
  </si>
  <si>
    <t>FSM</t>
  </si>
  <si>
    <t>Source: National Statistics Office Latest actual data: 2013 National accounts manual used: Other GDP valuation: Market prices Start/end months of reporting year: October/September Base year: 2004 Chain-weighted: No Primary domestic currency: U.S. dollar Data last updated: 07/2015</t>
  </si>
  <si>
    <t>Source: Ministry of Finance or Treasury Latest actual data: 2013/14 Fiscal assumptions: Accrual basis following fiscal year Start/end months of reporting year: October/September GFS Manual used: Government Finance Statistics Manual (GFSM) 2001 Basis of recording: Other General government includes: Central Government;State Government;Local Government;Social Security Funds; Valuation of public debt: Face value Primary domestic currency: U.S. dollar Data last updated: 07/2015</t>
  </si>
  <si>
    <t>MDA</t>
  </si>
  <si>
    <t>Source: National Statistics Office Latest actual data: 2014 National accounts manual used: System of National Accounts (SNA) 1993 GDP valuation: Market prices Start/end months of reporting year: January/December Base year: 1995 Chain-weighted: No Primary domestic currency: Moldovan leu Data last updated: 07/2015</t>
  </si>
  <si>
    <t>Source: Ministry of Finance or Treasury Latest actual data: 2014 Fiscal assumptions: Various bases and  growth rates for GDP, consumption , import, wages, energy prices, demographic changes.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Moldovan leu Data last updated: 07/2015</t>
  </si>
  <si>
    <t>MNG</t>
  </si>
  <si>
    <t>Source: National Statistics Office. Discrepancies rise from staff estimates based on the balance of payment data and the authorities' data on net exports at constant price. Latest actual data: 2014 Notes: Data prior to 1991 cannot be confirmed by national sources. Data after 2000 has been rebased National accounts manual used: System of National Accounts (SNA) 1993 GDP valuation: Market prices Start/end months of reporting year: January/December Base year: 2010 Chain-weighted: No Primary domestic currency: Mongolian togrog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</si>
  <si>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Government;State Government;Local Government;Social Security Funds; Valuation of public debt: Face value Primary domestic currency: Mongolian togrog Data last updated: 09/2015</t>
  </si>
  <si>
    <t>MNE</t>
  </si>
  <si>
    <t>Source: National Statistics Office Latest actual data: 2014 National accounts manual used: European System of Accounts (ESA) 1995 GDP valuation: Market prices Start/end months of reporting year: January/December Base year: 2006 Chain-weighted: No Primary domestic currency: Euro Data last updated: 09/2015</t>
  </si>
  <si>
    <t>Source: Ministry of Finance or Treasury Latest actual data: 2014 Fiscal assumptions: Medium-Term framework and fiscal policy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Euro Data last updated: 09/2015</t>
  </si>
  <si>
    <t>MAR</t>
  </si>
  <si>
    <t>Source: National Statistics Office Latest actual data: 2014 National accounts manual used: System of National Accounts (SNA) 1993 GDP valuation: Market prices Start/end months of reporting year: January/December Base year: 2007 Chain-weighted: Yes, from 2007 Primary domestic currency: Moroccan dirham Data last updated: 09/2015</t>
  </si>
  <si>
    <t>Source: Ministry of Economy and/or Planning Latest actual data: 2014 Fiscal assumptions: Authorties' and staff estimates Start/end months of reporting year: January/December GFS Manual used: Government Finance Statistics Manual (GFSM) 2001 Basis of recording: Accrual General government includes: Central Government;. Other level fiscal data is not available from the authorities. Valuation of public debt: Face value Primary domestic currency: Moroccan dirham Data last updated: 09/2015</t>
  </si>
  <si>
    <t>MOZ</t>
  </si>
  <si>
    <t>Source: National Statistics Office. Instituto Nacional de Estadistica (INE). Latest actual data: 2014 Notes: Data prior to 1992 cannot be confirmed by national sources at this time. National accounts manual used: System of National Accounts (SNA) 1993 GDP valuation: Market prices Start/end months of reporting year: January/December Base year: 2009. Authorities report GDP on constant 2003 prices. Chain-weighted: No Primary domestic currency: Mozambican metical Data last updated: 08/2015</t>
  </si>
  <si>
    <t>Source: Ministry of Finance or Treasury Latest actual data: 2013 Fiscal assumptions: Fiscal projections assume a moderate increase in revenue/GDP, commensurate increase in domestic primary spending, and accounts for a lower aid flow, with grants contribution declining. These projections have been discussed during the 2009 review missions. Start/end months of reporting year: January/December GFS Manual used: Government Finance Statistics Manual (GFSM) 2001 Basis of recording: Mix accrual and cash basis General government includes: Central Government;State Government; Valuation of public debt: Nominal value. Authorities report on stock of debt on a nominal basis. Data for the DSA are calculated discounting maturities over the relevant period Primary domestic currency: Mozambican metical Data last updated: 08/2015</t>
  </si>
  <si>
    <t>MMR</t>
  </si>
  <si>
    <t>Source: Ministry of National Planning and Economic Development Latest actual data: 2013/14 National accounts manual used: Other GDP valuation: Market prices. Data refer to fiscal years Start/end months of reporting year: April/March Base year: 2010/11 Chain-weighted: No Primary domestic currency: Myanmar kyat Data last updated: 08/2015</t>
  </si>
  <si>
    <t>Source: Ministry of Finance or Treasury Latest actual data: 2013/14 Fiscal assumptions: Fiscal projections are made based on budget numbers, discussions with the authorities, and staff adjustments. Start/end months of reporting year: April/March GFS Manual used: Government Finance Statistics Manual (GFSM) 2001 Basis of recording: Partly cash, partly accrual General government includes: Central Government;Nonfinancial Public Corporation; Valuation of public debt: Face value Primary domestic currency: Myanmar kyat Data last updated: 08/2015</t>
  </si>
  <si>
    <t>NAM</t>
  </si>
  <si>
    <t>Source: National Statistics Office Latest actual data: 2014 National accounts manual used: System of National Accounts (SNA) 1993 GDP valuation: Market prices Start/end months of reporting year: January/December Base year: 2000 Chain-weighted: No Primary domestic currency: Namibia dollar Data last updated: 08/2015</t>
  </si>
  <si>
    <t>Source: Ministry of Finance or Treasury Latest actual data: 2014/15 Start/end months of reporting year: April/March GFS Manual used: Government Finance Statistics Manual (GFSM) 2001 Basis of recording: Cash General government includes: Central Government;Other; Valuation of public debt: Nominal value Primary domestic currency: Namibia dollar Data last updated: 08/2015</t>
  </si>
  <si>
    <t>NPL</t>
  </si>
  <si>
    <t>Source: National Statistics Office Latest actual data: 2013/14 National accounts manual used: System of National Accounts (SNA) 1993 GDP valuation: Market prices. Data refer to fiscal years Start/end months of reporting year: August/July. Fiscal year starts on July 16th. Base year: 2000/01. Data prior to 2000/01 were estimated by IMF staff by using data splicing Chain-weighted: No Primary domestic currency: Nepalese rupee Data last updated: 09/2015</t>
  </si>
  <si>
    <t>Source: Ministry of Finance or Treasury Latest actual data: 2013/14 Start/end months of reporting year: August/July GFS Manual used: Government Finance Statistics Manual (GFSM) 2001 Basis of recording: Cash General government includes: Central Government;. Coverage of fiscal accounts in Nepal is limited to Central Government. Valuation of public debt: Face value Primary domestic currency: Nepalese rupee Data last updated: 09/2015</t>
  </si>
  <si>
    <t>NLD</t>
  </si>
  <si>
    <t>Source: National Statistics Office Latest actual data: 2014 National accounts manual used: ESA 2010 GDP valuation: Market prices Start/end months of reporting year: January/December Base year: 2010 Chain-weighted: Yes, from 1980 Primary domestic currency: Euro Data last updated: 09/2015</t>
  </si>
  <si>
    <t>Source: Ministry of Finance or Treasury Latest actual data: 2014 Fiscal assumptions: Fiscal projections for the period 2015?20 are based on the authorities? Bureau for Economic Policy Analysis budget projections, after differences in macroeconomic assumptions are adjusted for. Historical data were revised following the June 2014 Central Bureau of Statistics release of revised macro data because of the adoption of the European System of National and Regional Accounts (ESA 2010) and the revisions of data sources.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Euro Data last updated: 09/2015</t>
  </si>
  <si>
    <t>NZL</t>
  </si>
  <si>
    <t>Source: Statistics New Zealand Latest actual data: 2014 GDP valuation: Market prices. Data refer to calendar years Start/end months of reporting year: January/December Base year: 2009/10. 2009/10 Chain-weighted: Yes, from 1987 Primary domestic currency: New Zealand dollar Data last updated: 09/2015</t>
  </si>
  <si>
    <t>Source: Ministry of Finance or Treasury Latest actual data: 2013/14. 2013/14 fiscal year Fiscal assumptions: Fiscal projections are based on the authorities? 2015?16 budget documents and on IMF staff estimates. Start/end months of reporting year: January/December GFS Manual used: GFSM 2001 Basis of recording: Accrual General government includes: Central Government;. Central Government Valuation of public debt: Current market value Primary domestic currency: New Zealand dollar Data last updated: 09/2015</t>
  </si>
  <si>
    <t>NIC</t>
  </si>
  <si>
    <t>Source: IMF Staff Estimates Latest actual data: 2014 Notes: Due to political and economic events (civil war and hyperinflation) data prior to 1995 are less reliable. National accounts manual used: System of National Accounts (SNA) 1993. In 2012 Nicaragua officially changed the base year of the national accounts from 1994 to 2006. In 2003 Nicaragua officially changed the base year of the national accounts from 1980 to 1994 and adopted the United Nations System of National Accounts (SNA93) for the calculation of GDP. Methodology described in: http://www.bcn.gob.ni/publicaciones/eventuales/pib_trimestral/PIB_Trimestral.pdf GDP valuation: Market prices Start/end months of reporting year: January/December Base year: 2006 Chain-weighted: Yes, from 1994. annual overlap Primary domestic currency: Nicaraguan córdoba Data last updated: 08/2015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</si>
  <si>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Nicaraguan córdoba Data last updated: 08/2015</t>
  </si>
  <si>
    <t>NER</t>
  </si>
  <si>
    <t>Source: National Statistics Office Latest actual data: 2013 National accounts manual used: System of National Accounts (SNA) 1993 GDP valuation: Factor costs Start/end months of reporting year: January/December Base year: 2000 Chain-weighted: No Primary domestic currency: CFA franc Data last updated: 08/2015</t>
  </si>
  <si>
    <t>Source: Ministry of Finance or Treasury Latest actual data: 2014 Fiscal assumptions: Fiscal projections for 2015 are based on the authorities? budget whereas the 2016 forecast was made to have a 1.7 per cent of GDP fiscal consolidation (compared to 2015). Start/end months of reporting year: January/December GFS Manual used: Government Finance Statistics Manual (GFSM) 1986 Basis of recording: Accrual General government includes: Central Government; Valuation of public debt: Nominal value Primary domestic currency: CFA franc Data last updated: 08/2015</t>
  </si>
  <si>
    <t>NGA</t>
  </si>
  <si>
    <t>Source: National Statistics Office. Official re-based (2010) data for 2010-13 was published in July 2014, based on SNA 2008. Estimates of pre-2010 data were extrapolated by IMF staff, and are subject to revision with official backcasted data. Latest actual data: 2014 National accounts manual used: System of National Accounts (SNA) 2008 GDP valuation: Market prices Start/end months of reporting year: January/December Base year: 2010. from October WEO submission Chain-weighted: No Primary domestic currency: Nigerian naira Data last updated: 09/2015</t>
  </si>
  <si>
    <t>Source: Ministry of Finance or Treasury Latest actual data: 2013/14 Fiscal assumptions: Historical data series, annual budget and MTEF at the Federal Government level, and additional data from the authorities Start/end months of reporting year: January/December GFS Manual used: Government Finance Statistics Manual (GFSM) 2001 Basis of recording: Cash. Fiscal data are based on execution data received from the authorities. General government includes: Central Government;State Government;Local Government;Nonfinancial Public Corporation; Valuation of public debt: Current market value Primary domestic currency: Nigerian naira Data last updated: 09/2015</t>
  </si>
  <si>
    <t>NOR</t>
  </si>
  <si>
    <t>Source: National Statistics Office Latest actual data: 2014 National accounts manual used: Nominally ESA 2010 GDP valuation: Market prices Start/end months of reporting year: January/December Base year: 2012 Chain-weighted: Yes, from 1980 Primary domestic currency: Norwegian krone Data last updated: 09/2015</t>
  </si>
  <si>
    <t>Source: National Statistical Office and Ministry of Finance Latest actual data: 2014 Fiscal assumptions: Fiscal projections are based on the authorities? 2015 revised budget. Structural and cyclically adjusted balances are based on non oil balance. Start/end months of reporting year: January/December GFS Manual used: Government Finance Statistics Manual (GFSM) 2001 Basis of recording: Accrual General government includes: Central Government;State Government;Social Security Funds; Valuation of public debt: Current market value Primary domestic currency: Norwegian krone Data last updated: 09/2015</t>
  </si>
  <si>
    <t>OMN</t>
  </si>
  <si>
    <t>Source: National Statistics Office Latest actual data: 2012 National accounts manual used: System of National Accounts (SNA) 1993 GDP valuation: Market prices Start/end months of reporting year: January/December Base year: 2010 Chain-weighted: No Primary domestic currency: Omani rial Data last updated: 09/2015</t>
  </si>
  <si>
    <t>Source: Ministry of Finance or Treasury Latest actual data: 2013 Fiscal assumptions: Staff estimates Start/end months of reporting year: January/December GFS Manual used: Government Finance Statistics Manual (GFSM) 2001 Basis of recording: Cash General government includes: Central Government; Valuation of public debt: Nominal value Primary domestic currency: Omani rial Data last updated: 09/2015</t>
  </si>
  <si>
    <t>PAK</t>
  </si>
  <si>
    <t>Source: National Statistics Office Latest actual data: 2014/15 Notes: Due to the ongoing Fund program with Pakistan and market sensitivity, the series from which the nominal exchange rate assumptions can be calculated aren?t made public National accounts manual used: Combination of SNA 1968 and SNA 1993 GDP valuation: Factor costs. Please note the real GDP series is based on factor cost terms whereas the nominal GDP series is provided using market prices. As a result, the GDP deflator is not calculated correctly. Start/end months of reporting year: July/June Base year: 2005/06. Data before 2006 has not been rebased yet. The Pakistani authorities expect to finish rebasing the historical national accounts data by December 2013. Chain-weighted: No Primary domestic currency: Pakistan rupee Data last updated: 09/2015</t>
  </si>
  <si>
    <t>Source: Ministry of Finance or Treasury Latest actual data: 2014/15. Central government and general government net lending/borrowing exclude payments for electricity arrears and commodity operations in the fiscal years 2009/10, 2010/11, and 2011/12. Notes: Government gross debt and net debt figures include IMF obligations. Start/end months of reporting year: July/June GFS Manual used: Government Finance Statistics Manual (GFSM) 1986 Basis of recording: Cash General government includes: Central Government;State Government;Local Government; Valuation of public debt: Nominal value Primary domestic currency: Pakistan rupee Data last updated: 09/2015</t>
  </si>
  <si>
    <t>PLW</t>
  </si>
  <si>
    <t>Source: Ministry of Finance or Treasury Latest actual data: 2013/14 National accounts manual used: Other GDP valuation: Market prices Start/end months of reporting year: October/September Base year: 2004 Chain-weighted: No Primary domestic currency: U.S. dollar Data last updated: 09/2015</t>
  </si>
  <si>
    <t>Source: Ministry of Finance or Treasury Latest actual data: 2013/14 Fiscal assumptions: Fiscal projections assume that current expenditure growth is contained and revenue growth is supported by the introduction of a value added tax since FY2015/16. Start/end months of reporting year: October/September GFS Manual used: Government Finance Statistics Manual (GFSM) 2001 Basis of recording: Other General government includes: Central Government; Valuation of public debt: Face value Primary domestic currency: U.S. dollar Data last updated: 09/2015</t>
  </si>
  <si>
    <t>PAN</t>
  </si>
  <si>
    <t>Source: National Statistics Office Latest actual data: 2014 National accounts manual used: System of National Accounts (SNA) 1993 GDP valuation: Market prices Start/end months of reporting year: January/December Base year: 1996. Work in progress to update the base year to 2007 Chain-weighted: No Primary domestic currency: U.S. dollar Data last updated: 09/2015</t>
  </si>
  <si>
    <t>Source: Ministry of Economy and/or Planning Latest actual data: 2014. 2012. The NFPS excludes the Panama Canal Authority and three other public enterprises. Notes: Net lending/borrowing includes ACP and Social Security contributions and differs from the official NFPS balance. Fiscal assumptions: Budget Start/end months of reporting year: January/December GFS Manual used: Government Finance Statistics Manual (GFSM) 1986 Basis of recording: Cash General government includes: Central Government;State Government;Local Government;Social Security Funds;Nonfinancial Public Corporation; Valuation of public debt: Nominal value Primary domestic currency: U.S. dollar Data last updated: 09/2015</t>
  </si>
  <si>
    <t>PNG</t>
  </si>
  <si>
    <t>Source: National Statistical Office and MOF Latest actual data: 2013 National accounts manual used: System of National Accounts (SNA) 1993 GDP valuation: Market prices Start/end months of reporting year: January/December Base year: 1998 Chain-weighted: No Primary domestic currency: Papua New Guinea kina Data last updated: 08/2015</t>
  </si>
  <si>
    <t>Source: Ministry of Finance or Treasury Latest actual data: 2013 Start/end months of reporting year: January/December GFS Manual used: Government Finance Statistics Manual (GFSM) 1986 Basis of recording: Cash General government includes: Central Government; Valuation of public debt: Face value Primary domestic currency: Papua New Guinea kina Data last updated: 08/2015</t>
  </si>
  <si>
    <t>PRY</t>
  </si>
  <si>
    <t>Source: Central Bank Latest actual data: 2014 Notes: For 1980 to 1990, GDP data were constructed backward by the Banco Central del Paraguay using the new 1994 base year. National accounts manual used: System of National Accounts (SNA) 1993 GDP valuation: Market prices Start/end months of reporting year: January/December Base year: 1994 Chain-weighted: No Primary domestic currency: Paraguayan guaraní Data last updated: 09/2015</t>
  </si>
  <si>
    <t>Source: Ministry of Finance or Treasury Latest actual data: 2014 Fiscal assumptions: General Government accounts on a cash basis Start/end months of reporting year: January/December GFS Manual used: Government Finance Statistics Manual (GFSM) 2001 Basis of recording: Cash General government includes: Central Government;Local Government; Valuation of public debt: Face value Primary domestic currency: Paraguayan guaraní Data last updated: 09/2015</t>
  </si>
  <si>
    <t>PER</t>
  </si>
  <si>
    <t>Source: Central Bank Latest actual data: 2014 Notes: Rebased national account series (year 2007) have not been published to their full extent thus we are reporting data on the 1994 basis. National accounts manual used: System of National Accounts (SNA) 1993 GDP valuation: Market prices Start/end months of reporting year: January/December Base year: 2007 Chain-weighted: No Primary domestic currency: Peruvian nuevo sol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</si>
  <si>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Government;State Government;Local Government;Social Security Funds; Valuation of public debt: Face value Primary domestic currency: Peruvian nuevo sol Data last updated: 09/2015</t>
  </si>
  <si>
    <t>PHL</t>
  </si>
  <si>
    <t>Source: National Statistics Office. National Statistical Coordination; accessed via CEIC and Haver Latest actual data: 2014 National accounts manual used: System of National Accounts (SNA) 2008 GDP valuation: Market prices Start/end months of reporting year: January/December Base year: 2000 Chain-weighted: No Primary domestic currency: Philippine peso Data last updated: 09/2015</t>
  </si>
  <si>
    <t>Source: Ministry of Finance or Treasury. Department of Finance Latest actual data: 2014. 2014 data accommodates actual figures for national government revenue and expenditure, but reflects projections for local governments and social security institutions. Fiscal assumptions: Fiscal projections assume that the authorities? fiscal deficit target will be achieved in 2016 and beyond. Revenue projections reflect the IMF staff?s macroeconomic assumptions and incorporate anticipated improvements in tax administration. Expenditure projections are based on budgeted figures, institutional arrangements, current data, and fiscal space in each year. Start/end months of reporting year: January/December GFS Manual used: Government Finance Statistics Manual (GFSM) 2001 Basis of recording: Cash. Classification of revenues and expenses is based on GFSM 2001, but the accounting method is on a cash basis. General government includes: Central Government;Local Government;Social Security Funds;. Local governments comprise provinces, cities, and municipalities. Valuation of public debt: Nominal value Primary domestic currency: Philippine peso Data last updated: 09/2015</t>
  </si>
  <si>
    <t>POL</t>
  </si>
  <si>
    <t>Source: National Statistics Office Latest actual data: 2014 Notes: Data prior to 1995 cannot be confirmed by national sources at this time. National accounts manual used: European System of Accounts (ESA) 2010 GDP valuation: Market prices Start/end months of reporting year: January/December Base year: 2010 Chain-weighted: Yes, from 1995 Primary domestic currency: Polish zloty Data last updated: 09/2015</t>
  </si>
  <si>
    <t>Source: Ministry of Finance or Treasury. Eurostat Latest actual data: 2014 Fiscal assumptions: Data is on a ESA-95 2004 and prior. Data is on ESA-2010 beginning 2005 (accrual) basis. Projections are based on the 2015 budget. The projections also take into account the effects of the 2014 pension changes. Start/end months of reporting year: January/December GFS Manual used: European System of Accounts (ESA) 2010 Basis of recording: Accrual General government includes: Central Government;Local Government;Social Security Funds; Valuation of public debt: Face value Primary domestic currency: Polish zloty Data last updated: 09/2015</t>
  </si>
  <si>
    <t>PRT</t>
  </si>
  <si>
    <t>Source: National Statistics Office Latest actual data: 2014 National accounts manual used: European System of Accounts (ESA) 2010 GDP valuation: Market prices Start/end months of reporting year: January/December Base year: 2011 Chain-weighted: Yes, from 1980 Primary domestic currency: Euro Data last updated: 09/2015</t>
  </si>
  <si>
    <t>Source: National Statistics Office Latest actual data: 2014 Fiscal assumptions: Portugal: ?For 2014, the general government fiscal balance does not include a one-off transaction arising from banking support, pending a decision on statistical classification by the Instituto Nacional de Estatística (INE)/Eurostat. The projection for 2015 reflects the authorities? 2015 budget and the first half outturn; projections thereafter are based on the IMF staff?s macroeconomic forecast, under the assumption of unchanged policies.? Start/end months of reporting year: January/December GFS Manual used: Government Finance Statistics Manual (GFSM) 2001 Basis of recording: Accrual General government includes: Central Government;Local Government;Social Security Funds;Other; Valuation of public debt: Nominal value. Net debt is net of government deposits Primary domestic currency: Euro Data last updated: 09/2015</t>
  </si>
  <si>
    <t>QAT</t>
  </si>
  <si>
    <t>Source: National Statistics Office. Qatar Ministry of Development Planning and Statistics (from 2010); Haver and IMF staff estimates (pre-2010). Latest actual data: 2014 National accounts manual used: System of National Accounts (SNA) 1993 GDP valuation: Market prices Start/end months of reporting year: January/December Base year: 2013 Chain-weighted: No Primary domestic currency: Qatari riyal Data last updated: 09/2015</t>
  </si>
  <si>
    <t>Source: Ministry of Finance or Treasury Latest actual data: 2013/14 Start/end months of reporting year: April/March GFS Manual used: Government Finance Statistics Manual (GFSM) 1986 Basis of recording: Cash General government includes: Central Government;Other;. As a first step towards a more comprehensive coverage of fiscal data, staff estimated SWF return and added it to government?s revenues (and therefore to the balance). This adjustment was done at the level of general government, in order to avoid changes to central government data (which is official).  In addition, Net Debt now includes SWF assets. Valuation of public debt: Nominal value Primary domestic currency: Qatari riyal Data last updated: 09/2015</t>
  </si>
  <si>
    <t>ROU</t>
  </si>
  <si>
    <t>Source: Haver Analytics. Source: Eurostat and National Institute of Statistics Romania. Minor differences between National Statistical Office and Eurostat. Eurostat data is fully additive. Source provides previous year volume indices. Staff calculate real GDP based on chain-linked GDP deflators. Latest actual data: 2014. 2013 for annual data, 2014Q3 for quarterly data National accounts manual used: European System of Accounts (ESA) 2010 GDP valuation: Market prices Start/end months of reporting year: January/December Base year: 2010 Chain-weighted: Yes, from 2000 Primary domestic currency: Romanian leu Data last updated: 09/2015</t>
  </si>
  <si>
    <t>Source: Ministry of Finance or Treasury Latest actual data: 2014 Fiscal assumptions: The 2015 fiscal projections reflect legislated changes as of August 28, 2015, including a 25 percent increase in the wages of healthcare workers effective October 1, 2015. The 2016 and 2017 fiscal projections reflect planned changes to the fiscal code as of August 28, 2015. The projections for the years beyond 2017 assume no additional policy changes. Start/end months of reporting year: January/December GFS Manual used: Government Finance Statistics Manual (GFSM) 1986 Basis of recording: Cash General government includes: Central Government;Local Government;Social Security Funds;Other;. Also includes Road Company and Health and Employment Funds. Valuation of public debt: Face value Primary domestic currency: Romanian leu Data last updated: 09/2015</t>
  </si>
  <si>
    <t>RUS</t>
  </si>
  <si>
    <t>Source: National Statistics Office Latest actual data: 2014 Notes: Gross capital formation includes statistical discrepancy. National accounts manual used: System of National Accounts (SNA) 1993 GDP valuation: Market prices Start/end months of reporting year: January/December Base year: 2008. Reference year for the chain-linking is 2008. The data are derived by applying annual real growth rates to 2008 nominal GDP. Chain-weighted: Yes, from 1995 Primary domestic currency: Russian ruble Data last updated: 09/2015</t>
  </si>
  <si>
    <t>Source: Ministry of Finance or Treasury Latest actual data: 2014 Fiscal assumptions: Projections for 2015?20 are based on the oil-price-based fiscal rule introduced in December 2012, with adjustments by IMF staff. Start/end months of reporting year: January/December GFS Manual used: Government Finance Statistics Manual (GFSM) 2001 Basis of recording: Cash is reported on a high frequency basis, accrual is reported on an annual basis with a significant lag. General government includes: Central Government;State Government;Social Security Funds; Valuation of public debt: Current market value Primary domestic currency: Russian ruble Data last updated: 09/2015</t>
  </si>
  <si>
    <t>RWA</t>
  </si>
  <si>
    <t>Source: Ministry of Finance or Treasury Latest actual data: 2014 National accounts manual used: System of National Accounts (SNA) 1993 GDP valuation: Market prices Start/end months of reporting year: January/December Base year: 2011 Chain-weighted: No Primary domestic currency: Rwanda franc Data last updated: 09/2015</t>
  </si>
  <si>
    <t>Source: Ministry of Finance or Treasury Latest actual data: 2014 Start/end months of reporting year: January/December GFS Manual used: Government Finance Statistics Manual (GFSM) 2001 Basis of recording: Expenditures are recorded on accrual basis, while reveunes are recoreded on cash basis. General government includes: Central Government;Local Government; Valuation of public debt: Nominal value Primary domestic currency: Rwanda franc Data last updated: 09/2015</t>
  </si>
  <si>
    <t>WSM</t>
  </si>
  <si>
    <t>Source: National Statistics Office Latest actual data: 2013/14. Fiscal year used Notes: Data prior to 2000 cannot be confirmed by national sources at this time. National accounts manual used: System of National Accounts (SNA) 1993 GDP valuation: Market prices. Data refer to fiscal years Start/end months of reporting year: July/June Base year: 2009/10 Chain-weighted: No Primary domestic currency: Samoa tala Data last updated: 07/2015</t>
  </si>
  <si>
    <t>Source: Ministry of Finance or Treasury Latest actual data: 2013/14. Fiscal year used Start/end months of reporting year: July/June GFS Manual used: Government Finance Statistics Manual (GFSM) 2001 Basis of recording: Accrual General government includes: Central Government Primary domestic currency: Samoa tala Data last updated: 07/2015</t>
  </si>
  <si>
    <t>SMR</t>
  </si>
  <si>
    <t>Source: International Financial Institution (e.g. Eurostat, OECD, IFS, World Bank, WTO) Latest actual data: 2013 GDP valuation: Market prices Start/end months of reporting year: January/December Base year: 2007 Chain-weighted: No Primary domestic currency: Euro Data last updated: 09/2015</t>
  </si>
  <si>
    <t>Source: Ministry of Finance or Treasury Latest actual data: 2013 Fiscal assumptions: Share of GDP, share of consumption, elasticity with respect to GDP, elasticity with respect to consumption Start/end months of reporting year: January/December GFS Manual used: The authorities have provided data for the central government, state-owned enterprises, and social security fund for 2004?13, as well as the budget for 2013?15. However, some of the data have not been compiled in accordance with IMF standards Basis of recording: Other General government includes: Central Government; Valuation of public debt: Current market value Primary domestic currency: Euro Data last updated: 09/2015</t>
  </si>
  <si>
    <t>STP</t>
  </si>
  <si>
    <t>Source: National Statistics Office. Instituto Nacional de Estatistica de Sao Tome &amp; Principe. Latest actual data: 2012 Notes: There is a break in the series for 2001 onwards due to revision in GDP data. National accounts manual used: System of National Accounts (SNA) 1993 GDP valuation: Market prices Start/end months of reporting year: January/December Base year: 2000 Chain-weighted: No Primary domestic currency: São Tomé and Príncipe dobra Data last updated: 07/2015</t>
  </si>
  <si>
    <t>Source: Ministry of Finance or Treasury. Fuel tax revenue from Customs Department Latest actual data: 2014 Notes: There is no public domestic debt Start/end months of reporting year: January/December GFS Manual used: Government Finance Statistics Manual (GFSM) 2001 Basis of recording: Cash General government includes: Central Government; Valuation of public debt: Nominal value Primary domestic currency: São Tomé and Príncipe dobra Data last updated: 07/2015</t>
  </si>
  <si>
    <t>SAU</t>
  </si>
  <si>
    <t>Source: National Statistics Office. Central Department of Statistics and Information (CDSI), Ministry of Economy and Planning. Latest actual data: 2014 National accounts manual used: System of National Accounts (SNA) 1993 GDP valuation: Factor costs Start/end months of reporting year: January/December Base year: 2010 Chain-weighted: No Primary domestic currency: Saudi Arabian riyal Data last updated: 09/2015</t>
  </si>
  <si>
    <t>Source: Ministry of Finance or Treasury Latest actual data: 2014 Fiscal assumptions: IMF staff projections of oil revenues are based on WEO baseline oil prices. On the expenditure side, wage bill estimates incorporate 13th-month pay awards every three years in accordance with the lunar calendar; projections assume that, to adjust to lower oil prices, capital spending falls as a percentage of GDP over the medium term as large-scale projects currently being implemented are completed and that spending in the January and April 2015 fiscal packages is not repeated. Start/end months of reporting year: January/December GFS Manual used: Government Finance Statistics Manual (GFSM) 1986 Basis of recording: Cash General government includes: Central Government;. The country team submits Central Government data, not General Government. Valuation of public debt: Nominal value Primary domestic currency: Saudi Arabian riyal Data last updated: 09/2015</t>
  </si>
  <si>
    <t>SEN</t>
  </si>
  <si>
    <t>Source: National Statistics Office Latest actual data: 2013 National accounts manual used: System of National Accounts (SNA) 1993 GDP valuation: Market prices Start/end months of reporting year: January/December Base year: 2000 Chain-weighted: No Primary domestic currency: CFA franc Data last updated: 08/2015</t>
  </si>
  <si>
    <t>Source: Ministry of Finance or Treasury Latest actual data: 2011 Fiscal assumptions: Based on program targets for first 1-2 years, thereafter on DSA considerations. Fiscal accounts are shown in accordance with the 2001 GFS methodology. Start/end months of reporting year: January/December GFS Manual used: Government Finance Statistics Manual (GFSM) 1986 Basis of recording: Cash General government includes: Central Government; Valuation of public debt: Nominal value Primary domestic currency: CFA franc Data last updated: 08/2015</t>
  </si>
  <si>
    <t>SRB</t>
  </si>
  <si>
    <t>Source: National Statistics Office. Serbian Statistical Office Latest actual data: 2014 National accounts manual used: European System of Accounts (ESA) 2010. National Accounts are based on conceptual framework of the 2008 SNA/ESA 2010 (introduced in October 2014) GDP valuation: Market prices Start/end months of reporting year: January/December Base year: 2010 Chain-weighted: Yes, from 2010 Primary domestic currency: Serbian dinar Data last updated: 09/2015</t>
  </si>
  <si>
    <t>Source: Ministry of Finance or Treasury Latest actual data: 2014. Data are produced monthly. Latest data is as of December 2014. Start/end months of reporting year: January/December GFS Manual used: Government Finance Statistics Manual (GFSM) 1986. Combination of GFSM1986 and GFSM2001 Basis of recording: Cash General government includes: Central Government;State Government;Local Government;Social Security Funds;Other;. The general government includes the central and local governments as well as social security funds, pension fund, the employment fund, health fund, and the road company Valuation of public debt: Nominal value Primary domestic currency: Serbian dinar Data last updated: 09/2015</t>
  </si>
  <si>
    <t>SYC</t>
  </si>
  <si>
    <t>Source: National Statistics Office Latest actual data: 2013 National accounts manual used: System of National Accounts (SNA) 1993 GDP valuation: Market prices Start/end months of reporting year: January/December Base year: 2006 Chain-weighted: No Primary domestic currency: Seychelles rupee Data last updated: 07/2015</t>
  </si>
  <si>
    <t>Source: Ministry of Finance or Treasury Latest actual data: 2013 Fiscal assumptions: Staff projections Start/end months of reporting year: January/December GFS Manual used: Government Finance Statistics Manual (GFSM) 1986. Change in presentation to reflect 2011 Budget classification and transition to GFS2001. Data prior to 2007 may not add up due to breaks in the GFS1986/2001 coverage. Basis of recording: Cash General government includes: Central Government;Social Security Funds;. Change in coverage of general government as of 2011 Budget and incorporation of budget dependent entities Valuation of public debt: Nominal value. Book value Primary domestic currency: Seychelles rupee Data last updated: 07/2015</t>
  </si>
  <si>
    <t>SLE</t>
  </si>
  <si>
    <t>Source: National Statistics Office Latest actual data: 2013 National accounts manual used: System of National Accounts (SNA) 1993 GDP valuation: Market prices Start/end months of reporting year: January/December Base year: 2006 Chain-weighted: Yes, from 2010 Primary domestic currency: Sierra Leonean leone Data last updated: 09/2015</t>
  </si>
  <si>
    <t>Source: Ministry of Finance or Treasury Latest actual data: 2013 Start/end months of reporting year: January/December GFS Manual used: Government Finance Statistics Manual (GFSM) 1986 Basis of recording: Cash General government includes: Central Government; Valuation of public debt: Nominal value Primary domestic currency: Sierra Leonean leone Data last updated: 09/2015</t>
  </si>
  <si>
    <t>SGP</t>
  </si>
  <si>
    <t>Source: National Statistics Office Latest actual data: 2014 National accounts manual used: System of National Accounts (SNA) 1993 GDP valuation: Market prices Start/end months of reporting year: January/December Base year: 2010 Chain-weighted: Yes, from 2010 Primary domestic currency: Singapore dollar Data last updated: 09/2015</t>
  </si>
  <si>
    <t>Source: Ministry of Finance or Treasury Latest actual data: 2013/14 Fiscal assumptions: For fiscal year 2014/15 and 2015/16, projections are based on budget numbers. For the remainder of the projection period, the IMF staff assumes unchanged policies. Start/end months of reporting year: April/March GFS Manual used: Government Finance Statistics Manual (GFSM) 2001 Basis of recording: Cash. Authorities use cash accounting. General government includes: Central Government;. There is no local government in Singapore and thus the general government only includes central government Valuation of public debt: Nominal value Primary domestic currency: Singapore dollar Data last updated: 09/2015</t>
  </si>
  <si>
    <t>SVK</t>
  </si>
  <si>
    <t>Slovak Republic</t>
  </si>
  <si>
    <t>Source: Haver Analytics. Eurostat Latest actual data: 2014 National accounts manual used: European System of Accounts (ESA) 2010 GDP valuation: Market prices Start/end months of reporting year: January/December Base year: 2010 Chain-weighted: Yes, from 1997 Primary domestic currency: Euro Data last updated: 09/2015</t>
  </si>
  <si>
    <t>Source: Eurostat Latest actual data: 2014 Notes: fiscal data comply with ESA2010 Fiscal assumptions: Projections for 2015 are based on the authorities? 2015 budget as approved by parliament and subsequent changes. Projections for 2016 take into account draft budget presented by the authorities. Projections for 2017 and beyond reflect no policy change scenario.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</si>
  <si>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SVN</t>
  </si>
  <si>
    <t>Source: National Statistics Office Latest actual data: 2014 National accounts manual used: European System of Accounts (ESA) 2010 GDP valuation: Market prices Start/end months of reporting year: January/December Base year: 2000 Chain-weighted: Yes, from 2000 Primary domestic currency: Euro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</si>
  <si>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Government;State Government;Local Government;Social Security Funds; Valuation of public debt: Face value Primary domestic currency: Euro Data last updated: 09/2015</t>
  </si>
  <si>
    <t>SLB</t>
  </si>
  <si>
    <t>Source: Central Bank. For data prior to 1990, the source is IMF staff estimates. Latest actual data: 2013 National accounts manual used: System of National Accounts (SNA) 1993 GDP valuation: Market prices. The data for 2004 to 2006 are provided by the country authorities. For 2007 and onwards, real GDP is estimated by the staff, based on sectoral growth information provided by the Central Bank of Solomon Islands. Start/end months of reporting year: January/December Base year: 2004 Chain-weighted: No Primary domestic currency: Solomon Islands dollar Data last updated: 09/2015</t>
  </si>
  <si>
    <t>Source: Ministry of Finance or Treasury Latest actual data: 2013 Fiscal assumptions: Fiscal projections are based on program supported by the SCF arrangement with the Fund. Start/end months of reporting year: January/December GFS Manual used: Government Finance Statistics Manual (GFSM) 1986 Basis of recording: Cash General government includes: Central Government; Valuation of public debt: Nominal value Primary domestic currency: Solomon Islands dollar Data last updated: 09/2015</t>
  </si>
  <si>
    <t>ZAF</t>
  </si>
  <si>
    <t>Source: Central Bank Latest actual data: 2014. 2014 for overall GDP data. 2013 for demand-side components. National accounts manual used: System of National Accounts (SNA) 1993 GDP valuation: Market prices Start/end months of reporting year: January/December Base year: 2010 Chain-weighted: No Primary domestic currency: South African rand Data last updated: 09/2015</t>
  </si>
  <si>
    <t>Source: Ministry of Finance or Treasury Latest actual data: 2013/14 Fiscal assumptions: Fiscal projections are based on the authorities? 2015 Budget Review. Start/end months of reporting year: January/December GFS Manual used: Government Finance Statistics Manual (GFSM) 2001 Basis of recording: Cash General government includes: Central Government;State Government;Social Security Funds; Valuation of public debt: Nominal value Primary domestic currency: South African rand Data last updated: 09/2015</t>
  </si>
  <si>
    <t>SSD</t>
  </si>
  <si>
    <t>South Sudan</t>
  </si>
  <si>
    <t>Source: National Statistics Office. National Bureau of Statistics Latest actual data: 2014 Notes: Preliminary results by NBS, will be revised with time. National accounts manual used: System of National Accounts (SNA) 1993 GDP valuation: Market prices Start/end months of reporting year: January/December Base year: 2010 Chain-weighted: No Primary domestic currency: South Sudanese pound Data last updated: 09/2015</t>
  </si>
  <si>
    <t>Source: Ministry of Finance or Treasury. Ministry of Finance, Commerce, Investment and Economic Planning Latest actual data: 2014 Start/end months of reporting year: January/December GFS Manual used: N/A Basis of recording: Cash General government includes: Central Government; Valuation of public debt: Nominal value Primary domestic currency: South Sudanese pound Data last updated: 09/2015</t>
  </si>
  <si>
    <t>ESP</t>
  </si>
  <si>
    <t>Source: Ministry of Finance or Treasury. Eurostat Latest actual data: 2014. Preliminary Fiscal assumptions: For 2015 and beyond, fiscal projections are based on the measures specified in the Stability Programme Update 2014?17, the 2015 budget plan issued in October 2014, and the 2015 budget approved in December 2014. Start/end months of reporting year: January/December GFS Manual used: Government Finance Statistics Manual (GFSM) 2001. ESA10, consistent with Eurostat dataset Basis of recording: Accrual General government includes: Central Government;State Government;Local Government;Social Security Funds; Valuation of public debt: Nominal value Primary domestic currency: Euro Data last updated: 09/2015</t>
  </si>
  <si>
    <t>LKA</t>
  </si>
  <si>
    <t>Source: Central Bank. Central Bank of Sri Lanka Latest actual data: 2014 National accounts manual used: System of National Accounts (SNA) 1993 GDP valuation: Market prices Start/end months of reporting year: January/December Base year: 2002. Staff used splicing method for the historical series. Chain-weighted: No Primary domestic currency: Sri Lanka rupee Data last updated: 09/2015</t>
  </si>
  <si>
    <t>Source: Ministry of Finance or Treasury Latest actual data: 2014 Fiscal assumptions: It is based on the authoritie's medium term fiscal framework and the revenue measures proposed. Start/end months of reporting year: January/December GFS Manual used: Government Finance Statistics Manual (GFSM) 2001 Basis of recording: Cash General government includes: Central Government;State Government;Local Government;Social Security Funds; Valuation of public debt: Nominal value Primary domestic currency: Sri Lanka rupee Data last updated: 09/2015</t>
  </si>
  <si>
    <t>KNA</t>
  </si>
  <si>
    <t>Source: National Statistics Office Latest actual data: 2013. Estimates. Notes: Data prior to 1990 cannot be confirmed by national sources at this time. National accounts manual used: System of National Accounts (SNA) 1993 GDP valuation: Factor costs Start/end months of reporting year: January/December Base year: 2006. The GDP deflator does not equal 100 in the base year as the nominal GDP is measured at market prices and real GDP at factor costs. Chain-weighted: No Primary domestic currency: Eastern Caribbean dollar Data last updated: 08/2015</t>
  </si>
  <si>
    <t>Source: Ministry of Finance or Treasury Latest actual data: 2013 Notes: Government expenses in social benefits is included in expenses not elsewhere classified. Start/end months of reporting year: January/December GFS Manual used: Government Finance Statistics Manual (GFSM) 2001 Basis of recording: Cash General government includes: Central Government;. Debt corresponds to nonfinancial public sector (central government and SOEs) Valuation of public debt: Nominal value Primary domestic currency: Eastern Caribbean dollar Data last updated: 08/2015</t>
  </si>
  <si>
    <t>LCA</t>
  </si>
  <si>
    <t>Source: National Statistics Office Latest actual data: 2014. Estimate. National accounts manual used: System of National Accounts (SNA) 1993 GDP valuation: Market prices Start/end months of reporting year: January/December Base year: 2006 Chain-weighted: No Primary domestic currency: Eastern Caribbean dollar Data last updated: 07/2015</t>
  </si>
  <si>
    <t>Source: Ministry of Finance or Treasury Latest actual data: 2014. Preliminary. Start/end months of reporting year: April/March GFS Manual used: Government Finance Statistics Manual (GFSM) 1986 Basis of recording: Cash General government includes: Central Government;. Debt corresponds to nonfinancial public sector (central government and SOEs) Valuation of public debt: Nominal value Primary domestic currency: Eastern Caribbean dollar Data last updated: 07/2015</t>
  </si>
  <si>
    <t>VCT</t>
  </si>
  <si>
    <t>Source: National Statistics Office Latest actual data: 2014. Estimates. National accounts manual used: System of National Accounts (SNA) 1993 GDP valuation: Factor costs Start/end months of reporting year: January/December Base year: 2006. Nominal GDP is measured at market prices and real GDP is measured at factor cost, hence the GDP deflator is not equal to 100. Chain-weighted: No Primary domestic currency: Eastern Caribbean dollar Data last updated: 09/2015</t>
  </si>
  <si>
    <t>Source: Ministry of Finance or Treasury Latest actual data: 2014 Fiscal assumptions: Discussions with the authorities and projections for growth and inflation Start/end months of reporting year: January/December GFS Manual used: Government Finance Statistics Manual (GFSM) 2001. The authorities are using the GFS 1986. But the data was transformed to GFS 2001 format for WEO purpose. Basis of recording: Cash General government includes: Central Government;. Debt corresponds to nonfinancial public sector (central government and SOEs) Valuation of public debt: Nominal value Primary domestic currency: Eastern Caribbean dollar Data last updated: 09/2015</t>
  </si>
  <si>
    <t>SDN</t>
  </si>
  <si>
    <t>Source: National Statistics Office. Central Bureau of Statistics. Latest actual data: 2013 GDP valuation: Market prices Start/end months of reporting year: January/December Base year: 2007. Fiscal year and calendar year are the same. Chain-weighted: No Primary domestic currency: Sudanese pound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</si>
  <si>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 Primary domestic currency: Sudanese pound Data last updated: 09/2015</t>
  </si>
  <si>
    <t>SUR</t>
  </si>
  <si>
    <t>Source: National Statistics Office. IMF Staff reports, National Statistical Office, and IMF staff estimates. Latest actual data: 2011. Authorities data exist to 2013, but have not been confirmed. National accounts manual used: System of National Accounts (SNA) 1993 GDP valuation: Market prices Start/end months of reporting year: January/December Base year: 2007 Chain-weighted: No Primary domestic currency: Surinamese dollar Data last updated: 09/2015</t>
  </si>
  <si>
    <t>Source: Ministry of Finance or Treasury Latest actual data: 2014 Notes: Total expenditures include statistical discrepancies classified under Purchase/Use of Goods and Services. Net lending is not included. Fiscal assumptions: IMF staff projections Start/end months of reporting year: January/December GFS Manual used: Government Finance Statistics Manual (GFSM) 1986 Basis of recording: Cash General government includes: Central Government; Valuation of public debt: Current market value Primary domestic currency: Surinamese dollar Data last updated: 09/2015</t>
  </si>
  <si>
    <t>SWZ</t>
  </si>
  <si>
    <t>Source: National Statistics Office Latest actual data: 2014 National accounts manual used: System of National Accounts (SNA) 1993 GDP valuation: Market prices Start/end months of reporting year: January/December Base year: 2010 Chain-weighted: No Primary domestic currency: Swaziland lilangeni Data last updated: 09/2015</t>
  </si>
  <si>
    <t>Source: Ministry of Finance or Treasury Latest actual data: 2014/15 Start/end months of reporting year: April/March GFS Manual used: Government Finance Statistics Manual (GFSM) 2001 Basis of recording: Accrual General government includes: Central Government; Valuation of public debt: Nominal value Primary domestic currency: Swaziland lilangeni Data last updated: 09/2015</t>
  </si>
  <si>
    <t>SWE</t>
  </si>
  <si>
    <t>Source: National Statistics Office. In June 2010, the authorities performed a major revision of historical time series data 1993-2009 which involved the introduction of new methods, improved source data and a further adjustment to recommendations from the European Union Latest actual data: 2014 National accounts manual used: ESA2010 GDP valuation: Market prices Start/end months of reporting year: January/December Base year: 2014 Chain-weighted: Yes, from 1993 Primary domestic currency: Swedish krona Data last updated: 09/2015</t>
  </si>
  <si>
    <t>Source: Ministry of Finance or Treasury Latest actual data: 2012 Fiscal assumptions: Fiscal projections take into account the authorities? projections based on the Spring Fiscal Policy Bill 2015. The impact of cyclical developments on the fiscal accounts is calculated using the 2005 Organization for Economic Cooperation's elasticity in order to take into account output and employment gaps.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Swedish krona Data last updated: 09/2015</t>
  </si>
  <si>
    <t>CHE</t>
  </si>
  <si>
    <t>Source: National Statistics Office Latest actual data: 2014 National accounts manual used: European System of Accounts (ESA) 2010 GDP valuation: Market prices Start/end months of reporting year: January/December Base year: 2010 Chain-weighted: Yes, from 1980 Primary domestic currency: Swiss franc Data last updated: 09/2015</t>
  </si>
  <si>
    <t>Source: Ministry of Finance or Treasury Latest actual data: 2012 Fiscal assumptions: The projections assume that fiscal policy is adjusted as necessary to keep fiscal balances in line with the requirements of Switzerland?s fiscal rules. Start/end months of reporting year: January/December GFS Manual used: Government Finance Statistics Manual (GFSM) 2001 Basis of recording: Accrual General government includes: Central Government;State Government;Local Government;Social Security Funds;Other;. Other refers to Cantons. Valuation of public debt: Nominal value Primary domestic currency: Swiss franc Data last updated: 09/2015</t>
  </si>
  <si>
    <t>SYR</t>
  </si>
  <si>
    <t>Source: National Statistics Office. Central Bureau of Statistics. Latest actual data: 2010 National accounts manual used: System of National Accounts (SNA) 1993 GDP valuation: Market prices Start/end months of reporting year: January/December Base year: 2000 Chain-weighted: No Primary domestic currency: Syrian pound Data last updated: 06/2014</t>
  </si>
  <si>
    <t>Source: Ministry of Finance or Treasury Latest actual data: 2009 Start/end months of reporting year: January/December GFS Manual used: Government Finance Statistics Manual (GFSM) 1986 Basis of recording: Cash General government includes: Central Government; Valuation of public debt: Face value Primary domestic currency: Syrian pound Data last updated: 06/2014</t>
  </si>
  <si>
    <t>TWN</t>
  </si>
  <si>
    <t>Taiwan Province of China</t>
  </si>
  <si>
    <t>Source: National Statistics Office. Data retrieved from CEIC Latest actual data: 2014 National accounts manual used: System of National Accounts (SNA) 2008 GDP valuation: Market prices. Expenditure-based measure Start/end months of reporting year: January/December Base year: 2011. Rebased from 2006 to 2011. Chain-weighted: No Primary domestic currency: New Taiwan dollar Data last updated: 09/2015</t>
  </si>
  <si>
    <t>Source: Ministry of Finance or Treasury. Data retrieved from CEIC Latest actual data: 2014 Notes: We do not have data on policy lending. Fiscal assumptions: Projections for 2015-20 are based on the assumptions underlying the IMF staff's medium-term macroeconomic scenario. Start/end months of reporting year: January/December GFS Manual used: Government Finance Statistics Manual (GFSM) 1986. Authorities do not publish in GFS Manual 2001. Data estimated by staff. Basis of recording: Cash General government includes: Central Government;Local Government;Social Security Funds; Valuation of public debt: Nominal value. General government gross debt includes non-self redeeming debt maturity &gt;= 1 year. Primary domestic currency: New Taiwan dollar Data last updated: 09/2015</t>
  </si>
  <si>
    <t>TJK</t>
  </si>
  <si>
    <t>Source: National Statistics Office Latest actual data: 2014 National accounts manual used: System of National Accounts (SNA) 1993 GDP valuation: Market prices Start/end months of reporting year: January/December Base year: 1995 Chain-weighted: No Primary domestic currency: Tajik somoni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</si>
  <si>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Tajik somoni Data last updated: 09/2015</t>
  </si>
  <si>
    <t>TZA</t>
  </si>
  <si>
    <t>Source: National Statistics Office Latest actual data: 2012 National accounts manual used: System of National Accounts (SNA) 1993 GDP valuation: Market prices Start/end months of reporting year: January/December Base year: 2007 Chain-weighted: No Primary domestic currency: Tanzania shilling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</si>
  <si>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Government;Local Government Primary domestic currency: Tanzania shilling Data last updated: 09/2015</t>
  </si>
  <si>
    <t>THA</t>
  </si>
  <si>
    <t>Source: National Economic and Social Development Board Latest actual data: 2014 National accounts manual used: System of National Accounts (SNA) 1993 GDP valuation: Market prices Start/end months of reporting year: January/December Base year: 2002 Chain-weighted: Yes, from 1993. Ratio splicing for years before 1993 Primary domestic currency: Thai baht Data last updated: 09/2015</t>
  </si>
  <si>
    <t>Source: Ministry of Finance or Treasury. Downloaded from MoF website Latest actual data: 2013/14 Fiscal assumptions: For the projection period, the IMF staff assumes that planned infrastructure investment programs will not be implemented. Start/end months of reporting year: October/September GFS Manual used: Government Finance Statistics Manual (GFSM) 2001 Basis of recording: Accrual General government includes: Central Government;Local Government;. Thailand does not have State Government system. Its central government consists of budgetary central government, extra budgetary funds, and institutions and social security funds Valuation of public debt: Nominal value. Book value Primary domestic currency: Thai baht Data last updated: 09/2015</t>
  </si>
  <si>
    <t>TLS</t>
  </si>
  <si>
    <t>Source: Ministry of Finance or Treasury Latest actual data: 2013 Notes: Real GDP and its growth are based on non-oil output, while real GDP per capita and all other aggregations are based on oil and non-oil output. Nominal GDP is based on oil and non-oil output. National accounts manual used: Other GDP valuation: Market prices Start/end months of reporting year: January/December Base year: 2010. The GDP deflator is calculated based on the real and nominal GDP from the oil and non-oil output. Chain-weighted: No Primary domestic currency: U.S. dollar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</si>
  <si>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 Valuation of public debt: Nominal value Primary domestic currency: U.S. dollar Data last updated: 09/2015</t>
  </si>
  <si>
    <t>TGO</t>
  </si>
  <si>
    <t>Source: National Statistics Office. From 2011 to 2014, the data comes from the Ministry of Finance. Latest actual data: 2014 National accounts manual used: System of National Accounts (SNA) 1993 GDP valuation: Market prices Start/end months of reporting year: January/December Base year: 2000 Chain-weighted: No Primary domestic currency: CFA franc Data last updated: 08/2015</t>
  </si>
  <si>
    <t>Source: Ministry of Finance or Treasury Latest actual data: 2014 Start/end months of reporting year: January/December GFS Manual used: Government Finance Statistics Manual (GFSM) 2001 Basis of recording: Cash General government includes: Central Government Primary domestic currency: CFA franc Data last updated: 08/2015</t>
  </si>
  <si>
    <t>TON</t>
  </si>
  <si>
    <t>Source: Central Bank Latest actual data: 2012 National accounts manual used: System of National Accounts (SNA) 1993 GDP valuation: Market prices Start/end months of reporting year: January/December Base year: 2010. Authority has revised the base year to FY2010/11, but we submit data as of calendar year which refers to the average of two fiscal years (July/June). For example, CY2010 is the average of fiscal years 2009/10 and 2010/11. Chain-weighted: No Primary domestic currency: Tongan pa?anga Data last updated: 09/2015</t>
  </si>
  <si>
    <t>Source: Central Bank. Plus  ministry of finance Latest actual data: 2012 Start/end months of reporting year: January/December GFS Manual used: Government Finance Statistics Manual (GFSM) 2001 Basis of recording: Cash. The GFSM2001 data we submit is a mapping exercise from GFS1986, so the basis of recording is still cash-based. General government includes: Central Government;. The GFSM2001 data we submit is a mapping exercise from GFS1986, but consolidated financial statistics for the broader public sector and general government are not published yet by the authority due to lack of capacity Valuation of public debt: Face value Primary domestic currency: Tongan pa?anga Data last updated: 09/2015</t>
  </si>
  <si>
    <t>TTO</t>
  </si>
  <si>
    <t>Source: National Statistics Office Latest actual data: 2012 Notes: Data prior to 1999 is based on interpolation of real GDP series base 1970 and base 1985. National accounts manual used: System of National Accounts (SNA) 1993 GDP valuation: Market prices Start/end months of reporting year: January/December Base year: 2000 Chain-weighted: No Primary domestic currency: Trinidad and Tobago dollar Data last updated: 09/2015</t>
  </si>
  <si>
    <t>Source: Ministry of Finance or Treasury Latest actual data: 2012/13 Notes: Debt includes central government and nonfinancial state entities and corporations, but excludes debt for open-market operations. Fiscal assumptions: Fiscal projections are predicated on the latest fiscal data available, as well as the current budget and subsequent official measures and supplementary budgets. However, it is modified by, among other influences, the Fund staff?s macroeconomic projections. Start/end months of reporting year: October/September GFS Manual used: Government Finance Statistics Manual (GFSM) 1986 Basis of recording: Cash General government includes: Central Government;Nonfinancial Public Corporation Primary domestic currency: Trinidad and Tobago dollar Data last updated: 09/2015</t>
  </si>
  <si>
    <t>TUN</t>
  </si>
  <si>
    <t>Source: National Statistics Office Latest actual data: 2014 National accounts manual used: System of National Accounts (SNA) 1993 GDP valuation: Market prices Start/end months of reporting year: January/December Base year: 2004 Chain-weighted: Yes, from 2009 Primary domestic currency: Tunisian dinar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</si>
  <si>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Tunisian dinar Data last updated: 09/2015</t>
  </si>
  <si>
    <t>TUR</t>
  </si>
  <si>
    <t>Source: Haver Analytics. Formally, the Turkish Statistical Institute (TurkStat) Latest actual data: 2014. For quarterly data, latest actual is 2015Q1. National accounts manual used: European System of Accounts (ESA) 1995. Series prior to 1998 were not revised according to ESA 1995. GDP valuation: Market prices Start/end months of reporting year: January/December Base year: 1998 Chain-weighted: No Primary domestic currency: Turkish lira Data last updated: 09/2015</t>
  </si>
  <si>
    <t>Source: Ministry of Finance or Treasury Latest actual data: 2014 Fiscal assumptions: Fiscal projections assume that both current and capital spending will be in line with the authorities? 2014?16 Medium-Term Program based on current trends and policies.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Turkish lira Data last updated: 09/2015</t>
  </si>
  <si>
    <t>TKM</t>
  </si>
  <si>
    <t>Source: National Statistics Office. Turkmenistan authorities and IMF staff estimates and projections. Latest actual data: 2014 Notes: Data prior to 1996 cannot be confirmed by national sources at this time. National accounts manual used: System of National Accounts (SNA) 1993 GDP valuation: Market prices Start/end months of reporting year: January/December Base year: 2005 Chain-weighted: Yes, from 2000 Primary domestic currency: New Turkmen manat Data last updated: 09/2015</t>
  </si>
  <si>
    <t>Source: Ministry of Finance or Treasury Latest actual data: 2014 Start/end months of reporting year: January/December GFS Manual used: Government Finance Statistics Manual (GFSM) 1986. The central budget data are not reported according to GFSM 2001 by the authorities. Basis of recording: Cash General government includes: Central Government;Local Government; Valuation of public debt: Nominal value Primary domestic currency: New Turkmen manat Data last updated: 09/2015</t>
  </si>
  <si>
    <t>TUV</t>
  </si>
  <si>
    <t>Source: PFTAC advisors Latest actual data: 2012 Start/end months of reporting year: January/December Base year: 2005 Primary domestic currency: Australian dollar Data last updated: 09/2015</t>
  </si>
  <si>
    <t>Source: IMF Staff Estimates Latest actual data: 2013 Start/end months of reporting year: January/December GFS Manual used: Currently not compiling on GFS manual basis Basis of recording: Tax and grant revenue in cash, others in accrual basis General government includes: Central Government Primary domestic currency: Australian dollar Data last updated: 09/2015</t>
  </si>
  <si>
    <t>UGA</t>
  </si>
  <si>
    <t>Source: National Statistics Office Latest actual data: 2013. Historical data are in CY, but projections are conversions using averages of FY. For example, the projection of 2018 is the average of 2017/18 and 2018/19. National accounts manual used: System of National Accounts (SNA) 1993 GDP valuation: Market prices. FY2013/14  growth estimates agreed upon between staff and the authorities at the time of the second PSI review do not coincide with projections from the Uganda Bureau of Statistics (UBOS). UBOS is to release preliminary outturns in October, 2014 Start/end months of reporting year: January/December Base year: 2010. National Accounts were rebased on a FY basis and this rebasing was then applied to CY historical data.  As a result real GDP and nominal GDP are not equal in CY 2010. Chain-weighted: No Primary domestic currency: Uganda shilling Data last updated: 09/2015</t>
  </si>
  <si>
    <t>Source: Ministry of Finance or Treasury Latest actual data: 2013. Fiscal sector projections and historical data are both in calendar year. Start/end months of reporting year: January/December GFS Manual used: Government Finance Statistics Manual (GFSM) 2001 Basis of recording: Cash General government includes: Central Government; Valuation of public debt: Nominal value Primary domestic currency: Uganda shilling Data last updated: 09/2015</t>
  </si>
  <si>
    <t>UKR</t>
  </si>
  <si>
    <t>Source: National Statistics Office. Formally, the State Statistics Service of Ukraine Latest actual data: 2014/15. Starting in 2014, the data was changed to SNA 2008. Revised National Accounts data is available from 2000 on an annual basis and from 2010 on a quarterly basis. The data excludes Crimea and Sevastopol from 2010.  The revised quarterly GDP data based on SNA 2008 excluding Crimea and Sevastopol are available from 2010. National accounts manual used: System of National Accounts (SNA) 2008. Also, SNA2008 GDP valuation: Market prices Start/end months of reporting year: January/December Base year: 2010. The reference year is 2010. Chain-weighted: Yes, from 2005 Primary domestic currency: Ukrainian hryvnia Data last updated: 09/2015</t>
  </si>
  <si>
    <t>Source: Ministry of Finance or Treasury Latest actual data: 2014. Starting in 2014, data excludes Crimea and Sevastopol. Fiscal assumptions: Projections based on IMF staff estimates. Start/end months of reporting year: January/December GFS Manual used: Government Finance Statistics Manual (GFSM) 2001. GFSM 1986 manual is used, certain expdenditure data is already in line with the GFSM2001 on cash basis. Basis of recording: Cash General government includes: Central Government;State Government;Local Government;Social Security Funds; Valuation of public debt: Nominal value Primary domestic currency: Ukrainian hryvnia Data last updated: 09/2015</t>
  </si>
  <si>
    <t>ARE</t>
  </si>
  <si>
    <t>Source: National Statistics Office Latest actual data: 2014 National accounts manual used: System of National Accounts (SNA) 1993 GDP valuation: Factor costs Start/end months of reporting year: January/December Base year: 2007 Chain-weighted: No Primary domestic currency: U.A.E. dirham Data last updated: 09/2015</t>
  </si>
  <si>
    <t>Source: Ministry of Finance or Treasury Latest actual data: 2014 Start/end months of reporting year: January/December GFS Manual used: Government Finance Statistics Manual (GFSM) 2001. Accrual accounting Basis of recording: Cash General government includes: Central Government;State Government;Social Security Funds;Other;. Other refers to Budgetary Central Government Valuation of public debt: Nominal value Primary domestic currency: U.A.E. dirham Data last updated: 09/2015</t>
  </si>
  <si>
    <t>GBR</t>
  </si>
  <si>
    <t>United Kingdom</t>
  </si>
  <si>
    <t>Source: National Statistics Office Latest actual data: 2014. WEO data and projections are based on official ONS National Accounts as of September 18, 2015 (before official revisions to historical data released at end-September 2015). Notes: WEO data and projections are based on official ONS National Accounts as of September 18, 2015 (before official revisions to historical data released at end-September 2015) National accounts manual used: European System of Accounts (ESA) 2010 GDP valuation: Market prices Start/end months of reporting year: January/December Base year: 2011 Chain-weighted: Yes, from 1980 Primary domestic currency: Pound sterling Data last updated: 09/2015</t>
  </si>
  <si>
    <t>Source: National Statistics Office Latest actual data: 2014 Fiscal assumptions: Fiscal projections are based on the U.K. Treasury?s 2015 Summer Budget, published in July  2015. However, on the revenue side, the authorities? projections are adjusted for differences between IMF staff forecasts of macroeconomic variables (such as GDP growth) and the forecasts of these variables assumed in the authorities? fiscal projections. IMF staff data exclude public sector banks and the effect of transferring assets from the Royal Mail Pension Plan to the public sector in April 2012. Real government consumption and investment are part of the real GDP path, which, according to the IMF staff, may or may not be the same as projected by the U.K. Office for Budget Responsibility. Start/end months of reporting year: January/December GFS Manual used: Government Finance Statistics Manual (GFSM) 2001 Basis of recording: Accrual General government includes: Central Government;Local Government;. The concept of "state government" and "social security funds" is not applicable to the UK. Valuation of public debt: Nominal value Primary domestic currency: Pound sterling Data last updated: 09/2015</t>
  </si>
  <si>
    <t>USA</t>
  </si>
  <si>
    <t>United States</t>
  </si>
  <si>
    <t>Source: National Statistics Office Latest actual data: 2014 National accounts manual used: Other GDP valuation: Real Gross Domestic Product determined by chained Fisher quantity growth rates. Start/end months of reporting year: January/December Base year: 2009 Chain-weighted: Yes, from 1980 Primary domestic currency: U.S. dollar Data last updated: 09/2015</t>
  </si>
  <si>
    <t>Source: BEA and IMF's Government Finance Statistics Yearbook (revenue, expenditure, and net lending); Flow of Funds (debt) Latest actual data: 2014 Notes: Revenue, expenditure, and net lending data are compiled according to the GFSM2001 methodology. Due to data limitations, most series begin 2001. Fiscal assumptions: Fiscal projections are based on the August 2015 Congressional Budget Office baseline adjusted for the IMF staff?s policy and macroeconomic assumptions. The baseline incorporates the key provisions of the Bipartisan Budget Act of 2013, including a partial rollback of the sequester spending cuts in fiscal years 2014 and 2015. The rollback is fully offset by savings elsewhere in the budget. In fiscal years 2016 through 2021, the IMF staff assumes that the sequester cuts will continue to be partially replaced, in portions similar to those agreed upon under the Bipartisan Budget Act for fiscal years 2014 and 2015, with back-loaded measures generating savings in mandatory programs and additional revenues. The fiscal projections are adjusted to reflect the IMF staff?s forecasts of key macroeconomic and financial variables and different accounting treatment of financial sector support and of defined benefit pension plans and are converted to a general government basis. Historical data start at 2001 for most series because data compiled according to GFSM2001 may not be available for earlier years. Start/end months of reporting year: January/December GFS Manual used: Government Finance Statistics Manual (GFSM) 2001 Basis of recording: Accrual General government includes: Central Government;State Government;Local Government; Valuation of public debt: Nominal value Primary domestic currency: U.S. dollar Data last updated: 09/2015</t>
  </si>
  <si>
    <t>URY</t>
  </si>
  <si>
    <t>Source: Central Bank Latest actual data: 2014 Notes: Data for years between 1994 and last actual for this series are drawn from sources reported by national authorities.  Data prior to 1993 are drawn from previous surveillance work and reflect the staff's best effort to preserve previously reported data. National accounts manual used: System of National Accounts (SNA) 1993 GDP valuation: Market prices Start/end months of reporting year: January/December Base year: 2005 Chain-weighted: No Primary domestic currency: Uruguayan peso Data last updated: 09/2015</t>
  </si>
  <si>
    <t>Source: Ministry of Finance or Treasury Latest actual data: 2014 Notes: Consolidated public sector Start/end months of reporting year: January/December GFS Manual used: Government Finance Statistics Manual (GFSM) 1986 Basis of recording: Accrual General government includes: Central Government;Local Government;Social Security Funds;Monetary Public Corporations, incl. central bank;Nonfinancial Public Corporation; Valuation of public debt: Face value Primary domestic currency: Uruguayan peso Data last updated: 09/2015</t>
  </si>
  <si>
    <t>UZB</t>
  </si>
  <si>
    <t>Source: National Statistics Office Latest actual data: 2014 National accounts manual used: System of National Accounts (SNA) 1993 GDP valuation: Market prices Start/end months of reporting year: January/December Base year: 1995. 1995Q4 Chain-weighted: No Primary domestic currency: Uzbek sum Data last updated: 08/2015</t>
  </si>
  <si>
    <t>Source: Ministry of Finance or Treasury Latest actual data: 2014 Fiscal assumptions: Next year projection is based on the authorities? announced budget and medium-term projections are based on staff?s assessment Start/end months of reporting year: January/December GFS Manual used: Data not reported according to GFS methodology. Basis of recording: Cash General government includes: Central Government;State Government;Local Government;Social Security Funds;Other; Valuation of public debt: Nominal value Primary domestic currency: Uzbek sum Data last updated: 08/2015</t>
  </si>
  <si>
    <t>VUT</t>
  </si>
  <si>
    <t>Source: National Statistics Office Latest actual data: 2013 National accounts manual used: System of National Accounts (SNA) 1993 GDP valuation: Market prices Start/end months of reporting year: January/December Base year: 2006 Chain-weighted: No Primary domestic currency: Vanuatu vatu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</si>
  <si>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 Valuation of public debt: Current market value Primary domestic currency: Vanuatu vatu Data last updated: 09/2015</t>
  </si>
  <si>
    <t>VEN</t>
  </si>
  <si>
    <t>Source: Central Bank Latest actual data: 2013 National accounts manual used: System of National Accounts (SNA) 2008 GDP valuation: Market prices Start/end months of reporting year: January/December Base year: 1997 Chain-weighted: No Primary domestic currency: Venezuelan bolívar fuerte Data last updated: 09/2015</t>
  </si>
  <si>
    <t>Source: Ministry of Finance or Treasury Latest actual data: 2010 Start/end months of reporting year: January/December GFS Manual used: Government Finance Statistics Manual (GFSM) 2001 Basis of recording: Cash General government includes: Central Government;Local Government;Social Security Funds;Nonfinancial Public Corporation; Valuation of public debt: Nominal value Primary domestic currency: Venezuelan bolívar fuerte Data last updated: 09/2015</t>
  </si>
  <si>
    <t>VNM</t>
  </si>
  <si>
    <t>Source: National Statistics Office Latest actual data: 2013 National accounts manual used: System of National Accounts (SNA) 1993 GDP valuation: Market prices. Production-based measure Start/end months of reporting year: January/December Base year: 2010 Chain-weighted: No Primary domestic currency: Vietnamese dong Data last updated: 09/2015</t>
  </si>
  <si>
    <t>Source: Ministry of Finance or Treasury Latest actual data: 2013 Fiscal assumptions: 2010 is based on authorities' budget (for expenditure); for projections on revenues and financing, staff use the information/measures in the approved budget but the team's macro-framework assumptions. Start/end months of reporting year: January/December GFS Manual used: Government Finance Statistics Manual (GFSM) 2001 Basis of recording: Cash. Accrual based reporting is not available. General government includes: Central Government;State Government;Local Government; Valuation of public debt: Nominal value Primary domestic currency: Vietnamese dong Data last updated: 09/2015</t>
  </si>
  <si>
    <t>YEM</t>
  </si>
  <si>
    <t>Source: IMF Staff Estimates Latest actual data: 2008 National accounts manual used: System of National Accounts (SNA) 1993 GDP valuation: Factor costs Start/end months of reporting year: January/December Base year: 1990 Chain-weighted: No Primary domestic currency: Yemeni rial Data last updated: 09/2015</t>
  </si>
  <si>
    <t>Source: Ministry of Finance or Treasury Latest actual data: 2013 Fiscal assumptions: Hydrocarbon revenue projection are based at WEO assumptions for oil and gas prices (authorities use $55/brl) and authorities projections of production of oil and gas. Non-hydrocarbon revenues largely reflect authorities projection, as well as most of the expenditure categories with exception of fuel subsidies which are projected based at WEO price consistent with revenues. Monetary projection are based on key macroeconomic assumptions on growth rate of broad money, credit to private sector, deposit growth. Start/end months of reporting year: January/December GFS Manual used: Government Finance Statistics Manual (GFSM) 2001 Basis of recording: Cash General government includes: Central Government;Local Government; Valuation of public debt: Nominal value Primary domestic currency: Yemeni rial Data last updated: 09/2015</t>
  </si>
  <si>
    <t>ZMB</t>
  </si>
  <si>
    <t>Source: National Statistics Office Latest actual data: 2013 National accounts manual used: System of National Accounts (SNA) 1993 GDP valuation: Market prices Start/end months of reporting year: January/December Base year: 2010 Chain-weighted: No Primary domestic currency: Zambian kwacha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</si>
  <si>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Current market value Primary domestic currency: Zambian kwacha Data last updated: 09/2015</t>
  </si>
  <si>
    <t>ZWE</t>
  </si>
  <si>
    <t>Source: National Statistics Office Latest actual data: 2013. Data before 2009 are unreliable Notes: The Zimbabwe dollar ceased circulating in early 2009. Data are based on staff estimates of price and exchange rate developments in U.S. dollars. GDP valuation: Market prices Start/end months of reporting year: January/December Base year: 2009 Chain-weighted: No Primary domestic currency: U.S. dollar Data last updated: 09/2015</t>
  </si>
  <si>
    <t>Source: Ministry of Finance or Treasury Latest actual data: 2014 Notes: Fiscal data prior to 2009 are not reliable. Start/end months of reporting year: January/December GFS Manual used: Government Finance Statistics Manual (GFSM) 1986 Basis of recording: Cash General government includes: Central Government; Valuation of public debt: Current market value. In U.S. dollars Primary domestic currency: U.S. dollar Data last updated: 09/2015</t>
  </si>
  <si>
    <t>International Monetary Fund, World Economic Outlook Database, October 2015</t>
  </si>
  <si>
    <t>Refresh</t>
  </si>
  <si>
    <t>Sorry, the query is too large to fit into the Excel cell. You will not be able to update your table with the .Stat Populator.</t>
  </si>
  <si>
    <t>Dataset: Aid activities targeting Global Environmental Objectives</t>
  </si>
  <si>
    <t>Recipient</t>
  </si>
  <si>
    <t>Developing Countries, Total</t>
  </si>
  <si>
    <t>Sector</t>
  </si>
  <si>
    <t>1000: Total All Sectors</t>
  </si>
  <si>
    <t>Marker</t>
  </si>
  <si>
    <t>Biodiversity</t>
  </si>
  <si>
    <t>2002</t>
  </si>
  <si>
    <t>2003</t>
  </si>
  <si>
    <t>2004</t>
  </si>
  <si>
    <t>2005</t>
  </si>
  <si>
    <t>2006</t>
  </si>
  <si>
    <t>2007</t>
  </si>
  <si>
    <t>2008</t>
  </si>
  <si>
    <t>2009</t>
  </si>
  <si>
    <t>2010</t>
  </si>
  <si>
    <t>2011</t>
  </si>
  <si>
    <t>2012</t>
  </si>
  <si>
    <t>2013</t>
  </si>
  <si>
    <t>2014</t>
  </si>
  <si>
    <t>Donor</t>
  </si>
  <si>
    <t>Score</t>
  </si>
  <si>
    <t>Amount type</t>
  </si>
  <si>
    <t>Unit</t>
  </si>
  <si>
    <t/>
  </si>
  <si>
    <t>DAC members, Total</t>
  </si>
  <si>
    <t>Principal</t>
  </si>
  <si>
    <t>Current Prices</t>
  </si>
  <si>
    <t>US Dollar, millions</t>
  </si>
  <si>
    <t>Constant Prices</t>
  </si>
  <si>
    <t>US Dollar, millions, 2013</t>
  </si>
  <si>
    <t>Significant</t>
  </si>
  <si>
    <t>Screened, not targeted</t>
  </si>
  <si>
    <t>Not screened</t>
  </si>
  <si>
    <t>..</t>
  </si>
  <si>
    <t>EU Institutions</t>
  </si>
  <si>
    <t>Data extracted on 14 Jan 2016 19:39 UTC (GMT) from OECD.Stat</t>
  </si>
  <si>
    <t>Values</t>
  </si>
  <si>
    <t>in units</t>
  </si>
  <si>
    <t>in millions</t>
  </si>
  <si>
    <t>in thousands</t>
  </si>
  <si>
    <t>Confidence</t>
  </si>
  <si>
    <t>Conversion</t>
  </si>
  <si>
    <t>United States Dollar (USD)</t>
  </si>
  <si>
    <t>Currency</t>
  </si>
  <si>
    <t>Local currency</t>
  </si>
  <si>
    <t>Total Sheets</t>
  </si>
  <si>
    <t>non country sheets</t>
  </si>
  <si>
    <t>Nmbr countries</t>
  </si>
  <si>
    <t>1.2 Has your country taken measures to encourage the private sector as well as non-governmental organizations, foundations and academia to provide international support for the implementation of the Strategic Plan for Biodiversity 2011-2020?</t>
  </si>
  <si>
    <t>Some measures taken</t>
  </si>
  <si>
    <t>Please provide additional information below.</t>
  </si>
  <si>
    <t>Country group</t>
  </si>
  <si>
    <t>Africa</t>
  </si>
  <si>
    <t>Asia and the pacific</t>
  </si>
  <si>
    <t>Latin America and the Caribbean (GRULA)</t>
  </si>
  <si>
    <t>Central and Eastern Europe</t>
  </si>
  <si>
    <t>Western Europe and Others (WEOG)</t>
  </si>
  <si>
    <t>{{internationalResources.baselineData.baselineFlows.2006.odaAmount}}</t>
  </si>
  <si>
    <t>{{internationalResources.baselineData.baselineFlows.2006.oofAmount}}</t>
  </si>
  <si>
    <t>{{internationalResources.baselineData.baselineFlows.2006.otherAmount}}</t>
  </si>
  <si>
    <t>{{internationalResources.baselineData.baselineFlows.2007.odaAmount}}</t>
  </si>
  <si>
    <t>{{internationalResources.baselineData.baselineFlows.2007.oofAmount}}</t>
  </si>
  <si>
    <t>{{internationalResources.baselineData.baselineFlows.2007.otherAmount}}</t>
  </si>
  <si>
    <t>{{internationalResources.baselineData.baselineFlows.2008.odaAmount}}</t>
  </si>
  <si>
    <t>{{internationalResources.baselineData.baselineFlows.2008.oofAmount}}</t>
  </si>
  <si>
    <t>{{internationalResources.baselineData.baselineFlows.2008.otherAmount}}</t>
  </si>
  <si>
    <t>{{internationalResources.baselineData.baselineFlows.2009.odaAmount}}</t>
  </si>
  <si>
    <t>{{internationalResources.baselineData.baselineFlows.2009.oofAmount}}</t>
  </si>
  <si>
    <t>{{internationalResources.baselineData.baselineFlows.2009.otherAmount}}</t>
  </si>
  <si>
    <t>{{internationalResources.baselineData.baselineFlows.2010.odaAmount}}</t>
  </si>
  <si>
    <t>{{internationalResources.baselineData.baselineFlows.2010.oofAmount}}</t>
  </si>
  <si>
    <t>{{internationalResources.baselineData.baselineFlows.2010.otherAmount}}</t>
  </si>
  <si>
    <t>{{internationalResources.baselineData.odaCategories.56E9FF34-DD6E-4EAF-9ED6-33201A98183C}}</t>
  </si>
  <si>
    <t>{{domesticExpendituresData.expenditures.2006.amount}}</t>
  </si>
  <si>
    <t>{{domesticExpendituresData.expenditures.2007.amount}}</t>
  </si>
  <si>
    <t>{{domesticExpendituresData.expenditures.2008.amount}}</t>
  </si>
  <si>
    <t>{{domesticExpendituresData.expenditures.2009.amount}}</t>
  </si>
  <si>
    <t>{{domesticExpendituresData.expenditures.2010.amount}}</t>
  </si>
  <si>
    <t>{{domesticExpendituresData.expenditures.2011.amount}}</t>
  </si>
  <si>
    <t>{{domesticExpendituresData.expenditures.2012.amount}}</t>
  </si>
  <si>
    <t>{{domesticExpendituresData.expenditures.2013.amount}}</t>
  </si>
  <si>
    <t>{{domesticExpendituresData.expenditures.2014.amount}}</t>
  </si>
  <si>
    <t>{{domesticExpendituresData.expenditures.2015.amount}}</t>
  </si>
  <si>
    <t>{{internationalResources.currency.title}}</t>
  </si>
  <si>
    <t>{{internationalResources.currency.identifier}}</t>
  </si>
  <si>
    <t>{{internationalResources.baselineData.methodologyUsed}}</t>
  </si>
  <si>
    <t>{{internationalResources.progressData.progressFlows.2011.odaAmount}}</t>
  </si>
  <si>
    <t>{{internationalResources.progressData.progressFlows.2012.odaAmount}}</t>
  </si>
  <si>
    <t>{{internationalResources.progressData.progressFlows.2013.odaAmount}}</t>
  </si>
  <si>
    <t>{{internationalResources.progressData.progressFlows.2014.odaAmount}}</t>
  </si>
  <si>
    <t>{{internationalResources.progressData.progressFlows.2015.odaAmount}}</t>
  </si>
  <si>
    <t>{{internationalResources.progressData.progressFlows.2011.oofAmount}}</t>
  </si>
  <si>
    <t>{{internationalResources.progressData.progressFlows.2012.oofAmount}}</t>
  </si>
  <si>
    <t>{{internationalResources.progressData.progressFlows.2013.oofAmount}}</t>
  </si>
  <si>
    <t>{{internationalResources.progressData.progressFlows.2014.oofAmount}}</t>
  </si>
  <si>
    <t>{{internationalResources.progressData.progressFlows.2015.oofAmount}}</t>
  </si>
  <si>
    <t>{{internationalResources.progressData.progressFlows.2011.otherAmount}}</t>
  </si>
  <si>
    <t>{{internationalResources.progressData.progressFlows.2012.otherAmount}}</t>
  </si>
  <si>
    <t>{{internationalResources.progressData.progressFlows.2013.otherAmount}}</t>
  </si>
  <si>
    <t>{{internationalResources.progressData.progressFlows.2014.otherAmount}}</t>
  </si>
  <si>
    <t>{{internationalResources.progressData.progressFlows.2015.otherAmount}}</t>
  </si>
  <si>
    <t>{{nationalPlansData.domesticSources.amount2014}}</t>
  </si>
  <si>
    <t>{{nationalPlansData.domesticSources.amount2015}}</t>
  </si>
  <si>
    <t>{{nationalPlansData.domesticSources.amount2016}}</t>
  </si>
  <si>
    <t>{{nationalPlansData.domesticSources.amount2017}}</t>
  </si>
  <si>
    <t>{{nationalPlansData.domesticSources.amount2018}}</t>
  </si>
  <si>
    <t>{{nationalPlansData.domesticSources.amount2019}}</t>
  </si>
  <si>
    <t>{{nationalPlansData.domesticSources.amount2020}}</t>
  </si>
  <si>
    <t>{{nationalPlansData.internationalSources.amount2014}}</t>
  </si>
  <si>
    <t>{{nationalPlansData.internationalSources.amount2015}}</t>
  </si>
  <si>
    <t>{{nationalPlansData.internationalSources.amount2016}}</t>
  </si>
  <si>
    <t>{{nationalPlansData.internationalSources.amount2017}}</t>
  </si>
  <si>
    <t>{{nationalPlansData.internationalSources.amount2018}}</t>
  </si>
  <si>
    <t>{{nationalPlansData.internationalSources.amount2019}}</t>
  </si>
  <si>
    <t>{{nationalPlansData.internationalSources.amount2020}}</t>
  </si>
  <si>
    <t>{{internationalResources.baselineData.odaOofType.C93899FB-E84F-4F37-B5BB-066C7D09675E}}</t>
  </si>
  <si>
    <t>{{internationalResources.baselineData.odaCategories.565578B3-89D3-46F0-AEB6-B643BAB35E7}}</t>
  </si>
  <si>
    <t>{{internationalResources.baselineData.odaoofActions.4BE226BA-E72F-4A8A-939E-6FCF0FA76CE4}}</t>
  </si>
  <si>
    <t>{{internationalResources.baselineData.odaoofActions.4B931A40-8032-41BD-BBD7-B16905E41DF2}}</t>
  </si>
  <si>
    <t>{{internationalResources.baselineData.otherActions.4BE226BA-E72F-4A8A-939E-6FCF0FA76CE4}}</t>
  </si>
  <si>
    <t>{{internationalResources.baselineData.otherActions.4B931A40-8032-41BD-BBD7-B16905E41DF2}}</t>
  </si>
  <si>
    <t>{{internationalResources.baselineData.odaConfidenceLevel.D8BC6348-D1F9-4DA4-A8C0-7AE149939ABE}}</t>
  </si>
  <si>
    <t>{{internationalResources.baselineData.odaConfidenceLevel.42526EE6-68F3-4E8A-BC2B-3BE60DA2EB32}}</t>
  </si>
  <si>
    <t>{{internationalResources.baselineData.odaConfidenceLevel.6FBEDE59-88DB-45FB-AACB-13C68406BD67}}</t>
  </si>
  <si>
    <t>{{internationalResources.baselineData.oofConfidenceLevel.D8BC6348-D1F9-4DA4-A8C0-7AE149939ABE}}</t>
  </si>
  <si>
    <t>{{internationalResources.baselineData.oofConfidenceLevel.42526EE6-68F3-4E8A-BC2B-3BE60DA2EB32}}</t>
  </si>
  <si>
    <t>{{internationalResources.baselineData.oofConfidenceLevel.6FBEDE59-88DB-45FB-AACB-13C68406BD67}}</t>
  </si>
  <si>
    <t>{{internationalResources.baselineData.otherConfidenceLevel.D8BC6348-D1F9-4DA4-A8C0-7AE149939ABE}}</t>
  </si>
  <si>
    <t>{{internationalResources.baselineData.otherConfidenceLevel.42526EE6-68F3-4E8A-BC2B-3BE60DA2EB32}}</t>
  </si>
  <si>
    <t>{{internationalResources.baselineData.otherConfidenceLevel.6FBEDE59-88DB-45FB-AACB-13C68406BD67}}</t>
  </si>
  <si>
    <t>{{internationalResources.progressData.odaConfidenceLevel.D8BC6348-D1F9-4DA4-A8C0-7AE149939ABE}}</t>
  </si>
  <si>
    <t>{{internationalResources.progressData.odaConfidenceLevel.42526EE6-68F3-4E8A-BC2B-3BE60DA2EB32}}</t>
  </si>
  <si>
    <t>{{internationalResources.progressData.odaConfidenceLevel.6FBEDE59-88DB-45FB-AACB-13C68406BD67}}</t>
  </si>
  <si>
    <t>{{internationalResources.progressData.oofConfidenceLevel.D8BC6348-D1F9-4DA4-A8C0-7AE149939ABE}}</t>
  </si>
  <si>
    <t>{{internationalResources.progressData.oofConfidenceLevel.42526EE6-68F3-4E8A-BC2B-3BE60DA2EB32}}</t>
  </si>
  <si>
    <t>{{internationalResources.progressData.oofConfidenceLevel.6FBEDE59-88DB-45FB-AACB-13C68406BD67}}</t>
  </si>
  <si>
    <t>{{internationalResources.progressData.otherConfidenceLevel.D8BC6348-D1F9-4DA4-A8C0-7AE149939ABE}}</t>
  </si>
  <si>
    <t>{{internationalResources.progressData.otherConfidenceLevel.42526EE6-68F3-4E8A-BC2B-3BE60DA2EB32}}</t>
  </si>
  <si>
    <t>{{internationalResources.progressData.otherConfidenceLevel.6FBEDE59-88DB-45FB-AACB-13C68406BD67}}</t>
  </si>
  <si>
    <t>{{internationalResources.hasPrivateSectorMeasures=some}}</t>
  </si>
  <si>
    <t>{{internationalResources.hasPrivateSectorMeasures=no}}</t>
  </si>
  <si>
    <t>{{internationalResources.hasPrivateSectorMeasures=comprehensive}}</t>
  </si>
  <si>
    <t>{{hasBiodiversityAssessment=notnecessary}}</t>
  </si>
  <si>
    <t>{{hasBiodiversityAssessment=notyet}}</t>
  </si>
  <si>
    <t>{{hasBiodiversityAssessment=some}}</t>
  </si>
  <si>
    <t>{{hasBiodiversityAssessment=comprehensive}}</t>
  </si>
  <si>
    <t>{{hasNationalBiodiversityInclusion=notyet}}</t>
  </si>
  <si>
    <t>{{hasNationalBiodiversityInclusion=some}}</t>
  </si>
  <si>
    <t>{{hasNationalBiodiversityInclusion=comprehensive}}</t>
  </si>
  <si>
    <t>{{domesticExpendituresData.expenditures.2006.confidenceLevel.title}}</t>
  </si>
  <si>
    <t>{{domesticExpendituresData.expenditures.2007.confidenceLevel.title}}</t>
  </si>
  <si>
    <t>{{domesticExpendituresData.expenditures.2008.confidenceLevel.title}}</t>
  </si>
  <si>
    <t>{{domesticExpendituresData.expenditures.2009.confidenceLevel.title}}</t>
  </si>
  <si>
    <t>{{domesticExpendituresData.expenditures.2010.confidenceLevel.title}}</t>
  </si>
  <si>
    <t>{{domesticExpendituresData.expenditures.2011.confidenceLevel.title}}</t>
  </si>
  <si>
    <t>{{domesticExpendituresData.expenditures.2012.confidenceLevel.title}}</t>
  </si>
  <si>
    <t>{{domesticExpendituresData.expenditures.2013.confidenceLevel.title}}</t>
  </si>
  <si>
    <t>{{domesticExpendituresData.expenditures.2014.confidenceLevel.title}}</t>
  </si>
  <si>
    <t>{{domesticExpendituresData.expenditures.2015.confidenceLevel.title}}</t>
  </si>
  <si>
    <t>{{fundingNeedsData.annualEstimates.2014.fundingNeedAmount}}</t>
  </si>
  <si>
    <t>{{fundingNeedsData.annualEstimates.2015.fundingNeedAmount}}</t>
  </si>
  <si>
    <t>{{fundingNeedsData.annualEstimates.2016.fundingNeedAmount}}</t>
  </si>
  <si>
    <t>{{fundingNeedsData.annualEstimates.2017.fundingNeedAmount}}</t>
  </si>
  <si>
    <t>{{fundingNeedsData.annualEstimates.2018.fundingNeedAmount}}</t>
  </si>
  <si>
    <t>{{fundingNeedsData.annualEstimates.2019.fundingNeedAmount}}</t>
  </si>
  <si>
    <t>{{fundingNeedsData.annualEstimates.2020.fundingNeedAmount}}</t>
  </si>
  <si>
    <t>{{fundingNeedsData.annualEstimates.2014.action.en}}</t>
  </si>
  <si>
    <t>{{fundingNeedsData.annualEstimates.2015.action.en}}</t>
  </si>
  <si>
    <t>{{fundingNeedsData.annualEstimates.2016.action.en}}</t>
  </si>
  <si>
    <t>{{fundingNeedsData.annualEstimates.2017.action.en}}</t>
  </si>
  <si>
    <t>{{fundingNeedsData.annualEstimates.2018.action.en}}</t>
  </si>
  <si>
    <t>{{fundingNeedsData.annualEstimates.2019.action.en}}</t>
  </si>
  <si>
    <t>{{fundingNeedsData.annualEstimates.2020.action.en}}</t>
  </si>
  <si>
    <t>{{fundingNeedsData.annualEstimates.2014.fundingGapAmount}}</t>
  </si>
  <si>
    <t>{{fundingNeedsData.annualEstimates.2015.fundingGapAmount}}</t>
  </si>
  <si>
    <t>{{fundingNeedsData.annualEstimates.2016.fundingGapAmount}}</t>
  </si>
  <si>
    <t>{{fundingNeedsData.annualEstimates.2017.fundingGapAmount}}</t>
  </si>
  <si>
    <t>{{fundingNeedsData.annualEstimates.2018.fundingGapAmount}}</t>
  </si>
  <si>
    <t>{{fundingNeedsData.annualEstimates.2019.fundingGapAmount}}</t>
  </si>
  <si>
    <t>{{fundingNeedsData.annualEstimates.2020.fundingGapAmount}}</t>
  </si>
  <si>
    <t>{{fundingNeedsData.annualEstimates.2014.availableResourcesAmount}}</t>
  </si>
  <si>
    <t>{{fundingNeedsData.annualEstimates.2015.availableResourcesAmount}}</t>
  </si>
  <si>
    <t>{{fundingNeedsData.annualEstimates.2016.availableResourcesAmount}}</t>
  </si>
  <si>
    <t>{{fundingNeedsData.annualEstimates.2017.availableResourcesAmount}}</t>
  </si>
  <si>
    <t>{{fundingNeedsData.annualEstimates.2018.availableResourcesAmount}}</t>
  </si>
  <si>
    <t>{{fundingNeedsData.annualEstimates.2019.availableResourcesAmount}}</t>
  </si>
  <si>
    <t>{{fundingNeedsData.annualEstimates.2020.availableResourcesAmount}}</t>
  </si>
  <si>
    <t>{{government.title}}</t>
  </si>
  <si>
    <t>{{domesticExpendituresData.govCentralDirectlyRelated}}</t>
  </si>
  <si>
    <t>{{domesticExpendituresData.govCentralIndirectlyRelated}}</t>
  </si>
  <si>
    <t>{{domesticExpendituresData.provincialDirectlyRelated}}</t>
  </si>
  <si>
    <t>{{domesticExpendituresData.otherDirectlyRelated}}</t>
  </si>
  <si>
    <t>{{domesticExpendituresData.otherIndirectlyRelated}}</t>
  </si>
  <si>
    <t>{{domesticExpendituresData.ilcDirectlyRelated}}</t>
  </si>
  <si>
    <t>{{domesticExpendituresData.ilcIndirectlyRelated}}</t>
  </si>
  <si>
    <t>{{domesticExpendituresData.provincialIndirectlyRelated}}</t>
  </si>
  <si>
    <t>{{domesticExpendituresData.municipalDirectlyRelated}}</t>
  </si>
  <si>
    <t>{{domesticExpendituresData.municipalIndirectlyRelated}}</t>
  </si>
  <si>
    <t>{{domesticExpendituresData.privateDirectlyRelated}}</t>
  </si>
  <si>
    <t>{{domesticExpendituresData.privateIndirectlyRelated}}</t>
  </si>
  <si>
    <t>{{domesticExpendituresData.extraDirectlyRelated}}</t>
  </si>
  <si>
    <t>{{domesticExpendituresData.extraIndirectlyRelated}}</t>
  </si>
  <si>
    <t>{{domesticExpendituresData.currency.identifier}}</t>
  </si>
  <si>
    <t>{{domesticExpendituresData.currency.title}}</t>
  </si>
  <si>
    <t>{{hasDomesticPrivateSectorMeasures=no}}</t>
  </si>
  <si>
    <t>{{hasDomesticPrivateSectorMeasures=some}}</t>
  </si>
  <si>
    <t>{{hasDomesticPrivateSectorMeasures=comprehensive}}</t>
  </si>
  <si>
    <t>{{hasDomesticPrivateSectorMeasuresComments.en}}</t>
  </si>
  <si>
    <t>{{domesticExpendituresData.domesticCollectiveAction=notnecessary}}</t>
  </si>
  <si>
    <t>{{domesticExpendituresData.domesticCollectiveAction=notyet}}</t>
  </si>
  <si>
    <t>{{domesticExpendituresData.domesticCollectiveAction=some}}</t>
  </si>
  <si>
    <t>{{domesticExpendituresData.domesticCollectiveAction=comprehensive}}</t>
  </si>
  <si>
    <t>{{domesticExpendituresData.domesticCollectiveActionMethodologyComments.en}}</t>
  </si>
  <si>
    <t>{{domesticExpendituresData.domesticCollectiveActionMethodologyOther.en}}</t>
  </si>
  <si>
    <t>{{internationalResources.baselineData.odaOofType.AB62AC86-43D1-4CFB-9E05-279E1DFB8BF1}}</t>
  </si>
  <si>
    <t>1.1.2 Monitoring progress in mobilizing international financial flows</t>
  </si>
  <si>
    <t>{{hasBiodiversityAssessmentComments.en}}</t>
  </si>
  <si>
    <t>{{hasNationalBiodiversityInclusionComments.en}}</t>
  </si>
  <si>
    <t>{{internationalResources.hasPrivateSectorMeasuresComments.en}}</t>
  </si>
  <si>
    <t>{{nationalPlansData.multiplier}}</t>
  </si>
  <si>
    <t>{{fundingNeedsData.multiplier}}</t>
  </si>
  <si>
    <t>{{domesticExpendituresData.multiplier}}</t>
  </si>
  <si>
    <t>{{internationalResources.multiplier}}</t>
  </si>
  <si>
    <t>units</t>
  </si>
  <si>
    <t>thousands</t>
  </si>
  <si>
    <t>millions</t>
  </si>
  <si>
    <t>ISO-4217-USD</t>
  </si>
  <si>
    <r>
      <t>·</t>
    </r>
    <r>
      <rPr>
        <sz val="7"/>
        <color theme="1"/>
        <rFont val="Times New Roman"/>
        <family val="1"/>
      </rPr>
      <t xml:space="preserve">       </t>
    </r>
    <r>
      <rPr>
        <b/>
        <sz val="12"/>
        <color theme="1"/>
        <rFont val="Times New Roman"/>
        <family val="1"/>
      </rPr>
      <t xml:space="preserve">Assessments has been done in the field of Invasive Species and Invasive Alien Species , specifically in the coastal area in the Nature Reserves; furthermore, in the field of forestry and  the REDD+ programme; assessments in deep sea due to oil explorations in the Exclusive Economic Zone of the Republic of Suriname; assessments of the </t>
    </r>
    <r>
      <rPr>
        <b/>
        <i/>
        <sz val="12"/>
        <color theme="1"/>
        <rFont val="Times New Roman"/>
        <family val="1"/>
      </rPr>
      <t>Sotalia sp</t>
    </r>
    <r>
      <rPr>
        <b/>
        <sz val="12"/>
        <color theme="1"/>
        <rFont val="Times New Roman"/>
        <family val="1"/>
      </rPr>
      <t xml:space="preserve">. in the rivermouths of the Suriname River and the Commewijne Rivers as well as assessments related to </t>
    </r>
    <r>
      <rPr>
        <b/>
        <i/>
        <sz val="12"/>
        <color theme="1"/>
        <rFont val="Times New Roman"/>
        <family val="1"/>
      </rPr>
      <t>Pteronura brasilienses</t>
    </r>
    <r>
      <rPr>
        <b/>
        <sz val="12"/>
        <color theme="1"/>
        <rFont val="Times New Roman"/>
        <family val="1"/>
      </rPr>
      <t xml:space="preserve">, </t>
    </r>
    <r>
      <rPr>
        <b/>
        <i/>
        <sz val="12"/>
        <color theme="1"/>
        <rFont val="Times New Roman"/>
        <family val="1"/>
      </rPr>
      <t>Lontra longicauda and the Manatee;</t>
    </r>
    <r>
      <rPr>
        <b/>
        <sz val="12"/>
        <color theme="1"/>
        <rFont val="Times New Roman"/>
        <family val="1"/>
      </rPr>
      <t xml:space="preserve"> assessments of the water quality in different rivers in mining areas; non-mining areas; terrestrial areas of oil exploration; the Coronie freshwater swamp, the Bigi Pan wetland and other wetlands in the coastal area and the Interior as well as in the Nature Reserves such as the Central Suriname Nature Reserve. Studies related to bio-prospecting in relation to plant agents for curing cancer is an ongoing research at the Medical Science Institute of Suriname.</t>
    </r>
  </si>
  <si>
    <t>Send funding request to CBD secretariat;
1.Sponsor participation of at least 3technicians from Suriname to the coming COP/COP-MOP;
Funds for revising NBAP: these funds were not requested by the formal CBD/GEF NFP and must be reimbursed to Suriname as the funds were deducted from a different project to realize the update of the NBAP;
Provide funding for the remaining reports to be revised;
Awareness to decision makers for ratifying the Minamata and Nagoya protocol;
Support to re-write the draft environmental legislation; provide training to legislation-lawyers in the Dutch language as the legislation from Suriname is written in the official language which is Dutch.</t>
  </si>
  <si>
    <t>Send request to CBD secretariat:
Projects to be executed to reach the Aichi targets:
1. Write management/monitoring  plan for Invasive Alien Species;
2. Prepare awareness material regarding Biosafety;</t>
  </si>
  <si>
    <t>Send funding request to CBD secretariat:</t>
  </si>
  <si>
    <t>En los últimos años se destacan avances de incoproración de la biodiversidad en el sector productivo, principalm ente en el sector de la ganadería, forestación, agricultura, pesca, y turismo. También se ha avanzado hacia la inc orporación de consideraciones sobre diversidad biológica en los procesos de evaluación ambiental y ordenamient o territorial.</t>
  </si>
  <si>
    <t>Se han desarollado evaluaciones sobre los valores socioeconómicos de la diversidad biológica principalmente en áreas que integran el Sistema Nacional de Áreas Protegidas (Valoración económomica de los bienes y servicios a mbientales de la Laguna de Rocha y su cuenca; Diagnóstico socio-económico y valoración del área protegida Lag una de Rocha; Encuesta de valoración económica de la Quebrada de los Cuervos, Uruguay. Disponibilidad a Pagar y Gastos de Viaje. Insumos para el diseño de una tarifa turística en la Quebrada de los Cuervos, Uruguay).</t>
  </si>
  <si>
    <t>Measure taken of all countries</t>
  </si>
  <si>
    <t>Measure taken within responses</t>
  </si>
  <si>
    <t>Overall response</t>
  </si>
  <si>
    <t>Indicator (b)</t>
  </si>
  <si>
    <t>Indicator (a)</t>
  </si>
  <si>
    <t>Table 3</t>
  </si>
  <si>
    <t>Number of countries</t>
  </si>
  <si>
    <t>Bolivia (Plurinational State of)</t>
  </si>
  <si>
    <t>Iran (Islamic Republic of)</t>
  </si>
  <si>
    <t>Democratic People's Republic of Korea</t>
  </si>
  <si>
    <t>The former Yugoslav Republic of Macedonia</t>
  </si>
  <si>
    <t>Micronesia (Federated States of)</t>
  </si>
  <si>
    <t>Republic of Moldova</t>
  </si>
  <si>
    <t>United Republic of Tanzania</t>
  </si>
  <si>
    <t>Venezuela (Bolivarian Republic of)</t>
  </si>
  <si>
    <t>{{financialAvailabilityData.reportDomesticExpenditures=1}}</t>
  </si>
  <si>
    <t>{{financialAvailabilityData.reportDomesticExpenditures=0}}</t>
  </si>
  <si>
    <t>{{financialAvailabilityData.reportFundingNeeds=1}}</t>
  </si>
  <si>
    <t>{{financialAvailabilityData.reportFundingNeeds=0}}</t>
  </si>
  <si>
    <t>{{financialAvailabilityData.prepareFinancePlans=1}}</t>
  </si>
  <si>
    <t>{{financialAvailabilityData.prepareFinancePlans=0}}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</si>
</sst>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 #,##0.00_)\ _$_ ;_ * \(#,##0.00\)\ _$_ ;_ * &quot;-&quot;??_)\ _$_ ;_ @_ "/>
    <numFmt numFmtId="164" formatCode="_(* #,##0_);_(* \(#,##0\);_(* &quot;-&quot;??_);_(@_)"/>
    <numFmt numFmtId="165" formatCode="_ * #,##0_)\ _$_ ;_ * \(#,##0\)\ _$_ ;_ * &quot;-&quot;??_)\ _$_ ;_ @_ "/>
    <numFmt numFmtId="166" formatCode="0.0%"/>
    <numFmt numFmtId="167" formatCode="0.0"/>
    <numFmt numFmtId="168" formatCode="_ * #,##0.0_)\ _$_ ;_ * \(#,##0.0\)\ _$_ ;_ * &quot;-&quot;??_)\ _$_ ;_ @_ "/>
  </numFmts>
  <fonts count="33" x14ac:knownFonts="1">
    <font>
      <sz val="11"/>
      <color theme="1"/>
      <name val="Calibri"/>
      <family val="2"/>
      <scheme val="minor"/>
    </font>
    <font>
      <sz val="11"/>
      <color rgb="FF333333"/>
      <name val="Arial"/>
      <family val="2"/>
    </font>
    <font>
      <b/>
      <sz val="10"/>
      <color rgb="FF333333"/>
      <name val="Arial"/>
      <family val="2"/>
    </font>
    <font>
      <sz val="10"/>
      <color rgb="FF333333"/>
      <name val="Arial"/>
      <family val="2"/>
    </font>
    <font>
      <sz val="10"/>
      <color theme="1"/>
      <name val="Calibri"/>
      <family val="2"/>
      <scheme val="minor"/>
    </font>
    <font>
      <b/>
      <sz val="11"/>
      <color theme="1"/>
      <name val="Times New Roman"/>
      <family val="1"/>
    </font>
    <font>
      <sz val="11"/>
      <color theme="1"/>
      <name val="Times New Roman"/>
      <family val="1"/>
    </font>
    <font>
      <i/>
      <sz val="11"/>
      <color theme="1" tint="0.249977111117893"/>
      <name val="Times New Roman"/>
      <family val="1"/>
    </font>
    <font>
      <sz val="11"/>
      <name val="Arial"/>
      <family val="2"/>
    </font>
    <font>
      <sz val="10"/>
      <color indexed="8"/>
      <name val="Arial"/>
      <family val="2"/>
    </font>
    <font>
      <sz val="11"/>
      <color indexed="8"/>
      <name val="Arial"/>
      <family val="2"/>
    </font>
    <font>
      <b/>
      <sz val="10"/>
      <color theme="1"/>
      <name val="Calibri"/>
      <family val="2"/>
      <scheme val="minor"/>
    </font>
    <font>
      <sz val="11"/>
      <color theme="1"/>
      <name val="Calibri"/>
      <family val="2"/>
      <scheme val="minor"/>
    </font>
    <font>
      <sz val="10"/>
      <name val="Arial"/>
      <family val="2"/>
    </font>
    <font>
      <sz val="8"/>
      <name val="Arial"/>
      <family val="2"/>
    </font>
    <font>
      <b/>
      <u/>
      <sz val="9"/>
      <color indexed="18"/>
      <name val="Verdana"/>
      <family val="2"/>
    </font>
    <font>
      <b/>
      <sz val="8"/>
      <color indexed="9"/>
      <name val="Verdana"/>
      <family val="2"/>
    </font>
    <font>
      <sz val="8"/>
      <color indexed="9"/>
      <name val="Verdana"/>
      <family val="2"/>
    </font>
    <font>
      <u/>
      <sz val="8"/>
      <color indexed="9"/>
      <name val="Verdana"/>
      <family val="2"/>
    </font>
    <font>
      <b/>
      <sz val="8"/>
      <name val="Verdana"/>
      <family val="2"/>
    </font>
    <font>
      <b/>
      <sz val="9"/>
      <color indexed="10"/>
      <name val="Courier New"/>
      <family val="3"/>
    </font>
    <font>
      <sz val="8"/>
      <name val="Verdana"/>
      <family val="2"/>
    </font>
    <font>
      <u/>
      <sz val="8"/>
      <name val="Verdana"/>
      <family val="2"/>
    </font>
    <font>
      <sz val="9"/>
      <color indexed="81"/>
      <name val="Tahoma"/>
      <family val="2"/>
    </font>
    <font>
      <b/>
      <sz val="9"/>
      <color indexed="81"/>
      <name val="Tahoma"/>
      <family val="2"/>
    </font>
    <font>
      <b/>
      <sz val="14"/>
      <color theme="1"/>
      <name val="Calibri"/>
      <family val="2"/>
      <scheme val="minor"/>
    </font>
    <font>
      <b/>
      <sz val="11"/>
      <color theme="1"/>
      <name val="Calibri"/>
      <family val="2"/>
      <scheme val="minor"/>
    </font>
    <font>
      <sz val="11"/>
      <color rgb="FF000000"/>
      <name val="Calibri"/>
      <family val="2"/>
    </font>
    <font>
      <sz val="12"/>
      <color theme="1"/>
      <name val="Symbol"/>
      <family val="1"/>
      <charset val="2"/>
    </font>
    <font>
      <sz val="7"/>
      <color theme="1"/>
      <name val="Times New Roman"/>
      <family val="1"/>
    </font>
    <font>
      <b/>
      <sz val="12"/>
      <color theme="1"/>
      <name val="Times New Roman"/>
      <family val="1"/>
    </font>
    <font>
      <b/>
      <i/>
      <sz val="12"/>
      <color theme="1"/>
      <name val="Times New Roman"/>
      <family val="1"/>
    </font>
    <font>
      <sz val="12"/>
      <color rgb="FF333333"/>
      <name val="Times New Roman"/>
      <family val="1"/>
    </font>
  </fonts>
  <fills count="1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2973BD"/>
        <bgColor indexed="64"/>
      </patternFill>
    </fill>
    <fill>
      <patternFill patternType="solid">
        <fgColor rgb="FF00A1E3"/>
        <bgColor indexed="64"/>
      </patternFill>
    </fill>
    <fill>
      <patternFill patternType="solid">
        <fgColor rgb="FFC4D8ED"/>
        <bgColor indexed="64"/>
      </patternFill>
    </fill>
    <fill>
      <patternFill patternType="mediumGray">
        <fgColor rgb="FFC0C0C0"/>
        <bgColor rgb="FFFFFFFF"/>
      </patternFill>
    </fill>
    <fill>
      <patternFill patternType="solid">
        <fgColor rgb="FFF0F8FF"/>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39997558519241921"/>
        <bgColor indexed="64"/>
      </patternFill>
    </fill>
  </fills>
  <borders count="19">
    <border>
      <left/>
      <right/>
      <top/>
      <bottom/>
      <diagonal/>
    </border>
    <border>
      <left style="medium">
        <color rgb="FFDDDDDD"/>
      </left>
      <right style="medium">
        <color rgb="FFDDDDDD"/>
      </right>
      <top style="medium">
        <color rgb="FFDDDDDD"/>
      </top>
      <bottom style="medium">
        <color rgb="FFDDDDDD"/>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rgb="FFC0C0C0"/>
      </left>
      <right style="thin">
        <color rgb="FFC0C0C0"/>
      </right>
      <top style="thin">
        <color rgb="FFC0C0C0"/>
      </top>
      <bottom style="thin">
        <color rgb="FFC0C0C0"/>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style="thin">
        <color rgb="FFC0C0C0"/>
      </right>
      <top style="thin">
        <color rgb="FFC0C0C0"/>
      </top>
      <bottom/>
      <diagonal/>
    </border>
    <border>
      <left style="thin">
        <color rgb="FFC0C0C0"/>
      </left>
      <right style="thin">
        <color rgb="FFC0C0C0"/>
      </right>
      <top/>
      <bottom/>
      <diagonal/>
    </border>
    <border>
      <left style="thin">
        <color rgb="FFC0C0C0"/>
      </left>
      <right style="thin">
        <color rgb="FFC0C0C0"/>
      </right>
      <top/>
      <bottom style="thin">
        <color rgb="FFC0C0C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s>
  <cellStyleXfs count="5">
    <xf numFmtId="0" fontId="0" fillId="0" borderId="0"/>
    <xf numFmtId="0" fontId="9" fillId="0" borderId="0"/>
    <xf numFmtId="43" fontId="12" fillId="0" borderId="0" applyFont="0" applyFill="0" applyBorder="0" applyAlignment="0" applyProtection="0"/>
    <xf numFmtId="0" fontId="13" fillId="0" borderId="0"/>
    <xf numFmtId="9" fontId="12" fillId="0" borderId="0" applyFont="0" applyFill="0" applyBorder="0" applyAlignment="0" applyProtection="0"/>
  </cellStyleXfs>
  <cellXfs count="111">
    <xf numFmtId="0" fontId="0" fillId="0" borderId="0" xfId="0"/>
    <xf numFmtId="0" fontId="2" fillId="0" borderId="0" xfId="0" applyFont="1" applyAlignment="1">
      <alignment horizontal="left" vertical="center" wrapText="1"/>
    </xf>
    <xf numFmtId="0" fontId="4" fillId="0" borderId="0" xfId="0" applyFont="1"/>
    <xf numFmtId="0" fontId="3" fillId="0" borderId="0" xfId="0" applyFont="1" applyAlignment="1">
      <alignment vertical="center"/>
    </xf>
    <xf numFmtId="0" fontId="4" fillId="0" borderId="3" xfId="0" applyFont="1" applyBorder="1"/>
    <xf numFmtId="0" fontId="4" fillId="0" borderId="2" xfId="0" applyFont="1" applyBorder="1"/>
    <xf numFmtId="0" fontId="3" fillId="0" borderId="1" xfId="0" applyFont="1" applyBorder="1" applyAlignment="1">
      <alignment horizontal="left" vertical="center" indent="1"/>
    </xf>
    <xf numFmtId="0" fontId="2" fillId="0" borderId="0" xfId="0" applyFont="1" applyAlignment="1">
      <alignment vertical="center"/>
    </xf>
    <xf numFmtId="0" fontId="8" fillId="0" borderId="4" xfId="0" applyFont="1" applyFill="1" applyBorder="1" applyAlignment="1" applyProtection="1">
      <alignment vertical="top"/>
    </xf>
    <xf numFmtId="0" fontId="10" fillId="0" borderId="4" xfId="1" applyFont="1" applyFill="1" applyBorder="1" applyAlignment="1">
      <alignment vertical="top"/>
    </xf>
    <xf numFmtId="0" fontId="6" fillId="0" borderId="4" xfId="0" applyFont="1" applyBorder="1" applyAlignment="1" applyProtection="1">
      <alignment wrapText="1"/>
    </xf>
    <xf numFmtId="0" fontId="11" fillId="0" borderId="0" xfId="0" applyFont="1"/>
    <xf numFmtId="0" fontId="11" fillId="0" borderId="3" xfId="0" applyFont="1" applyBorder="1"/>
    <xf numFmtId="0" fontId="2" fillId="0" borderId="4" xfId="0" applyFont="1" applyBorder="1" applyAlignment="1">
      <alignment horizontal="left" vertical="center" wrapText="1"/>
    </xf>
    <xf numFmtId="0" fontId="3" fillId="0" borderId="4" xfId="0" applyFont="1" applyBorder="1" applyAlignment="1">
      <alignment vertical="center" wrapText="1"/>
    </xf>
    <xf numFmtId="0" fontId="2" fillId="0" borderId="4" xfId="0" applyFont="1" applyBorder="1" applyAlignment="1">
      <alignment vertical="center" wrapText="1"/>
    </xf>
    <xf numFmtId="0" fontId="3" fillId="0" borderId="0" xfId="0" applyFont="1" applyAlignment="1">
      <alignment horizontal="left" vertical="center" wrapText="1"/>
    </xf>
    <xf numFmtId="0" fontId="4" fillId="0" borderId="4" xfId="0" applyFont="1" applyBorder="1"/>
    <xf numFmtId="0" fontId="3" fillId="0" borderId="4" xfId="0" applyFont="1" applyBorder="1" applyAlignment="1">
      <alignment horizontal="left" vertical="center" wrapText="1"/>
    </xf>
    <xf numFmtId="0" fontId="1" fillId="0" borderId="4" xfId="0" applyFont="1" applyBorder="1" applyAlignment="1">
      <alignment vertical="center" wrapText="1"/>
    </xf>
    <xf numFmtId="0" fontId="0" fillId="0" borderId="0" xfId="0" applyAlignment="1">
      <alignment horizontal="left"/>
    </xf>
    <xf numFmtId="4" fontId="0" fillId="0" borderId="0" xfId="0" applyNumberFormat="1"/>
    <xf numFmtId="0" fontId="0" fillId="4" borderId="0" xfId="0" applyFill="1"/>
    <xf numFmtId="0" fontId="14" fillId="0" borderId="6" xfId="3" applyFont="1" applyBorder="1"/>
    <xf numFmtId="0" fontId="13" fillId="0" borderId="0" xfId="3"/>
    <xf numFmtId="0" fontId="15" fillId="0" borderId="6" xfId="3" applyFont="1" applyBorder="1" applyAlignment="1">
      <alignment horizontal="left" wrapText="1"/>
    </xf>
    <xf numFmtId="0" fontId="16" fillId="5" borderId="7" xfId="3" applyFont="1" applyFill="1" applyBorder="1" applyAlignment="1">
      <alignment horizontal="right" vertical="top" wrapText="1"/>
    </xf>
    <xf numFmtId="0" fontId="16" fillId="5" borderId="8" xfId="3" applyFont="1" applyFill="1" applyBorder="1" applyAlignment="1">
      <alignment horizontal="right" vertical="top" wrapText="1"/>
    </xf>
    <xf numFmtId="0" fontId="16" fillId="5" borderId="9" xfId="3" applyFont="1" applyFill="1" applyBorder="1" applyAlignment="1">
      <alignment horizontal="right" vertical="top" wrapText="1"/>
    </xf>
    <xf numFmtId="0" fontId="16" fillId="6" borderId="7" xfId="3" applyFont="1" applyFill="1" applyBorder="1" applyAlignment="1">
      <alignment horizontal="right" vertical="center" wrapText="1"/>
    </xf>
    <xf numFmtId="0" fontId="16" fillId="6" borderId="8" xfId="3" applyFont="1" applyFill="1" applyBorder="1" applyAlignment="1">
      <alignment horizontal="right" vertical="center" wrapText="1"/>
    </xf>
    <xf numFmtId="0" fontId="16" fillId="6" borderId="9" xfId="3" applyFont="1" applyFill="1" applyBorder="1" applyAlignment="1">
      <alignment horizontal="right" vertical="center" wrapText="1"/>
    </xf>
    <xf numFmtId="0" fontId="17" fillId="6" borderId="6" xfId="3" applyFont="1" applyFill="1" applyBorder="1" applyAlignment="1">
      <alignment horizontal="center" vertical="top" wrapText="1"/>
    </xf>
    <xf numFmtId="0" fontId="18" fillId="6" borderId="6" xfId="3" applyFont="1" applyFill="1" applyBorder="1" applyAlignment="1">
      <alignment horizontal="center" vertical="top" wrapText="1"/>
    </xf>
    <xf numFmtId="0" fontId="19" fillId="7" borderId="6" xfId="3" applyFont="1" applyFill="1" applyBorder="1" applyAlignment="1">
      <alignment wrapText="1"/>
    </xf>
    <xf numFmtId="0" fontId="20" fillId="8" borderId="6" xfId="3" applyFont="1" applyFill="1" applyBorder="1" applyAlignment="1">
      <alignment horizontal="center"/>
    </xf>
    <xf numFmtId="0" fontId="21" fillId="7" borderId="10" xfId="3" applyFont="1" applyFill="1" applyBorder="1" applyAlignment="1">
      <alignment vertical="top" wrapText="1"/>
    </xf>
    <xf numFmtId="0" fontId="21" fillId="7" borderId="6" xfId="3" applyFont="1" applyFill="1" applyBorder="1" applyAlignment="1">
      <alignment vertical="top" wrapText="1"/>
    </xf>
    <xf numFmtId="0" fontId="14" fillId="0" borderId="6" xfId="3" applyNumberFormat="1" applyFont="1" applyBorder="1" applyAlignment="1">
      <alignment horizontal="right"/>
    </xf>
    <xf numFmtId="0" fontId="21" fillId="7" borderId="11" xfId="3" applyFont="1" applyFill="1" applyBorder="1" applyAlignment="1">
      <alignment vertical="top" wrapText="1"/>
    </xf>
    <xf numFmtId="0" fontId="21" fillId="7" borderId="12" xfId="3" applyFont="1" applyFill="1" applyBorder="1" applyAlignment="1">
      <alignment vertical="top" wrapText="1"/>
    </xf>
    <xf numFmtId="0" fontId="14" fillId="9" borderId="6" xfId="3" applyNumberFormat="1" applyFont="1" applyFill="1" applyBorder="1" applyAlignment="1">
      <alignment horizontal="right"/>
    </xf>
    <xf numFmtId="0" fontId="22" fillId="0" borderId="0" xfId="3" applyFont="1" applyAlignment="1">
      <alignment horizontal="left"/>
    </xf>
    <xf numFmtId="9" fontId="3" fillId="0" borderId="13" xfId="0" applyNumberFormat="1" applyFont="1" applyBorder="1" applyAlignment="1">
      <alignment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3" fillId="10" borderId="0" xfId="0" applyFont="1" applyFill="1" applyAlignment="1">
      <alignment vertical="center"/>
    </xf>
    <xf numFmtId="0" fontId="0" fillId="11" borderId="0" xfId="0" applyFill="1"/>
    <xf numFmtId="0" fontId="4" fillId="11" borderId="0" xfId="0" applyFont="1" applyFill="1"/>
    <xf numFmtId="43" fontId="2" fillId="0" borderId="4" xfId="2" applyFont="1" applyBorder="1" applyAlignment="1">
      <alignment vertical="center" wrapText="1"/>
    </xf>
    <xf numFmtId="43" fontId="3" fillId="0" borderId="4" xfId="2" applyFont="1" applyBorder="1" applyAlignment="1">
      <alignment vertical="center" wrapText="1"/>
    </xf>
    <xf numFmtId="43" fontId="3" fillId="0" borderId="4" xfId="2" applyFont="1" applyBorder="1" applyAlignment="1">
      <alignment horizontal="left" vertical="center" wrapText="1"/>
    </xf>
    <xf numFmtId="0" fontId="8" fillId="0" borderId="5" xfId="0" applyFont="1" applyFill="1" applyBorder="1" applyAlignment="1" applyProtection="1">
      <alignment vertical="top"/>
    </xf>
    <xf numFmtId="3" fontId="3" fillId="10" borderId="0" xfId="0" applyNumberFormat="1" applyFont="1" applyFill="1" applyAlignment="1">
      <alignment vertical="center" wrapText="1"/>
    </xf>
    <xf numFmtId="0" fontId="0" fillId="0" borderId="17" xfId="0" applyBorder="1"/>
    <xf numFmtId="0" fontId="0" fillId="10" borderId="0" xfId="0" applyFill="1"/>
    <xf numFmtId="3" fontId="1" fillId="0" borderId="4" xfId="0" applyNumberFormat="1" applyFont="1" applyBorder="1" applyAlignment="1">
      <alignment vertical="center" wrapText="1"/>
    </xf>
    <xf numFmtId="0" fontId="4" fillId="0" borderId="13" xfId="0" applyFont="1" applyBorder="1"/>
    <xf numFmtId="164" fontId="0" fillId="0" borderId="4" xfId="2" applyNumberFormat="1" applyFont="1" applyBorder="1"/>
    <xf numFmtId="164" fontId="2" fillId="0" borderId="4" xfId="2" applyNumberFormat="1" applyFont="1" applyBorder="1" applyAlignment="1">
      <alignment vertical="center" wrapText="1"/>
    </xf>
    <xf numFmtId="0" fontId="0" fillId="0" borderId="0" xfId="0" applyAlignment="1">
      <alignment vertical="center" wrapText="1"/>
    </xf>
    <xf numFmtId="0" fontId="0" fillId="0" borderId="0" xfId="0" applyAlignment="1">
      <alignment vertical="center"/>
    </xf>
    <xf numFmtId="0" fontId="7" fillId="3" borderId="5" xfId="0" applyFont="1" applyFill="1" applyBorder="1" applyAlignment="1" applyProtection="1">
      <alignment horizontal="center" vertical="center" wrapText="1"/>
      <protection locked="0"/>
    </xf>
    <xf numFmtId="0" fontId="3" fillId="0" borderId="0" xfId="0" applyFont="1" applyBorder="1" applyAlignment="1">
      <alignment horizontal="left" vertical="center" indent="1"/>
    </xf>
    <xf numFmtId="0" fontId="4" fillId="0" borderId="0" xfId="0" applyFont="1" applyBorder="1"/>
    <xf numFmtId="0" fontId="2" fillId="0" borderId="0" xfId="0" applyFont="1" applyBorder="1" applyAlignment="1">
      <alignment vertical="center"/>
    </xf>
    <xf numFmtId="0" fontId="3" fillId="0" borderId="0" xfId="0" applyFont="1" applyBorder="1" applyAlignment="1">
      <alignment vertical="center"/>
    </xf>
    <xf numFmtId="0" fontId="3" fillId="0" borderId="4" xfId="2" applyNumberFormat="1" applyFont="1" applyBorder="1" applyAlignment="1">
      <alignment vertical="center" wrapText="1"/>
    </xf>
    <xf numFmtId="2" fontId="1" fillId="0" borderId="4" xfId="0" applyNumberFormat="1" applyFont="1" applyBorder="1" applyAlignment="1">
      <alignment vertical="center" wrapText="1"/>
    </xf>
    <xf numFmtId="0" fontId="3" fillId="0" borderId="4" xfId="2" applyNumberFormat="1" applyFont="1" applyBorder="1" applyAlignment="1">
      <alignment horizontal="left" vertical="center" wrapText="1"/>
    </xf>
    <xf numFmtId="0" fontId="7" fillId="0" borderId="0" xfId="0" applyFont="1" applyFill="1" applyBorder="1" applyAlignment="1" applyProtection="1">
      <alignment horizontal="center" vertical="center" wrapText="1"/>
      <protection locked="0"/>
    </xf>
    <xf numFmtId="165" fontId="0" fillId="12" borderId="0" xfId="2" quotePrefix="1" applyNumberFormat="1" applyFont="1" applyFill="1" applyAlignment="1">
      <alignment vertical="center"/>
    </xf>
    <xf numFmtId="0" fontId="26" fillId="12" borderId="0" xfId="0" applyFont="1" applyFill="1" applyAlignment="1">
      <alignment vertical="center"/>
    </xf>
    <xf numFmtId="0" fontId="0" fillId="12" borderId="0" xfId="0" applyFill="1" applyAlignment="1">
      <alignment vertical="center"/>
    </xf>
    <xf numFmtId="165" fontId="0" fillId="13" borderId="0" xfId="2" quotePrefix="1" applyNumberFormat="1" applyFont="1" applyFill="1" applyAlignment="1">
      <alignment vertical="center"/>
    </xf>
    <xf numFmtId="0" fontId="2" fillId="12" borderId="0" xfId="0" applyFont="1" applyFill="1" applyBorder="1" applyAlignment="1">
      <alignment horizontal="center" vertical="center"/>
    </xf>
    <xf numFmtId="0" fontId="2" fillId="12" borderId="4" xfId="0" applyFont="1" applyFill="1" applyBorder="1" applyAlignment="1">
      <alignment horizontal="center" vertical="center" wrapText="1"/>
    </xf>
    <xf numFmtId="165" fontId="26" fillId="12" borderId="0" xfId="2" quotePrefix="1" applyNumberFormat="1" applyFont="1" applyFill="1" applyAlignment="1">
      <alignment vertical="center"/>
    </xf>
    <xf numFmtId="0" fontId="4" fillId="0" borderId="0" xfId="0" applyFont="1" applyFill="1"/>
    <xf numFmtId="0" fontId="7" fillId="3" borderId="5" xfId="0" applyFont="1" applyFill="1" applyBorder="1" applyAlignment="1" applyProtection="1">
      <alignment horizontal="center" vertical="center" wrapText="1"/>
      <protection locked="0"/>
    </xf>
    <xf numFmtId="0" fontId="28" fillId="0" borderId="0" xfId="0" applyFont="1" applyAlignment="1">
      <alignment horizontal="left" vertical="center" indent="4"/>
    </xf>
    <xf numFmtId="165" fontId="3" fillId="0" borderId="4" xfId="2" applyNumberFormat="1" applyFont="1" applyBorder="1" applyAlignment="1">
      <alignment vertical="center" wrapText="1"/>
    </xf>
    <xf numFmtId="0" fontId="32" fillId="0" borderId="0" xfId="0" applyFont="1" applyAlignment="1">
      <alignment vertical="center"/>
    </xf>
    <xf numFmtId="167" fontId="0" fillId="0" borderId="4" xfId="0" applyNumberFormat="1" applyBorder="1"/>
    <xf numFmtId="0" fontId="0" fillId="0" borderId="4" xfId="0" applyBorder="1"/>
    <xf numFmtId="0" fontId="4" fillId="14" borderId="0" xfId="0" applyFont="1" applyFill="1"/>
    <xf numFmtId="0" fontId="11" fillId="0" borderId="0" xfId="0" applyFont="1" applyBorder="1"/>
    <xf numFmtId="0" fontId="26" fillId="0" borderId="0" xfId="0" applyFont="1"/>
    <xf numFmtId="0" fontId="26" fillId="0" borderId="0" xfId="0" applyFont="1" applyAlignment="1">
      <alignment horizontal="center" vertical="center"/>
    </xf>
    <xf numFmtId="0" fontId="26" fillId="0" borderId="0" xfId="0" applyFont="1" applyAlignment="1">
      <alignment vertical="center"/>
    </xf>
    <xf numFmtId="165" fontId="2" fillId="12" borderId="0" xfId="0" applyNumberFormat="1" applyFont="1" applyFill="1" applyBorder="1" applyAlignment="1">
      <alignment vertical="center" wrapText="1"/>
    </xf>
    <xf numFmtId="168" fontId="26" fillId="12" borderId="0" xfId="2" quotePrefix="1" applyNumberFormat="1" applyFont="1" applyFill="1" applyAlignment="1">
      <alignment vertical="center"/>
    </xf>
    <xf numFmtId="165" fontId="2" fillId="13" borderId="0" xfId="2" applyNumberFormat="1" applyFont="1" applyFill="1" applyBorder="1" applyAlignment="1">
      <alignment vertical="center" wrapText="1"/>
    </xf>
    <xf numFmtId="168" fontId="0" fillId="12" borderId="0" xfId="2" quotePrefix="1" applyNumberFormat="1" applyFont="1" applyFill="1" applyAlignment="1">
      <alignment vertical="center"/>
    </xf>
    <xf numFmtId="0" fontId="2" fillId="12" borderId="4" xfId="0" applyFont="1" applyFill="1" applyBorder="1" applyAlignment="1">
      <alignment vertical="center" wrapText="1"/>
    </xf>
    <xf numFmtId="0" fontId="2" fillId="13" borderId="4" xfId="0" applyFont="1" applyFill="1" applyBorder="1" applyAlignment="1">
      <alignment vertical="center" wrapText="1"/>
    </xf>
    <xf numFmtId="0" fontId="26" fillId="0" borderId="4" xfId="0" applyFont="1" applyBorder="1"/>
    <xf numFmtId="0" fontId="26" fillId="0" borderId="4" xfId="0" applyFont="1" applyBorder="1" applyAlignment="1">
      <alignment wrapText="1"/>
    </xf>
    <xf numFmtId="166" fontId="26" fillId="0" borderId="4" xfId="4" applyNumberFormat="1" applyFont="1" applyBorder="1"/>
    <xf numFmtId="0" fontId="5" fillId="2" borderId="0" xfId="0" applyFont="1" applyFill="1" applyBorder="1" applyAlignment="1" applyProtection="1">
      <alignment wrapText="1"/>
    </xf>
    <xf numFmtId="0" fontId="0" fillId="2" borderId="0" xfId="0" applyFill="1" applyBorder="1" applyAlignment="1" applyProtection="1">
      <alignment wrapText="1"/>
    </xf>
    <xf numFmtId="0" fontId="7" fillId="3" borderId="5" xfId="0" applyFont="1" applyFill="1" applyBorder="1" applyAlignment="1" applyProtection="1">
      <alignment horizontal="center" vertical="center" wrapText="1"/>
      <protection locked="0"/>
    </xf>
    <xf numFmtId="0" fontId="7" fillId="3" borderId="0" xfId="0" applyFont="1" applyFill="1" applyBorder="1" applyAlignment="1" applyProtection="1">
      <alignment horizontal="center" vertical="center" wrapText="1"/>
      <protection locked="0"/>
    </xf>
    <xf numFmtId="0" fontId="25" fillId="0" borderId="14"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2" fillId="12" borderId="18" xfId="0" applyFont="1" applyFill="1" applyBorder="1" applyAlignment="1">
      <alignment horizontal="center" vertical="center"/>
    </xf>
    <xf numFmtId="0" fontId="26" fillId="13" borderId="18" xfId="0" applyFont="1" applyFill="1" applyBorder="1" applyAlignment="1">
      <alignment horizontal="center" vertical="center"/>
    </xf>
    <xf numFmtId="0" fontId="17" fillId="5" borderId="7" xfId="3" applyFont="1" applyFill="1" applyBorder="1" applyAlignment="1">
      <alignment vertical="top" wrapText="1"/>
    </xf>
    <xf numFmtId="0" fontId="17" fillId="5" borderId="8" xfId="3" applyFont="1" applyFill="1" applyBorder="1" applyAlignment="1">
      <alignment vertical="top" wrapText="1"/>
    </xf>
    <xf numFmtId="0" fontId="17" fillId="5" borderId="9" xfId="3" applyFont="1" applyFill="1" applyBorder="1" applyAlignment="1">
      <alignment vertical="top" wrapText="1"/>
    </xf>
  </cellXfs>
  <cellStyles count="5">
    <cellStyle name="Comma" xfId="2" builtinId="3"/>
    <cellStyle name="Normal" xfId="0" builtinId="0"/>
    <cellStyle name="Normal 2" xfId="3"/>
    <cellStyle name="Normal_Sheet1" xfId="1"/>
    <cellStyle name="Percent" xfId="4" builtinId="5"/>
  </cellStyles>
  <dxfs count="1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Drop" dropLines="3" dropStyle="combo" dx="25" fmlaLink="$O$1" fmlaRange="values" noThreeD="1" sel="4" val="0"/>
</file>

<file path=xl/ctrlProps/ctrlProp2.xml><?xml version="1.0" encoding="utf-8"?>
<formControlPr xmlns="http://schemas.microsoft.com/office/spreadsheetml/2009/9/main" objectType="Drop" dropStyle="combo" dx="25" noThreeD="1" sel="0" val="0"/>
</file>

<file path=xl/ctrlProps/ctrlProp3.xml><?xml version="1.0" encoding="utf-8"?>
<formControlPr xmlns="http://schemas.microsoft.com/office/spreadsheetml/2009/9/main" objectType="Drop" dropStyle="combo" dx="25" noThreeD="1" sel="0" val="0"/>
</file>

<file path=xl/ctrlProps/ctrlProp4.xml><?xml version="1.0" encoding="utf-8"?>
<formControlPr xmlns="http://schemas.microsoft.com/office/spreadsheetml/2009/9/main" objectType="Drop" dropStyle="combo" dx="25" noThreeD="1" sel="0" val="0"/>
</file>

<file path=xl/ctrlProps/ctrlProp5.xml><?xml version="1.0" encoding="utf-8"?>
<formControlPr xmlns="http://schemas.microsoft.com/office/spreadsheetml/2009/9/main" objectType="Drop" dropStyle="combo" dx="25" noThreeD="1" sel="0" val="0"/>
</file>

<file path=xl/ctrlProps/ctrlProp6.xml><?xml version="1.0" encoding="utf-8"?>
<formControlPr xmlns="http://schemas.microsoft.com/office/spreadsheetml/2009/9/main" objectType="Drop" dropStyle="combo" dx="25" noThreeD="1" sel="0" val="0"/>
</file>

<file path=xl/ctrlProps/ctrlProp7.xml><?xml version="1.0" encoding="utf-8"?>
<formControlPr xmlns="http://schemas.microsoft.com/office/spreadsheetml/2009/9/main" objectType="Drop" dropStyle="combo" dx="25" noThreeD="1" sel="0" val="0"/>
</file>

<file path=xl/ctrlProps/ctrlProp8.xml><?xml version="1.0" encoding="utf-8"?>
<formControlPr xmlns="http://schemas.microsoft.com/office/spreadsheetml/2009/9/main" objectType="Drop" dropStyle="combo" dx="25" noThreeD="1" sel="0" val="0"/>
</file>

<file path=xl/ctrlProps/ctrlProp9.xml><?xml version="1.0" encoding="utf-8"?>
<formControlPr xmlns="http://schemas.microsoft.com/office/spreadsheetml/2009/9/main" objectType="Drop" dropStyle="combo" dx="25" noThreeD="1" sel="0" val="0"/>
</file>

<file path=xl/ctrlProps/ctrlProp10.xml><?xml version="1.0" encoding="utf-8"?>
<formControlPr xmlns="http://schemas.microsoft.com/office/spreadsheetml/2009/9/main" objectType="Drop" dropStyle="combo" dx="16" noThreeD="1" sel="0"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Lines="3" dropStyle="combo" dx="25" fmlaLink="$O$1" fmlaRange="values" noThreeD="1" sel="4" val="0"/>
</file>

<file path=xl/ctrlProps/ctrlProp13.xml><?xml version="1.0" encoding="utf-8"?>
<formControlPr xmlns="http://schemas.microsoft.com/office/spreadsheetml/2009/9/main" objectType="Drop" dropStyle="combo" dx="25" noThreeD="1" sel="0" val="0"/>
</file>

<file path=xl/ctrlProps/ctrlProp14.xml><?xml version="1.0" encoding="utf-8"?>
<formControlPr xmlns="http://schemas.microsoft.com/office/spreadsheetml/2009/9/main" objectType="Drop" dropStyle="combo" dx="25" noThreeD="1" sel="0" val="0"/>
</file>

<file path=xl/ctrlProps/ctrlProp15.xml><?xml version="1.0" encoding="utf-8"?>
<formControlPr xmlns="http://schemas.microsoft.com/office/spreadsheetml/2009/9/main" objectType="Drop" dropStyle="combo" dx="25" noThreeD="1" sel="0" val="0"/>
</file>

<file path=xl/ctrlProps/ctrlProp16.xml><?xml version="1.0" encoding="utf-8"?>
<formControlPr xmlns="http://schemas.microsoft.com/office/spreadsheetml/2009/9/main" objectType="Drop" dropStyle="combo" dx="25" noThreeD="1" sel="0" val="0"/>
</file>

<file path=xl/ctrlProps/ctrlProp17.xml><?xml version="1.0" encoding="utf-8"?>
<formControlPr xmlns="http://schemas.microsoft.com/office/spreadsheetml/2009/9/main" objectType="Drop" dropStyle="combo" dx="25" noThreeD="1" sel="0" val="0"/>
</file>

<file path=xl/ctrlProps/ctrlProp18.xml><?xml version="1.0" encoding="utf-8"?>
<formControlPr xmlns="http://schemas.microsoft.com/office/spreadsheetml/2009/9/main" objectType="Drop" dropStyle="combo" dx="25" noThreeD="1" sel="0" val="0"/>
</file>

<file path=xl/ctrlProps/ctrlProp19.xml><?xml version="1.0" encoding="utf-8"?>
<formControlPr xmlns="http://schemas.microsoft.com/office/spreadsheetml/2009/9/main" objectType="Drop" dropStyle="combo" dx="25" noThreeD="1" sel="0" val="0"/>
</file>

<file path=xl/ctrlProps/ctrlProp20.xml><?xml version="1.0" encoding="utf-8"?>
<formControlPr xmlns="http://schemas.microsoft.com/office/spreadsheetml/2009/9/main" objectType="Drop" dropStyle="combo" dx="25" noThreeD="1" sel="0" val="0"/>
</file>

<file path=xl/ctrlProps/ctrlProp21.xml><?xml version="1.0" encoding="utf-8"?>
<formControlPr xmlns="http://schemas.microsoft.com/office/spreadsheetml/2009/9/main" objectType="Drop" dropStyle="combo" dx="16" noThreeD="1" sel="0" val="0"/>
</file>

<file path=xl/ctrlProps/ctrlProp22.xml><?xml version="1.0" encoding="utf-8"?>
<formControlPr xmlns="http://schemas.microsoft.com/office/spreadsheetml/2009/9/main" objectType="Drop" dropLines="3" dropStyle="combo" dx="25" fmlaLink="$O$1" fmlaRange="values" noThreeD="1" sel="4" val="0"/>
</file>

<file path=xl/ctrlProps/ctrlProp23.xml><?xml version="1.0" encoding="utf-8"?>
<formControlPr xmlns="http://schemas.microsoft.com/office/spreadsheetml/2009/9/main" objectType="Drop" dropStyle="combo" dx="25" noThreeD="1" sel="0" val="0"/>
</file>

<file path=xl/ctrlProps/ctrlProp24.xml><?xml version="1.0" encoding="utf-8"?>
<formControlPr xmlns="http://schemas.microsoft.com/office/spreadsheetml/2009/9/main" objectType="Drop" dropStyle="combo" dx="25" noThreeD="1" sel="0" val="0"/>
</file>

<file path=xl/ctrlProps/ctrlProp25.xml><?xml version="1.0" encoding="utf-8"?>
<formControlPr xmlns="http://schemas.microsoft.com/office/spreadsheetml/2009/9/main" objectType="Drop" dropStyle="combo" dx="25" noThreeD="1" sel="0" val="0"/>
</file>

<file path=xl/ctrlProps/ctrlProp26.xml><?xml version="1.0" encoding="utf-8"?>
<formControlPr xmlns="http://schemas.microsoft.com/office/spreadsheetml/2009/9/main" objectType="Drop" dropStyle="combo" dx="25" noThreeD="1" sel="0" val="0"/>
</file>

<file path=xl/ctrlProps/ctrlProp27.xml><?xml version="1.0" encoding="utf-8"?>
<formControlPr xmlns="http://schemas.microsoft.com/office/spreadsheetml/2009/9/main" objectType="Drop" dropStyle="combo" dx="25" noThreeD="1" sel="0" val="0"/>
</file>

<file path=xl/ctrlProps/ctrlProp28.xml><?xml version="1.0" encoding="utf-8"?>
<formControlPr xmlns="http://schemas.microsoft.com/office/spreadsheetml/2009/9/main" objectType="Drop" dropStyle="combo" dx="25" noThreeD="1" sel="0" val="0"/>
</file>

<file path=xl/ctrlProps/ctrlProp29.xml><?xml version="1.0" encoding="utf-8"?>
<formControlPr xmlns="http://schemas.microsoft.com/office/spreadsheetml/2009/9/main" objectType="Drop" dropStyle="combo" dx="25" noThreeD="1" sel="0" val="0"/>
</file>

<file path=xl/ctrlProps/ctrlProp30.xml><?xml version="1.0" encoding="utf-8"?>
<formControlPr xmlns="http://schemas.microsoft.com/office/spreadsheetml/2009/9/main" objectType="Drop" dropStyle="combo" dx="25" noThreeD="1" sel="0" val="0"/>
</file>

<file path=xl/ctrlProps/ctrlProp31.xml><?xml version="1.0" encoding="utf-8"?>
<formControlPr xmlns="http://schemas.microsoft.com/office/spreadsheetml/2009/9/main" objectType="Drop" dropStyle="combo" dx="16" noThreeD="1" sel="0" val="0"/>
</file>

<file path=xl/ctrlProps/ctrlProp32.xml><?xml version="1.0" encoding="utf-8"?>
<formControlPr xmlns="http://schemas.microsoft.com/office/spreadsheetml/2009/9/main" objectType="Drop" dropLines="3" dropStyle="combo" dx="25" fmlaLink="$O$1" fmlaRange="values" noThreeD="1" sel="4" val="0"/>
</file>

<file path=xl/ctrlProps/ctrlProp33.xml><?xml version="1.0" encoding="utf-8"?>
<formControlPr xmlns="http://schemas.microsoft.com/office/spreadsheetml/2009/9/main" objectType="Drop" dropStyle="combo" dx="25" noThreeD="1" sel="0" val="0"/>
</file>

<file path=xl/ctrlProps/ctrlProp34.xml><?xml version="1.0" encoding="utf-8"?>
<formControlPr xmlns="http://schemas.microsoft.com/office/spreadsheetml/2009/9/main" objectType="Drop" dropStyle="combo" dx="25" noThreeD="1" sel="0" val="0"/>
</file>

<file path=xl/ctrlProps/ctrlProp35.xml><?xml version="1.0" encoding="utf-8"?>
<formControlPr xmlns="http://schemas.microsoft.com/office/spreadsheetml/2009/9/main" objectType="Drop" dropStyle="combo" dx="25" noThreeD="1" sel="0" val="0"/>
</file>

<file path=xl/ctrlProps/ctrlProp36.xml><?xml version="1.0" encoding="utf-8"?>
<formControlPr xmlns="http://schemas.microsoft.com/office/spreadsheetml/2009/9/main" objectType="Drop" dropStyle="combo" dx="25" noThreeD="1" sel="0" val="0"/>
</file>

<file path=xl/ctrlProps/ctrlProp37.xml><?xml version="1.0" encoding="utf-8"?>
<formControlPr xmlns="http://schemas.microsoft.com/office/spreadsheetml/2009/9/main" objectType="Drop" dropStyle="combo" dx="25" noThreeD="1" sel="0" val="0"/>
</file>

<file path=xl/ctrlProps/ctrlProp38.xml><?xml version="1.0" encoding="utf-8"?>
<formControlPr xmlns="http://schemas.microsoft.com/office/spreadsheetml/2009/9/main" objectType="Drop" dropStyle="combo" dx="25" noThreeD="1" sel="0" val="0"/>
</file>

<file path=xl/ctrlProps/ctrlProp39.xml><?xml version="1.0" encoding="utf-8"?>
<formControlPr xmlns="http://schemas.microsoft.com/office/spreadsheetml/2009/9/main" objectType="Drop" dropStyle="combo" dx="25" noThreeD="1" sel="0" val="0"/>
</file>

<file path=xl/ctrlProps/ctrlProp40.xml><?xml version="1.0" encoding="utf-8"?>
<formControlPr xmlns="http://schemas.microsoft.com/office/spreadsheetml/2009/9/main" objectType="Drop" dropStyle="combo" dx="25" noThreeD="1" sel="0" val="0"/>
</file>

<file path=xl/ctrlProps/ctrlProp41.xml><?xml version="1.0" encoding="utf-8"?>
<formControlPr xmlns="http://schemas.microsoft.com/office/spreadsheetml/2009/9/main" objectType="Drop" dropStyle="combo" dx="16" noThreeD="1" sel="0" val="0"/>
</file>

<file path=xl/drawings/drawing1.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7105650" y="12484100"/>
          <a:ext cx="508000" cy="3263900"/>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410450" y="15068550"/>
          <a:ext cx="170180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41" name="Drop Down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1" name="Drop Down 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2" name="Drop Down 12" hidden="1">
              <a:extLst>
                <a:ext uri="{63B3BB69-23CF-44E3-9099-C40C66FF867C}">
                  <a14:compatExt spid="_x0000_s10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3" name="Drop Down 13" hidden="1">
              <a:extLst>
                <a:ext uri="{63B3BB69-23CF-44E3-9099-C40C66FF867C}">
                  <a14:compatExt spid="_x0000_s1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6" name="Drop Down 16" hidden="1">
              <a:extLst>
                <a:ext uri="{63B3BB69-23CF-44E3-9099-C40C66FF867C}">
                  <a14:compatExt spid="_x0000_s10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7" name="Drop Down 17" hidden="1">
              <a:extLst>
                <a:ext uri="{63B3BB69-23CF-44E3-9099-C40C66FF867C}">
                  <a14:compatExt spid="_x0000_s10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8" name="Drop Down 18" hidden="1">
              <a:extLst>
                <a:ext uri="{63B3BB69-23CF-44E3-9099-C40C66FF867C}">
                  <a14:compatExt spid="_x0000_s10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59" name="Drop Down 19" hidden="1">
              <a:extLst>
                <a:ext uri="{63B3BB69-23CF-44E3-9099-C40C66FF867C}">
                  <a14:compatExt spid="_x0000_s10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xdr:row>
          <xdr:rowOff>114300</xdr:rowOff>
        </xdr:from>
        <xdr:to>
          <xdr:col>8</xdr:col>
          <xdr:colOff>9525</xdr:colOff>
          <xdr:row>3</xdr:row>
          <xdr:rowOff>85725</xdr:rowOff>
        </xdr:to>
        <xdr:sp macro="" textlink="">
          <xdr:nvSpPr>
            <xdr:cNvPr id="10260" name="Drop Down 20" hidden="1">
              <a:extLst>
                <a:ext uri="{63B3BB69-23CF-44E3-9099-C40C66FF867C}">
                  <a14:compatExt spid="_x0000_s10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2</xdr:row>
          <xdr:rowOff>114300</xdr:rowOff>
        </xdr:from>
        <xdr:to>
          <xdr:col>8</xdr:col>
          <xdr:colOff>304800</xdr:colOff>
          <xdr:row>3</xdr:row>
          <xdr:rowOff>95250</xdr:rowOff>
        </xdr:to>
        <xdr:sp macro="" textlink="">
          <xdr:nvSpPr>
            <xdr:cNvPr id="10261" name="Drop Down 21" hidden="1">
              <a:extLst>
                <a:ext uri="{63B3BB69-23CF-44E3-9099-C40C66FF867C}">
                  <a14:compatExt spid="_x0000_s1026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685800</xdr:colOff>
          <xdr:row>1</xdr:row>
          <xdr:rowOff>28575</xdr:rowOff>
        </xdr:from>
        <xdr:to>
          <xdr:col>0</xdr:col>
          <xdr:colOff>1504950</xdr:colOff>
          <xdr:row>2</xdr:row>
          <xdr:rowOff>47625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a country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7480300" y="11576050"/>
          <a:ext cx="438150" cy="3397250"/>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816850" y="12795250"/>
          <a:ext cx="1701800" cy="222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1" name="Drop Down 1" hidden="1">
              <a:extLst>
                <a:ext uri="{63B3BB69-23CF-44E3-9099-C40C66FF867C}">
                  <a14:compatExt spid="_x0000_s51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2" name="Drop Down 2" hidden="1">
              <a:extLst>
                <a:ext uri="{63B3BB69-23CF-44E3-9099-C40C66FF867C}">
                  <a14:compatExt spid="_x0000_s51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3" name="Drop Down 3" hidden="1">
              <a:extLst>
                <a:ext uri="{63B3BB69-23CF-44E3-9099-C40C66FF867C}">
                  <a14:compatExt spid="_x0000_s51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4" name="Drop Down 4" hidden="1">
              <a:extLst>
                <a:ext uri="{63B3BB69-23CF-44E3-9099-C40C66FF867C}">
                  <a14:compatExt spid="_x0000_s51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5" name="Drop Down 5" hidden="1">
              <a:extLst>
                <a:ext uri="{63B3BB69-23CF-44E3-9099-C40C66FF867C}">
                  <a14:compatExt spid="_x0000_s51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6" name="Drop Down 6" hidden="1">
              <a:extLst>
                <a:ext uri="{63B3BB69-23CF-44E3-9099-C40C66FF867C}">
                  <a14:compatExt spid="_x0000_s5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7" name="Drop Down 7" hidden="1">
              <a:extLst>
                <a:ext uri="{63B3BB69-23CF-44E3-9099-C40C66FF867C}">
                  <a14:compatExt spid="_x0000_s51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8" name="Drop Down 8" hidden="1">
              <a:extLst>
                <a:ext uri="{63B3BB69-23CF-44E3-9099-C40C66FF867C}">
                  <a14:compatExt spid="_x0000_s51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1209" name="Drop Down 9" hidden="1">
              <a:extLst>
                <a:ext uri="{63B3BB69-23CF-44E3-9099-C40C66FF867C}">
                  <a14:compatExt spid="_x0000_s51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3</xdr:row>
          <xdr:rowOff>0</xdr:rowOff>
        </xdr:from>
        <xdr:to>
          <xdr:col>8</xdr:col>
          <xdr:colOff>304800</xdr:colOff>
          <xdr:row>3</xdr:row>
          <xdr:rowOff>104775</xdr:rowOff>
        </xdr:to>
        <xdr:sp macro="" textlink="">
          <xdr:nvSpPr>
            <xdr:cNvPr id="51210" name="Drop Down 10" hidden="1">
              <a:extLst>
                <a:ext uri="{63B3BB69-23CF-44E3-9099-C40C66FF867C}">
                  <a14:compatExt spid="_x0000_s5121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6783388" y="13866812"/>
          <a:ext cx="501650" cy="3133725"/>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099300" y="14859000"/>
          <a:ext cx="1603375"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57" name="Drop Down 1"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58" name="Drop Down 2" hidden="1">
              <a:extLst>
                <a:ext uri="{63B3BB69-23CF-44E3-9099-C40C66FF867C}">
                  <a14:compatExt spid="_x0000_s19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59" name="Drop Down 3" hidden="1">
              <a:extLst>
                <a:ext uri="{63B3BB69-23CF-44E3-9099-C40C66FF867C}">
                  <a14:compatExt spid="_x0000_s194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0" name="Drop Down 4" hidden="1">
              <a:extLst>
                <a:ext uri="{63B3BB69-23CF-44E3-9099-C40C66FF867C}">
                  <a14:compatExt spid="_x0000_s194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1" name="Drop Down 5" hidden="1">
              <a:extLst>
                <a:ext uri="{63B3BB69-23CF-44E3-9099-C40C66FF867C}">
                  <a14:compatExt spid="_x0000_s194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2" name="Drop Down 6" hidden="1">
              <a:extLst>
                <a:ext uri="{63B3BB69-23CF-44E3-9099-C40C66FF867C}">
                  <a14:compatExt spid="_x0000_s194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3" name="Drop Down 7" hidden="1">
              <a:extLst>
                <a:ext uri="{63B3BB69-23CF-44E3-9099-C40C66FF867C}">
                  <a14:compatExt spid="_x0000_s194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4" name="Drop Down 8" hidden="1">
              <a:extLst>
                <a:ext uri="{63B3BB69-23CF-44E3-9099-C40C66FF867C}">
                  <a14:compatExt spid="_x0000_s194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19465" name="Drop Down 9" hidden="1">
              <a:extLst>
                <a:ext uri="{63B3BB69-23CF-44E3-9099-C40C66FF867C}">
                  <a14:compatExt spid="_x0000_s194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3</xdr:row>
          <xdr:rowOff>0</xdr:rowOff>
        </xdr:from>
        <xdr:to>
          <xdr:col>8</xdr:col>
          <xdr:colOff>304800</xdr:colOff>
          <xdr:row>3</xdr:row>
          <xdr:rowOff>104775</xdr:rowOff>
        </xdr:to>
        <xdr:sp macro="" textlink="">
          <xdr:nvSpPr>
            <xdr:cNvPr id="19466" name="Drop Down 10" hidden="1">
              <a:extLst>
                <a:ext uri="{63B3BB69-23CF-44E3-9099-C40C66FF867C}">
                  <a14:compatExt spid="_x0000_s1946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7480300" y="11576050"/>
          <a:ext cx="438150" cy="3397250"/>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816850" y="12795250"/>
          <a:ext cx="1701800" cy="222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25" name="Drop Down 1" hidden="1">
              <a:extLst>
                <a:ext uri="{63B3BB69-23CF-44E3-9099-C40C66FF867C}">
                  <a14:compatExt spid="_x0000_s52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26" name="Drop Down 2" hidden="1">
              <a:extLst>
                <a:ext uri="{63B3BB69-23CF-44E3-9099-C40C66FF867C}">
                  <a14:compatExt spid="_x0000_s52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27" name="Drop Down 3" hidden="1">
              <a:extLst>
                <a:ext uri="{63B3BB69-23CF-44E3-9099-C40C66FF867C}">
                  <a14:compatExt spid="_x0000_s52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28" name="Drop Down 4" hidden="1">
              <a:extLst>
                <a:ext uri="{63B3BB69-23CF-44E3-9099-C40C66FF867C}">
                  <a14:compatExt spid="_x0000_s52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29" name="Drop Down 5" hidden="1">
              <a:extLst>
                <a:ext uri="{63B3BB69-23CF-44E3-9099-C40C66FF867C}">
                  <a14:compatExt spid="_x0000_s52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30" name="Drop Down 6" hidden="1">
              <a:extLst>
                <a:ext uri="{63B3BB69-23CF-44E3-9099-C40C66FF867C}">
                  <a14:compatExt spid="_x0000_s52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31" name="Drop Down 7" hidden="1">
              <a:extLst>
                <a:ext uri="{63B3BB69-23CF-44E3-9099-C40C66FF867C}">
                  <a14:compatExt spid="_x0000_s52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32" name="Drop Down 8" hidden="1">
              <a:extLst>
                <a:ext uri="{63B3BB69-23CF-44E3-9099-C40C66FF867C}">
                  <a14:compatExt spid="_x0000_s52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0</xdr:rowOff>
        </xdr:from>
        <xdr:to>
          <xdr:col>8</xdr:col>
          <xdr:colOff>9525</xdr:colOff>
          <xdr:row>3</xdr:row>
          <xdr:rowOff>95250</xdr:rowOff>
        </xdr:to>
        <xdr:sp macro="" textlink="">
          <xdr:nvSpPr>
            <xdr:cNvPr id="52233" name="Drop Down 9" hidden="1">
              <a:extLst>
                <a:ext uri="{63B3BB69-23CF-44E3-9099-C40C66FF867C}">
                  <a14:compatExt spid="_x0000_s52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3</xdr:row>
          <xdr:rowOff>0</xdr:rowOff>
        </xdr:from>
        <xdr:to>
          <xdr:col>8</xdr:col>
          <xdr:colOff>304800</xdr:colOff>
          <xdr:row>3</xdr:row>
          <xdr:rowOff>104775</xdr:rowOff>
        </xdr:to>
        <xdr:sp macro="" textlink="">
          <xdr:nvSpPr>
            <xdr:cNvPr id="52234" name="Drop Down 10" hidden="1">
              <a:extLst>
                <a:ext uri="{63B3BB69-23CF-44E3-9099-C40C66FF867C}">
                  <a14:compatExt spid="_x0000_s5223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2016-02-16-16-24-4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soban.somodi/AppData/Local/Microsoft/Windows/Temporary%20Internet%20Files/Content.Outlook/SDMPXW6Q/Currency%20convertor%20FRF/DeflatorCurrencyConvers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sob/AppData/Roaming/Microsoft/Excel/DeflatorCurrencyConversion%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ntry"/>
      <sheetName val="Sheet1"/>
      <sheetName val="Menu (2)"/>
      <sheetName val="Menu"/>
      <sheetName val="Suriname"/>
      <sheetName val="Bosnia and Herzegovina"/>
      <sheetName val="Colombia"/>
      <sheetName val="Congo, Democratic Republic of "/>
      <sheetName val="Croatia"/>
      <sheetName val="Cuba"/>
      <sheetName val="Czech Republic"/>
      <sheetName val="Denmark"/>
      <sheetName val="Egypt"/>
      <sheetName val="Eritrea"/>
      <sheetName val="Estonia"/>
      <sheetName val="France"/>
      <sheetName val="Germany"/>
      <sheetName val="India"/>
      <sheetName val="Japan"/>
      <sheetName val="Korea, Republic of"/>
      <sheetName val="Latvia"/>
      <sheetName val="Luxembourg"/>
      <sheetName val="Malawi"/>
      <sheetName val="Mexico"/>
      <sheetName val="Netherlands"/>
      <sheetName val="Panama"/>
      <sheetName val="Poland"/>
      <sheetName val="Rwanda"/>
      <sheetName val="Slovenia"/>
      <sheetName val="Spain"/>
      <sheetName val="United Kingdom of Great Britai"/>
      <sheetName val="Uruguay"/>
      <sheetName val="{{template}}"/>
      <sheetName val="IMF"/>
      <sheetName val="OECD Targets"/>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ow r="1">
          <cell r="C1" t="str">
            <v>WEO Subject Code</v>
          </cell>
        </row>
      </sheetData>
      <sheetData sheetId="34"/>
      <sheetData sheetId="35">
        <row r="1">
          <cell r="A1" t="str">
            <v>Select &gt;&gt;</v>
          </cell>
        </row>
        <row r="2">
          <cell r="A2" t="str">
            <v>Afghanistan</v>
          </cell>
          <cell r="C2" t="str">
            <v>Select &gt;&gt;</v>
          </cell>
          <cell r="D2" t="str">
            <v>Select &gt;&gt;</v>
          </cell>
          <cell r="F2" t="str">
            <v>Local currency</v>
          </cell>
          <cell r="M2" t="str">
            <v>Africa</v>
          </cell>
        </row>
        <row r="3">
          <cell r="A3" t="str">
            <v>Albania</v>
          </cell>
          <cell r="C3" t="str">
            <v>units</v>
          </cell>
          <cell r="D3" t="str">
            <v xml:space="preserve">High </v>
          </cell>
          <cell r="F3" t="str">
            <v>United States Dollar (USD)</v>
          </cell>
          <cell r="M3" t="str">
            <v>Asia and the pacific</v>
          </cell>
        </row>
        <row r="4">
          <cell r="A4" t="str">
            <v>Algeria</v>
          </cell>
          <cell r="C4" t="str">
            <v>thousands</v>
          </cell>
          <cell r="D4" t="str">
            <v>Medium</v>
          </cell>
          <cell r="M4" t="str">
            <v>Latin America and the Caribbean (GRULA)</v>
          </cell>
        </row>
        <row r="5">
          <cell r="A5" t="str">
            <v>Andorra</v>
          </cell>
          <cell r="C5" t="str">
            <v>millions</v>
          </cell>
          <cell r="D5" t="str">
            <v>Low</v>
          </cell>
          <cell r="M5" t="str">
            <v>Central and Eastern Europe</v>
          </cell>
        </row>
        <row r="6">
          <cell r="A6" t="str">
            <v>Angola</v>
          </cell>
          <cell r="M6" t="str">
            <v>Western Europe and Others (WEOG)</v>
          </cell>
        </row>
        <row r="7">
          <cell r="A7" t="str">
            <v>Antigua and Barbuda</v>
          </cell>
        </row>
        <row r="8">
          <cell r="A8" t="str">
            <v>Argentina</v>
          </cell>
        </row>
        <row r="9">
          <cell r="A9" t="str">
            <v>Armenia</v>
          </cell>
        </row>
        <row r="10">
          <cell r="A10" t="str">
            <v>Australia</v>
          </cell>
        </row>
        <row r="11">
          <cell r="A11" t="str">
            <v>Austria</v>
          </cell>
        </row>
        <row r="12">
          <cell r="A12" t="str">
            <v>Azerbaijan</v>
          </cell>
        </row>
        <row r="13">
          <cell r="A13" t="str">
            <v>Bahamas</v>
          </cell>
        </row>
        <row r="14">
          <cell r="A14" t="str">
            <v>Bahrain</v>
          </cell>
        </row>
        <row r="15">
          <cell r="A15" t="str">
            <v>Bangladesh</v>
          </cell>
        </row>
        <row r="16">
          <cell r="A16" t="str">
            <v>Barbados</v>
          </cell>
        </row>
        <row r="17">
          <cell r="A17" t="str">
            <v>Belarus</v>
          </cell>
        </row>
        <row r="18">
          <cell r="A18" t="str">
            <v>Belgium</v>
          </cell>
        </row>
        <row r="19">
          <cell r="A19" t="str">
            <v>Belize</v>
          </cell>
        </row>
        <row r="20">
          <cell r="A20" t="str">
            <v>Benin</v>
          </cell>
        </row>
        <row r="21">
          <cell r="A21" t="str">
            <v>Bhutan</v>
          </cell>
        </row>
        <row r="22">
          <cell r="A22" t="str">
            <v>Bolivia</v>
          </cell>
        </row>
        <row r="23">
          <cell r="A23" t="str">
            <v>Bosnia and Herzegovina</v>
          </cell>
        </row>
        <row r="24">
          <cell r="A24" t="str">
            <v>Botswana</v>
          </cell>
        </row>
        <row r="25">
          <cell r="A25" t="str">
            <v>Brazil</v>
          </cell>
        </row>
        <row r="26">
          <cell r="A26" t="str">
            <v>Brunei Darussalam</v>
          </cell>
        </row>
        <row r="27">
          <cell r="A27" t="str">
            <v>Bulgaria</v>
          </cell>
        </row>
        <row r="28">
          <cell r="A28" t="str">
            <v>Burkina Faso</v>
          </cell>
        </row>
        <row r="29">
          <cell r="A29" t="str">
            <v>Burundi</v>
          </cell>
        </row>
        <row r="30">
          <cell r="A30" t="str">
            <v>Cambodia</v>
          </cell>
        </row>
        <row r="31">
          <cell r="A31" t="str">
            <v>Cameroon</v>
          </cell>
        </row>
        <row r="32">
          <cell r="A32" t="str">
            <v>Canada</v>
          </cell>
        </row>
        <row r="33">
          <cell r="A33" t="str">
            <v>Cape Verde</v>
          </cell>
        </row>
        <row r="34">
          <cell r="A34" t="str">
            <v>Central African Republic</v>
          </cell>
        </row>
        <row r="35">
          <cell r="A35" t="str">
            <v>Chad</v>
          </cell>
        </row>
        <row r="36">
          <cell r="A36" t="str">
            <v>Chile</v>
          </cell>
        </row>
        <row r="37">
          <cell r="A37" t="str">
            <v>China</v>
          </cell>
        </row>
        <row r="38">
          <cell r="A38" t="str">
            <v>Colombia</v>
          </cell>
        </row>
        <row r="39">
          <cell r="A39" t="str">
            <v>Comoros</v>
          </cell>
        </row>
        <row r="40">
          <cell r="A40" t="str">
            <v>Congo</v>
          </cell>
        </row>
        <row r="41">
          <cell r="A41" t="str">
            <v>Congo, Democratic Republic of the</v>
          </cell>
        </row>
        <row r="42">
          <cell r="A42" t="str">
            <v>Cook Islands</v>
          </cell>
        </row>
        <row r="43">
          <cell r="A43" t="str">
            <v>Costa Rica</v>
          </cell>
        </row>
        <row r="44">
          <cell r="A44" t="str">
            <v>Côte d'Ivoire</v>
          </cell>
        </row>
        <row r="45">
          <cell r="A45" t="str">
            <v>Croatia</v>
          </cell>
        </row>
        <row r="46">
          <cell r="A46" t="str">
            <v>Cuba</v>
          </cell>
        </row>
        <row r="47">
          <cell r="A47" t="str">
            <v>Cyprus</v>
          </cell>
        </row>
        <row r="48">
          <cell r="A48" t="str">
            <v>Czech Republic</v>
          </cell>
        </row>
        <row r="49">
          <cell r="A49" t="str">
            <v>Denmark</v>
          </cell>
        </row>
        <row r="50">
          <cell r="A50" t="str">
            <v>Djibouti</v>
          </cell>
        </row>
        <row r="51">
          <cell r="A51" t="str">
            <v>Dominica</v>
          </cell>
        </row>
        <row r="52">
          <cell r="A52" t="str">
            <v>Dominican Republic</v>
          </cell>
        </row>
        <row r="53">
          <cell r="A53" t="str">
            <v>Ecuador</v>
          </cell>
        </row>
        <row r="54">
          <cell r="A54" t="str">
            <v>Egypt</v>
          </cell>
        </row>
        <row r="55">
          <cell r="A55" t="str">
            <v>El Salvador</v>
          </cell>
        </row>
        <row r="56">
          <cell r="A56" t="str">
            <v>Equatorial Guinea</v>
          </cell>
        </row>
        <row r="57">
          <cell r="A57" t="str">
            <v>Eritrea</v>
          </cell>
        </row>
        <row r="58">
          <cell r="A58" t="str">
            <v>Estonia</v>
          </cell>
        </row>
        <row r="59">
          <cell r="A59" t="str">
            <v>Ethiopia</v>
          </cell>
        </row>
        <row r="60">
          <cell r="A60" t="str">
            <v>European Union</v>
          </cell>
        </row>
        <row r="61">
          <cell r="A61" t="str">
            <v>Fiji</v>
          </cell>
        </row>
        <row r="62">
          <cell r="A62" t="str">
            <v>Finland</v>
          </cell>
        </row>
        <row r="63">
          <cell r="A63" t="str">
            <v>France</v>
          </cell>
        </row>
        <row r="64">
          <cell r="A64" t="str">
            <v>Gabon</v>
          </cell>
        </row>
        <row r="65">
          <cell r="A65" t="str">
            <v>Gambia</v>
          </cell>
        </row>
        <row r="66">
          <cell r="A66" t="str">
            <v>Greece</v>
          </cell>
        </row>
        <row r="67">
          <cell r="A67" t="str">
            <v>Grenada</v>
          </cell>
        </row>
        <row r="68">
          <cell r="A68" t="str">
            <v>Guatemala</v>
          </cell>
        </row>
        <row r="69">
          <cell r="A69" t="str">
            <v>Guinea</v>
          </cell>
        </row>
        <row r="70">
          <cell r="A70" t="str">
            <v>Guinea-Bissau</v>
          </cell>
        </row>
        <row r="71">
          <cell r="A71" t="str">
            <v>Guyana</v>
          </cell>
        </row>
        <row r="72">
          <cell r="A72" t="str">
            <v>Haiti</v>
          </cell>
        </row>
        <row r="73">
          <cell r="A73" t="str">
            <v>Holy See</v>
          </cell>
        </row>
        <row r="74">
          <cell r="A74" t="str">
            <v>Honduras</v>
          </cell>
        </row>
        <row r="75">
          <cell r="A75" t="str">
            <v>Hungary</v>
          </cell>
        </row>
        <row r="76">
          <cell r="A76" t="str">
            <v>Iceland</v>
          </cell>
        </row>
        <row r="77">
          <cell r="A77" t="str">
            <v>India</v>
          </cell>
        </row>
        <row r="78">
          <cell r="A78" t="str">
            <v>Indonesia</v>
          </cell>
        </row>
        <row r="79">
          <cell r="A79" t="str">
            <v>Iran, Islamic Republic of</v>
          </cell>
        </row>
        <row r="80">
          <cell r="A80" t="str">
            <v>Iraq</v>
          </cell>
        </row>
        <row r="81">
          <cell r="A81" t="str">
            <v>Ireland</v>
          </cell>
        </row>
        <row r="82">
          <cell r="A82" t="str">
            <v>Israel</v>
          </cell>
        </row>
        <row r="83">
          <cell r="A83" t="str">
            <v>Italy</v>
          </cell>
        </row>
        <row r="84">
          <cell r="A84" t="str">
            <v>Jamaica</v>
          </cell>
        </row>
        <row r="85">
          <cell r="A85" t="str">
            <v>Japan</v>
          </cell>
        </row>
        <row r="86">
          <cell r="A86" t="str">
            <v>Jordan</v>
          </cell>
        </row>
        <row r="87">
          <cell r="A87" t="str">
            <v>Kazakhstan</v>
          </cell>
        </row>
        <row r="88">
          <cell r="A88" t="str">
            <v>Kenya</v>
          </cell>
        </row>
        <row r="89">
          <cell r="A89" t="str">
            <v>Kiribati</v>
          </cell>
        </row>
        <row r="90">
          <cell r="A90" t="str">
            <v>Korea, Democratic People's Republic of</v>
          </cell>
        </row>
        <row r="91">
          <cell r="A91" t="str">
            <v>Korea, Republic of</v>
          </cell>
        </row>
        <row r="92">
          <cell r="A92" t="str">
            <v>Kuwait</v>
          </cell>
        </row>
        <row r="93">
          <cell r="A93" t="str">
            <v>Kyrgyzstan</v>
          </cell>
        </row>
        <row r="94">
          <cell r="A94" t="str">
            <v>Lao People's Democratic Republic</v>
          </cell>
        </row>
        <row r="95">
          <cell r="A95" t="str">
            <v>Latvia</v>
          </cell>
        </row>
        <row r="96">
          <cell r="A96" t="str">
            <v>Lebanon</v>
          </cell>
        </row>
        <row r="97">
          <cell r="A97" t="str">
            <v>Lesotho</v>
          </cell>
        </row>
        <row r="98">
          <cell r="A98" t="str">
            <v>Liberia</v>
          </cell>
        </row>
        <row r="99">
          <cell r="A99" t="str">
            <v>Libya</v>
          </cell>
        </row>
        <row r="100">
          <cell r="A100" t="str">
            <v>Liechtenstein</v>
          </cell>
        </row>
        <row r="101">
          <cell r="A101" t="str">
            <v>Lithuania</v>
          </cell>
        </row>
        <row r="102">
          <cell r="A102" t="str">
            <v>Luxembourg</v>
          </cell>
        </row>
        <row r="103">
          <cell r="A103" t="str">
            <v>Macedonia, The Former Yugoslav Republic of</v>
          </cell>
        </row>
        <row r="104">
          <cell r="A104" t="str">
            <v>Madagascar</v>
          </cell>
        </row>
        <row r="105">
          <cell r="A105" t="str">
            <v>Malawi</v>
          </cell>
        </row>
        <row r="106">
          <cell r="A106" t="str">
            <v>Malaysia</v>
          </cell>
        </row>
        <row r="107">
          <cell r="A107" t="str">
            <v>Maldives</v>
          </cell>
        </row>
        <row r="108">
          <cell r="A108" t="str">
            <v>Mali</v>
          </cell>
        </row>
        <row r="109">
          <cell r="A109" t="str">
            <v>Malta</v>
          </cell>
        </row>
        <row r="110">
          <cell r="A110" t="str">
            <v>Marshall Islands</v>
          </cell>
        </row>
        <row r="111">
          <cell r="A111" t="str">
            <v>Mauritania</v>
          </cell>
        </row>
        <row r="112">
          <cell r="A112" t="str">
            <v>Mauritius</v>
          </cell>
        </row>
        <row r="113">
          <cell r="A113" t="str">
            <v>Mexico</v>
          </cell>
        </row>
        <row r="114">
          <cell r="A114" t="str">
            <v>Micronesia, Federated States of</v>
          </cell>
        </row>
        <row r="115">
          <cell r="A115" t="str">
            <v>Moldova, Republic of</v>
          </cell>
        </row>
        <row r="116">
          <cell r="A116" t="str">
            <v>Monaco</v>
          </cell>
        </row>
        <row r="117">
          <cell r="A117" t="str">
            <v>Mongolia</v>
          </cell>
        </row>
        <row r="118">
          <cell r="A118" t="str">
            <v>Montenegro</v>
          </cell>
        </row>
        <row r="119">
          <cell r="A119" t="str">
            <v>Morocco</v>
          </cell>
        </row>
        <row r="120">
          <cell r="A120" t="str">
            <v>Mozambique</v>
          </cell>
        </row>
        <row r="121">
          <cell r="A121" t="str">
            <v>Myanmar</v>
          </cell>
        </row>
        <row r="122">
          <cell r="A122" t="str">
            <v>Namibia</v>
          </cell>
        </row>
        <row r="123">
          <cell r="A123" t="str">
            <v>Nauru</v>
          </cell>
        </row>
        <row r="124">
          <cell r="A124" t="str">
            <v>Nepal</v>
          </cell>
        </row>
        <row r="125">
          <cell r="A125" t="str">
            <v>Netherlands</v>
          </cell>
        </row>
        <row r="126">
          <cell r="A126" t="str">
            <v>New Zealand</v>
          </cell>
        </row>
        <row r="127">
          <cell r="A127" t="str">
            <v>Nicaragua</v>
          </cell>
        </row>
        <row r="128">
          <cell r="A128" t="str">
            <v>Niger</v>
          </cell>
        </row>
        <row r="129">
          <cell r="A129" t="str">
            <v>Nigeria</v>
          </cell>
        </row>
        <row r="130">
          <cell r="A130" t="str">
            <v>Niue</v>
          </cell>
        </row>
        <row r="131">
          <cell r="A131" t="str">
            <v>Norway</v>
          </cell>
        </row>
        <row r="132">
          <cell r="A132" t="str">
            <v>Oman</v>
          </cell>
        </row>
        <row r="133">
          <cell r="A133" t="str">
            <v>Pakistan</v>
          </cell>
        </row>
        <row r="134">
          <cell r="A134" t="str">
            <v>Palau</v>
          </cell>
        </row>
        <row r="135">
          <cell r="A135" t="str">
            <v>Panama</v>
          </cell>
        </row>
        <row r="136">
          <cell r="A136" t="str">
            <v>Papua New Guinea</v>
          </cell>
        </row>
        <row r="137">
          <cell r="A137" t="str">
            <v>Paraguay</v>
          </cell>
        </row>
        <row r="138">
          <cell r="A138" t="str">
            <v>Peru</v>
          </cell>
        </row>
        <row r="139">
          <cell r="A139" t="str">
            <v>Philippines</v>
          </cell>
        </row>
        <row r="140">
          <cell r="A140" t="str">
            <v>Poland</v>
          </cell>
        </row>
        <row r="141">
          <cell r="A141" t="str">
            <v>Portugal</v>
          </cell>
        </row>
        <row r="142">
          <cell r="A142" t="str">
            <v>Qatar</v>
          </cell>
        </row>
        <row r="143">
          <cell r="A143" t="str">
            <v>Romania</v>
          </cell>
        </row>
        <row r="144">
          <cell r="A144" t="str">
            <v>Russian Federation</v>
          </cell>
        </row>
        <row r="145">
          <cell r="A145" t="str">
            <v>Rwanda</v>
          </cell>
        </row>
        <row r="146">
          <cell r="A146" t="str">
            <v>Saint Kitts and Nevis</v>
          </cell>
        </row>
        <row r="147">
          <cell r="A147" t="str">
            <v>Saint Lucia</v>
          </cell>
        </row>
        <row r="148">
          <cell r="A148" t="str">
            <v>Saint Vincent and the Grenadines</v>
          </cell>
        </row>
        <row r="149">
          <cell r="A149" t="str">
            <v>Samoa</v>
          </cell>
        </row>
        <row r="150">
          <cell r="A150" t="str">
            <v>San Marino</v>
          </cell>
        </row>
        <row r="151">
          <cell r="A151" t="str">
            <v>Sao Tome and Principe</v>
          </cell>
        </row>
        <row r="152">
          <cell r="A152" t="str">
            <v>Saudi Arabia</v>
          </cell>
        </row>
        <row r="153">
          <cell r="A153" t="str">
            <v>Senegal</v>
          </cell>
        </row>
        <row r="154">
          <cell r="A154" t="str">
            <v>Serbia</v>
          </cell>
        </row>
        <row r="155">
          <cell r="A155" t="str">
            <v>Seychelles</v>
          </cell>
        </row>
        <row r="156">
          <cell r="A156" t="str">
            <v>Sierra Leone</v>
          </cell>
        </row>
        <row r="157">
          <cell r="A157" t="str">
            <v>Singapore</v>
          </cell>
        </row>
        <row r="158">
          <cell r="A158" t="str">
            <v>Slovakia</v>
          </cell>
        </row>
        <row r="159">
          <cell r="A159" t="str">
            <v>Slovenia</v>
          </cell>
        </row>
        <row r="160">
          <cell r="A160" t="str">
            <v>Solomon Islands</v>
          </cell>
        </row>
        <row r="161">
          <cell r="A161" t="str">
            <v>Somalia</v>
          </cell>
        </row>
        <row r="162">
          <cell r="A162" t="str">
            <v>South Africa</v>
          </cell>
        </row>
        <row r="163">
          <cell r="A163" t="str">
            <v>Spain</v>
          </cell>
        </row>
        <row r="164">
          <cell r="A164" t="str">
            <v>Sri Lanka</v>
          </cell>
        </row>
        <row r="165">
          <cell r="A165" t="str">
            <v>Sudan</v>
          </cell>
        </row>
        <row r="166">
          <cell r="A166" t="str">
            <v>Suriname</v>
          </cell>
        </row>
        <row r="167">
          <cell r="A167" t="str">
            <v>Swaziland</v>
          </cell>
        </row>
        <row r="168">
          <cell r="A168" t="str">
            <v>Sweden</v>
          </cell>
        </row>
        <row r="169">
          <cell r="A169" t="str">
            <v>Switzerland</v>
          </cell>
        </row>
        <row r="170">
          <cell r="A170" t="str">
            <v>Syrian Arab Republic</v>
          </cell>
        </row>
        <row r="171">
          <cell r="A171" t="str">
            <v>Tajikistan</v>
          </cell>
        </row>
        <row r="172">
          <cell r="A172" t="str">
            <v>Tanzania, United Republic of</v>
          </cell>
        </row>
        <row r="173">
          <cell r="A173" t="str">
            <v>Thailand</v>
          </cell>
        </row>
        <row r="174">
          <cell r="A174" t="str">
            <v>Timor-Leste</v>
          </cell>
        </row>
        <row r="175">
          <cell r="A175" t="str">
            <v>Togo</v>
          </cell>
        </row>
        <row r="176">
          <cell r="A176" t="str">
            <v>Tonga</v>
          </cell>
        </row>
        <row r="177">
          <cell r="A177" t="str">
            <v>Trinidad and Tobago</v>
          </cell>
        </row>
        <row r="178">
          <cell r="A178" t="str">
            <v>Tunisia</v>
          </cell>
        </row>
        <row r="179">
          <cell r="A179" t="str">
            <v>Turkey</v>
          </cell>
        </row>
        <row r="180">
          <cell r="A180" t="str">
            <v>Turkmenistan</v>
          </cell>
        </row>
        <row r="181">
          <cell r="A181" t="str">
            <v>Tuvalu</v>
          </cell>
        </row>
        <row r="182">
          <cell r="A182" t="str">
            <v>Uganda</v>
          </cell>
        </row>
        <row r="183">
          <cell r="A183" t="str">
            <v>Ukraine</v>
          </cell>
        </row>
        <row r="184">
          <cell r="A184" t="str">
            <v>United Arab Emirates</v>
          </cell>
        </row>
        <row r="185">
          <cell r="A185" t="str">
            <v>United Kingdom of Great Britain and Northern Ireland</v>
          </cell>
        </row>
        <row r="186">
          <cell r="A186" t="str">
            <v>United States of America</v>
          </cell>
        </row>
        <row r="187">
          <cell r="A187" t="str">
            <v>Uruguay</v>
          </cell>
        </row>
        <row r="188">
          <cell r="A188" t="str">
            <v>Uzbekistan</v>
          </cell>
        </row>
        <row r="189">
          <cell r="A189" t="str">
            <v>Vanuatu</v>
          </cell>
        </row>
        <row r="190">
          <cell r="A190" t="str">
            <v>Venezuela</v>
          </cell>
        </row>
        <row r="191">
          <cell r="A191" t="str">
            <v>Viet Nam</v>
          </cell>
        </row>
        <row r="192">
          <cell r="A192" t="str">
            <v>Yemen</v>
          </cell>
        </row>
        <row r="193">
          <cell r="A193" t="str">
            <v>Zambia</v>
          </cell>
        </row>
        <row r="194">
          <cell r="A194" t="str">
            <v>Zimbabwe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herlands"/>
      <sheetName val="Denmark"/>
      <sheetName val="test"/>
      <sheetName val="OECD Targets"/>
      <sheetName val="Baseline"/>
      <sheetName val="Expenditure"/>
      <sheetName val="Data"/>
      <sheetName val="IMF"/>
    </sheetNames>
    <sheetDataSet>
      <sheetData sheetId="0"/>
      <sheetData sheetId="1"/>
      <sheetData sheetId="2"/>
      <sheetData sheetId="3"/>
      <sheetData sheetId="4"/>
      <sheetData sheetId="5"/>
      <sheetData sheetId="6">
        <row r="2">
          <cell r="A2" t="str">
            <v>Afghanistan</v>
          </cell>
          <cell r="C2" t="str">
            <v>In units</v>
          </cell>
        </row>
        <row r="3">
          <cell r="A3" t="str">
            <v>Albania</v>
          </cell>
          <cell r="C3" t="str">
            <v>Thousands</v>
          </cell>
        </row>
        <row r="4">
          <cell r="A4" t="str">
            <v>Algeria</v>
          </cell>
          <cell r="C4" t="str">
            <v>Millions</v>
          </cell>
        </row>
        <row r="5">
          <cell r="A5" t="str">
            <v>Angola</v>
          </cell>
        </row>
        <row r="6">
          <cell r="A6" t="str">
            <v>Antigua and Barbuda</v>
          </cell>
        </row>
        <row r="7">
          <cell r="A7" t="str">
            <v>Argentina</v>
          </cell>
        </row>
        <row r="8">
          <cell r="A8" t="str">
            <v>Armenia</v>
          </cell>
        </row>
        <row r="9">
          <cell r="A9" t="str">
            <v>Australia</v>
          </cell>
        </row>
        <row r="10">
          <cell r="A10" t="str">
            <v>Austria</v>
          </cell>
        </row>
        <row r="11">
          <cell r="A11" t="str">
            <v>Azerbaijan</v>
          </cell>
        </row>
        <row r="12">
          <cell r="A12" t="str">
            <v>The Bahamas</v>
          </cell>
        </row>
        <row r="13">
          <cell r="A13" t="str">
            <v>Bahrain</v>
          </cell>
        </row>
        <row r="14">
          <cell r="A14" t="str">
            <v>Bangladesh</v>
          </cell>
        </row>
        <row r="15">
          <cell r="A15" t="str">
            <v>Barbados</v>
          </cell>
        </row>
        <row r="16">
          <cell r="A16" t="str">
            <v>Belarus</v>
          </cell>
        </row>
        <row r="17">
          <cell r="A17" t="str">
            <v>Belgium</v>
          </cell>
        </row>
        <row r="18">
          <cell r="A18" t="str">
            <v>Belize</v>
          </cell>
        </row>
        <row r="19">
          <cell r="A19" t="str">
            <v>Benin</v>
          </cell>
        </row>
        <row r="20">
          <cell r="A20" t="str">
            <v>Bhutan</v>
          </cell>
        </row>
        <row r="21">
          <cell r="A21" t="str">
            <v>Bolivia</v>
          </cell>
        </row>
        <row r="22">
          <cell r="A22" t="str">
            <v>Bosnia and Herzegovina</v>
          </cell>
        </row>
        <row r="23">
          <cell r="A23" t="str">
            <v>Botswana</v>
          </cell>
        </row>
        <row r="24">
          <cell r="A24" t="str">
            <v>Brazil</v>
          </cell>
        </row>
        <row r="25">
          <cell r="A25" t="str">
            <v>Brunei Darussalam</v>
          </cell>
        </row>
        <row r="26">
          <cell r="A26" t="str">
            <v>Bulgaria</v>
          </cell>
        </row>
        <row r="27">
          <cell r="A27" t="str">
            <v>Burkina Faso</v>
          </cell>
        </row>
        <row r="28">
          <cell r="A28" t="str">
            <v>Burundi</v>
          </cell>
        </row>
        <row r="29">
          <cell r="A29" t="str">
            <v>Cabo Verde</v>
          </cell>
        </row>
        <row r="30">
          <cell r="A30" t="str">
            <v>Cambodia</v>
          </cell>
        </row>
        <row r="31">
          <cell r="A31" t="str">
            <v>Cameroon</v>
          </cell>
        </row>
        <row r="32">
          <cell r="A32" t="str">
            <v>Canada</v>
          </cell>
        </row>
        <row r="33">
          <cell r="A33" t="str">
            <v>Central African Republic</v>
          </cell>
        </row>
        <row r="34">
          <cell r="A34" t="str">
            <v>Chad</v>
          </cell>
        </row>
        <row r="35">
          <cell r="A35" t="str">
            <v>Chile</v>
          </cell>
        </row>
        <row r="36">
          <cell r="A36" t="str">
            <v>China</v>
          </cell>
        </row>
        <row r="37">
          <cell r="A37" t="str">
            <v>Colombia</v>
          </cell>
        </row>
        <row r="38">
          <cell r="A38" t="str">
            <v>Comoros</v>
          </cell>
        </row>
        <row r="39">
          <cell r="A39" t="str">
            <v>Democratic Republic of the Congo</v>
          </cell>
        </row>
        <row r="40">
          <cell r="A40" t="str">
            <v>Republic of Congo</v>
          </cell>
        </row>
        <row r="41">
          <cell r="A41" t="str">
            <v>Costa Rica</v>
          </cell>
        </row>
        <row r="42">
          <cell r="A42" t="str">
            <v>Côte d'Ivoire</v>
          </cell>
        </row>
        <row r="43">
          <cell r="A43" t="str">
            <v>Croatia</v>
          </cell>
        </row>
        <row r="44">
          <cell r="A44" t="str">
            <v>Cyprus</v>
          </cell>
        </row>
        <row r="45">
          <cell r="A45" t="str">
            <v>Czech Republic</v>
          </cell>
        </row>
        <row r="46">
          <cell r="A46" t="str">
            <v>Denmark</v>
          </cell>
        </row>
        <row r="47">
          <cell r="A47" t="str">
            <v>Djibouti</v>
          </cell>
        </row>
        <row r="48">
          <cell r="A48" t="str">
            <v>Dominica</v>
          </cell>
        </row>
        <row r="49">
          <cell r="A49" t="str">
            <v>Dominican Republic</v>
          </cell>
        </row>
        <row r="50">
          <cell r="A50" t="str">
            <v>Ecuador</v>
          </cell>
        </row>
        <row r="51">
          <cell r="A51" t="str">
            <v>Egypt</v>
          </cell>
        </row>
        <row r="52">
          <cell r="A52" t="str">
            <v>El Salvador</v>
          </cell>
        </row>
        <row r="53">
          <cell r="A53" t="str">
            <v>Equatorial Guinea</v>
          </cell>
        </row>
        <row r="54">
          <cell r="A54" t="str">
            <v>Eritrea</v>
          </cell>
        </row>
        <row r="55">
          <cell r="A55" t="str">
            <v>Estonia</v>
          </cell>
        </row>
        <row r="56">
          <cell r="A56" t="str">
            <v>Ethiopia</v>
          </cell>
        </row>
        <row r="57">
          <cell r="A57" t="str">
            <v>Fiji</v>
          </cell>
        </row>
        <row r="58">
          <cell r="A58" t="str">
            <v>Finland</v>
          </cell>
        </row>
        <row r="59">
          <cell r="A59" t="str">
            <v>France</v>
          </cell>
        </row>
        <row r="60">
          <cell r="A60" t="str">
            <v>Gabon</v>
          </cell>
        </row>
        <row r="61">
          <cell r="A61" t="str">
            <v>The Gambia</v>
          </cell>
        </row>
        <row r="62">
          <cell r="A62" t="str">
            <v>Georgia</v>
          </cell>
        </row>
        <row r="63">
          <cell r="A63" t="str">
            <v>Germany</v>
          </cell>
        </row>
        <row r="64">
          <cell r="A64" t="str">
            <v>Ghana</v>
          </cell>
        </row>
        <row r="65">
          <cell r="A65" t="str">
            <v>Greece</v>
          </cell>
        </row>
        <row r="66">
          <cell r="A66" t="str">
            <v>Grenada</v>
          </cell>
        </row>
        <row r="67">
          <cell r="A67" t="str">
            <v>Guatemala</v>
          </cell>
        </row>
        <row r="68">
          <cell r="A68" t="str">
            <v>Guinea</v>
          </cell>
        </row>
        <row r="69">
          <cell r="A69" t="str">
            <v>Guinea-Bissau</v>
          </cell>
        </row>
        <row r="70">
          <cell r="A70" t="str">
            <v>Guyana</v>
          </cell>
        </row>
        <row r="71">
          <cell r="A71" t="str">
            <v>Haiti</v>
          </cell>
        </row>
        <row r="72">
          <cell r="A72" t="str">
            <v>Honduras</v>
          </cell>
        </row>
        <row r="73">
          <cell r="A73" t="str">
            <v>Hong Kong SAR</v>
          </cell>
        </row>
        <row r="74">
          <cell r="A74" t="str">
            <v>Hungary</v>
          </cell>
        </row>
        <row r="75">
          <cell r="A75" t="str">
            <v>Iceland</v>
          </cell>
        </row>
        <row r="76">
          <cell r="A76" t="str">
            <v>India</v>
          </cell>
        </row>
        <row r="77">
          <cell r="A77" t="str">
            <v>Indonesia</v>
          </cell>
        </row>
        <row r="78">
          <cell r="A78" t="str">
            <v>Islamic Republic of Iran</v>
          </cell>
        </row>
        <row r="79">
          <cell r="A79" t="str">
            <v>Iraq</v>
          </cell>
        </row>
        <row r="80">
          <cell r="A80" t="str">
            <v>Ireland</v>
          </cell>
        </row>
        <row r="81">
          <cell r="A81" t="str">
            <v>Israel</v>
          </cell>
        </row>
        <row r="82">
          <cell r="A82" t="str">
            <v>Italy</v>
          </cell>
        </row>
        <row r="83">
          <cell r="A83" t="str">
            <v>Jamaica</v>
          </cell>
        </row>
        <row r="84">
          <cell r="A84" t="str">
            <v>Japan</v>
          </cell>
        </row>
        <row r="85">
          <cell r="A85" t="str">
            <v>Jordan</v>
          </cell>
        </row>
        <row r="86">
          <cell r="A86" t="str">
            <v>Kazakhstan</v>
          </cell>
        </row>
        <row r="87">
          <cell r="A87" t="str">
            <v>Kenya</v>
          </cell>
        </row>
        <row r="88">
          <cell r="A88" t="str">
            <v>Kiribati</v>
          </cell>
        </row>
        <row r="89">
          <cell r="A89" t="str">
            <v>Korea</v>
          </cell>
        </row>
        <row r="90">
          <cell r="A90" t="str">
            <v>Kosovo</v>
          </cell>
        </row>
        <row r="91">
          <cell r="A91" t="str">
            <v>Kuwait</v>
          </cell>
        </row>
        <row r="92">
          <cell r="A92" t="str">
            <v>Kyrgyz Republic</v>
          </cell>
        </row>
        <row r="93">
          <cell r="A93" t="str">
            <v>Lao P.D.R.</v>
          </cell>
        </row>
        <row r="94">
          <cell r="A94" t="str">
            <v>Latvia</v>
          </cell>
        </row>
        <row r="95">
          <cell r="A95" t="str">
            <v>Lebanon</v>
          </cell>
        </row>
        <row r="96">
          <cell r="A96" t="str">
            <v>Lesotho</v>
          </cell>
        </row>
        <row r="97">
          <cell r="A97" t="str">
            <v>Liberia</v>
          </cell>
        </row>
        <row r="98">
          <cell r="A98" t="str">
            <v>Libya</v>
          </cell>
        </row>
        <row r="99">
          <cell r="A99" t="str">
            <v>Lithuania</v>
          </cell>
        </row>
        <row r="100">
          <cell r="A100" t="str">
            <v>Luxembourg</v>
          </cell>
        </row>
        <row r="101">
          <cell r="A101" t="str">
            <v>FYR Macedonia</v>
          </cell>
        </row>
        <row r="102">
          <cell r="A102" t="str">
            <v>Madagascar</v>
          </cell>
        </row>
        <row r="103">
          <cell r="A103" t="str">
            <v>Malawi</v>
          </cell>
        </row>
        <row r="104">
          <cell r="A104" t="str">
            <v>Malaysia</v>
          </cell>
        </row>
        <row r="105">
          <cell r="A105" t="str">
            <v>Maldives</v>
          </cell>
        </row>
        <row r="106">
          <cell r="A106" t="str">
            <v>Mali</v>
          </cell>
        </row>
        <row r="107">
          <cell r="A107" t="str">
            <v>Malta</v>
          </cell>
        </row>
        <row r="108">
          <cell r="A108" t="str">
            <v>Marshall Islands</v>
          </cell>
        </row>
        <row r="109">
          <cell r="A109" t="str">
            <v>Mauritania</v>
          </cell>
        </row>
        <row r="110">
          <cell r="A110" t="str">
            <v>Mauritius</v>
          </cell>
        </row>
        <row r="111">
          <cell r="A111" t="str">
            <v>Mexico</v>
          </cell>
        </row>
        <row r="112">
          <cell r="A112" t="str">
            <v>Micronesia</v>
          </cell>
        </row>
        <row r="113">
          <cell r="A113" t="str">
            <v>Moldova</v>
          </cell>
        </row>
        <row r="114">
          <cell r="A114" t="str">
            <v>Mongolia</v>
          </cell>
        </row>
        <row r="115">
          <cell r="A115" t="str">
            <v>Montenegro</v>
          </cell>
        </row>
        <row r="116">
          <cell r="A116" t="str">
            <v>Morocco</v>
          </cell>
        </row>
        <row r="117">
          <cell r="A117" t="str">
            <v>Mozambique</v>
          </cell>
        </row>
        <row r="118">
          <cell r="A118" t="str">
            <v>Myanmar</v>
          </cell>
        </row>
        <row r="119">
          <cell r="A119" t="str">
            <v>Namibia</v>
          </cell>
        </row>
        <row r="120">
          <cell r="A120" t="str">
            <v>Nepal</v>
          </cell>
        </row>
        <row r="121">
          <cell r="A121" t="str">
            <v>Netherlands</v>
          </cell>
        </row>
        <row r="122">
          <cell r="A122" t="str">
            <v>New Zealand</v>
          </cell>
        </row>
        <row r="123">
          <cell r="A123" t="str">
            <v>Nicaragua</v>
          </cell>
        </row>
        <row r="124">
          <cell r="A124" t="str">
            <v>Niger</v>
          </cell>
        </row>
        <row r="125">
          <cell r="A125" t="str">
            <v>Nigeria</v>
          </cell>
        </row>
        <row r="126">
          <cell r="A126" t="str">
            <v>Norway</v>
          </cell>
        </row>
        <row r="127">
          <cell r="A127" t="str">
            <v>Oman</v>
          </cell>
        </row>
        <row r="128">
          <cell r="A128" t="str">
            <v>Pakistan</v>
          </cell>
        </row>
        <row r="129">
          <cell r="A129" t="str">
            <v>Palau</v>
          </cell>
        </row>
        <row r="130">
          <cell r="A130" t="str">
            <v>Panama</v>
          </cell>
        </row>
        <row r="131">
          <cell r="A131" t="str">
            <v>Papua New Guinea</v>
          </cell>
        </row>
        <row r="132">
          <cell r="A132" t="str">
            <v>Paraguay</v>
          </cell>
        </row>
        <row r="133">
          <cell r="A133" t="str">
            <v>Peru</v>
          </cell>
        </row>
        <row r="134">
          <cell r="A134" t="str">
            <v>Philippines</v>
          </cell>
        </row>
        <row r="135">
          <cell r="A135" t="str">
            <v>Poland</v>
          </cell>
        </row>
        <row r="136">
          <cell r="A136" t="str">
            <v>Portugal</v>
          </cell>
        </row>
        <row r="137">
          <cell r="A137" t="str">
            <v>Qatar</v>
          </cell>
        </row>
        <row r="138">
          <cell r="A138" t="str">
            <v>Romania</v>
          </cell>
        </row>
        <row r="139">
          <cell r="A139" t="str">
            <v>Russia</v>
          </cell>
        </row>
        <row r="140">
          <cell r="A140" t="str">
            <v>Rwanda</v>
          </cell>
        </row>
        <row r="141">
          <cell r="A141" t="str">
            <v>Samoa</v>
          </cell>
        </row>
        <row r="142">
          <cell r="A142" t="str">
            <v>San Marino</v>
          </cell>
        </row>
        <row r="143">
          <cell r="A143" t="str">
            <v>São Tomé and Príncipe</v>
          </cell>
        </row>
        <row r="144">
          <cell r="A144" t="str">
            <v>Saudi Arabia</v>
          </cell>
        </row>
        <row r="145">
          <cell r="A145" t="str">
            <v>Senegal</v>
          </cell>
        </row>
        <row r="146">
          <cell r="A146" t="str">
            <v>Serbia</v>
          </cell>
        </row>
        <row r="147">
          <cell r="A147" t="str">
            <v>Seychelles</v>
          </cell>
        </row>
        <row r="148">
          <cell r="A148" t="str">
            <v>Sierra Leone</v>
          </cell>
        </row>
        <row r="149">
          <cell r="A149" t="str">
            <v>Singapore</v>
          </cell>
        </row>
        <row r="150">
          <cell r="A150" t="str">
            <v>Slovak Republic</v>
          </cell>
        </row>
        <row r="151">
          <cell r="A151" t="str">
            <v>Slovenia</v>
          </cell>
        </row>
        <row r="152">
          <cell r="A152" t="str">
            <v>Solomon Islands</v>
          </cell>
        </row>
        <row r="153">
          <cell r="A153" t="str">
            <v>South Africa</v>
          </cell>
        </row>
        <row r="154">
          <cell r="A154" t="str">
            <v>South Sudan</v>
          </cell>
        </row>
        <row r="155">
          <cell r="A155" t="str">
            <v>Spain</v>
          </cell>
        </row>
        <row r="156">
          <cell r="A156" t="str">
            <v>Sri Lanka</v>
          </cell>
        </row>
        <row r="157">
          <cell r="A157" t="str">
            <v>St. Kitts and Nevis</v>
          </cell>
        </row>
        <row r="158">
          <cell r="A158" t="str">
            <v>St. Lucia</v>
          </cell>
        </row>
        <row r="159">
          <cell r="A159" t="str">
            <v>St. Vincent and the Grenadines</v>
          </cell>
        </row>
        <row r="160">
          <cell r="A160" t="str">
            <v>Sudan</v>
          </cell>
        </row>
        <row r="161">
          <cell r="A161" t="str">
            <v>Suriname</v>
          </cell>
        </row>
        <row r="162">
          <cell r="A162" t="str">
            <v>Swaziland</v>
          </cell>
        </row>
        <row r="163">
          <cell r="A163" t="str">
            <v>Sweden</v>
          </cell>
        </row>
        <row r="164">
          <cell r="A164" t="str">
            <v>Switzerland</v>
          </cell>
        </row>
        <row r="165">
          <cell r="A165" t="str">
            <v>Syria</v>
          </cell>
        </row>
        <row r="166">
          <cell r="A166" t="str">
            <v>Taiwan Province of China</v>
          </cell>
        </row>
        <row r="167">
          <cell r="A167" t="str">
            <v>Tajikistan</v>
          </cell>
        </row>
        <row r="168">
          <cell r="A168" t="str">
            <v>Tanzania</v>
          </cell>
        </row>
        <row r="169">
          <cell r="A169" t="str">
            <v>Thailand</v>
          </cell>
        </row>
        <row r="170">
          <cell r="A170" t="str">
            <v>Timor-Leste</v>
          </cell>
        </row>
        <row r="171">
          <cell r="A171" t="str">
            <v>Togo</v>
          </cell>
        </row>
        <row r="172">
          <cell r="A172" t="str">
            <v>Tonga</v>
          </cell>
        </row>
        <row r="173">
          <cell r="A173" t="str">
            <v>Trinidad and Tobago</v>
          </cell>
        </row>
        <row r="174">
          <cell r="A174" t="str">
            <v>Tunisia</v>
          </cell>
        </row>
        <row r="175">
          <cell r="A175" t="str">
            <v>Turkey</v>
          </cell>
        </row>
        <row r="176">
          <cell r="A176" t="str">
            <v>Turkmenistan</v>
          </cell>
        </row>
        <row r="177">
          <cell r="A177" t="str">
            <v>Tuvalu</v>
          </cell>
        </row>
        <row r="178">
          <cell r="A178" t="str">
            <v>Uganda</v>
          </cell>
        </row>
        <row r="179">
          <cell r="A179" t="str">
            <v>Ukraine</v>
          </cell>
        </row>
        <row r="180">
          <cell r="A180" t="str">
            <v>United Arab Emirates</v>
          </cell>
        </row>
        <row r="181">
          <cell r="A181" t="str">
            <v>United Kingdom</v>
          </cell>
        </row>
        <row r="182">
          <cell r="A182" t="str">
            <v>United States</v>
          </cell>
        </row>
        <row r="183">
          <cell r="A183" t="str">
            <v>Uruguay</v>
          </cell>
        </row>
        <row r="184">
          <cell r="A184" t="str">
            <v>Uzbekistan</v>
          </cell>
        </row>
        <row r="185">
          <cell r="A185" t="str">
            <v>Vanuatu</v>
          </cell>
        </row>
        <row r="186">
          <cell r="A186" t="str">
            <v>Venezuela</v>
          </cell>
        </row>
        <row r="187">
          <cell r="A187" t="str">
            <v>Vietnam</v>
          </cell>
        </row>
        <row r="188">
          <cell r="A188" t="str">
            <v>Yemen</v>
          </cell>
        </row>
        <row r="189">
          <cell r="A189" t="str">
            <v>Zambia</v>
          </cell>
        </row>
        <row r="190">
          <cell r="A190" t="str">
            <v>Zimbabwe</v>
          </cell>
        </row>
      </sheetData>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herlands"/>
      <sheetName val="Denmark"/>
      <sheetName val="test"/>
      <sheetName val="OECD Targets"/>
      <sheetName val="Baseline"/>
      <sheetName val="Expenditure"/>
      <sheetName val="Data"/>
      <sheetName val="IMF"/>
    </sheetNames>
    <sheetDataSet>
      <sheetData sheetId="0"/>
      <sheetData sheetId="1"/>
      <sheetData sheetId="2"/>
      <sheetData sheetId="3"/>
      <sheetData sheetId="4"/>
      <sheetData sheetId="5"/>
      <sheetData sheetId="6">
        <row r="2">
          <cell r="A2" t="str">
            <v>Afghanistan</v>
          </cell>
        </row>
        <row r="3">
          <cell r="A3" t="str">
            <v>Albania</v>
          </cell>
        </row>
        <row r="4">
          <cell r="A4" t="str">
            <v>Algeria</v>
          </cell>
        </row>
        <row r="5">
          <cell r="A5" t="str">
            <v>Angola</v>
          </cell>
        </row>
        <row r="6">
          <cell r="A6" t="str">
            <v>Antigua and Barbuda</v>
          </cell>
        </row>
        <row r="7">
          <cell r="A7" t="str">
            <v>Argentina</v>
          </cell>
        </row>
        <row r="8">
          <cell r="A8" t="str">
            <v>Armenia</v>
          </cell>
        </row>
        <row r="9">
          <cell r="A9" t="str">
            <v>Australia</v>
          </cell>
        </row>
        <row r="10">
          <cell r="A10" t="str">
            <v>Austria</v>
          </cell>
        </row>
        <row r="11">
          <cell r="A11" t="str">
            <v>Azerbaijan</v>
          </cell>
        </row>
        <row r="12">
          <cell r="A12" t="str">
            <v>The Bahamas</v>
          </cell>
        </row>
        <row r="13">
          <cell r="A13" t="str">
            <v>Bahrain</v>
          </cell>
        </row>
        <row r="14">
          <cell r="A14" t="str">
            <v>Bangladesh</v>
          </cell>
        </row>
        <row r="15">
          <cell r="A15" t="str">
            <v>Barbados</v>
          </cell>
        </row>
        <row r="16">
          <cell r="A16" t="str">
            <v>Belarus</v>
          </cell>
        </row>
        <row r="17">
          <cell r="A17" t="str">
            <v>Belgium</v>
          </cell>
        </row>
        <row r="18">
          <cell r="A18" t="str">
            <v>Belize</v>
          </cell>
        </row>
        <row r="19">
          <cell r="A19" t="str">
            <v>Benin</v>
          </cell>
        </row>
        <row r="20">
          <cell r="A20" t="str">
            <v>Bhutan</v>
          </cell>
        </row>
        <row r="21">
          <cell r="A21" t="str">
            <v>Bolivia</v>
          </cell>
        </row>
        <row r="22">
          <cell r="A22" t="str">
            <v>Bosnia and Herzegovina</v>
          </cell>
        </row>
        <row r="23">
          <cell r="A23" t="str">
            <v>Botswana</v>
          </cell>
        </row>
        <row r="24">
          <cell r="A24" t="str">
            <v>Brazil</v>
          </cell>
        </row>
        <row r="25">
          <cell r="A25" t="str">
            <v>Brunei Darussalam</v>
          </cell>
        </row>
        <row r="26">
          <cell r="A26" t="str">
            <v>Bulgaria</v>
          </cell>
        </row>
        <row r="27">
          <cell r="A27" t="str">
            <v>Burkina Faso</v>
          </cell>
        </row>
        <row r="28">
          <cell r="A28" t="str">
            <v>Burundi</v>
          </cell>
        </row>
        <row r="29">
          <cell r="A29" t="str">
            <v>Cabo Verde</v>
          </cell>
        </row>
        <row r="30">
          <cell r="A30" t="str">
            <v>Cambodia</v>
          </cell>
        </row>
        <row r="31">
          <cell r="A31" t="str">
            <v>Cameroon</v>
          </cell>
        </row>
        <row r="32">
          <cell r="A32" t="str">
            <v>Canada</v>
          </cell>
        </row>
        <row r="33">
          <cell r="A33" t="str">
            <v>Central African Republic</v>
          </cell>
        </row>
        <row r="34">
          <cell r="A34" t="str">
            <v>Chad</v>
          </cell>
        </row>
        <row r="35">
          <cell r="A35" t="str">
            <v>Chile</v>
          </cell>
        </row>
        <row r="36">
          <cell r="A36" t="str">
            <v>China</v>
          </cell>
        </row>
        <row r="37">
          <cell r="A37" t="str">
            <v>Colombia</v>
          </cell>
        </row>
        <row r="38">
          <cell r="A38" t="str">
            <v>Comoros</v>
          </cell>
        </row>
        <row r="39">
          <cell r="A39" t="str">
            <v>Democratic Republic of the Congo</v>
          </cell>
        </row>
        <row r="40">
          <cell r="A40" t="str">
            <v>Republic of Congo</v>
          </cell>
        </row>
        <row r="41">
          <cell r="A41" t="str">
            <v>Costa Rica</v>
          </cell>
        </row>
        <row r="42">
          <cell r="A42" t="str">
            <v>Côte d'Ivoire</v>
          </cell>
        </row>
        <row r="43">
          <cell r="A43" t="str">
            <v>Croatia</v>
          </cell>
        </row>
        <row r="44">
          <cell r="A44" t="str">
            <v>Cyprus</v>
          </cell>
        </row>
        <row r="45">
          <cell r="A45" t="str">
            <v>Czech Republic</v>
          </cell>
        </row>
        <row r="46">
          <cell r="A46" t="str">
            <v>Denmark</v>
          </cell>
        </row>
        <row r="47">
          <cell r="A47" t="str">
            <v>Djibouti</v>
          </cell>
        </row>
        <row r="48">
          <cell r="A48" t="str">
            <v>Dominica</v>
          </cell>
        </row>
        <row r="49">
          <cell r="A49" t="str">
            <v>Dominican Republic</v>
          </cell>
        </row>
        <row r="50">
          <cell r="A50" t="str">
            <v>Ecuador</v>
          </cell>
        </row>
        <row r="51">
          <cell r="A51" t="str">
            <v>Egypt</v>
          </cell>
        </row>
        <row r="52">
          <cell r="A52" t="str">
            <v>El Salvador</v>
          </cell>
        </row>
        <row r="53">
          <cell r="A53" t="str">
            <v>Equatorial Guinea</v>
          </cell>
        </row>
        <row r="54">
          <cell r="A54" t="str">
            <v>Eritrea</v>
          </cell>
        </row>
        <row r="55">
          <cell r="A55" t="str">
            <v>Estonia</v>
          </cell>
        </row>
        <row r="56">
          <cell r="A56" t="str">
            <v>Ethiopia</v>
          </cell>
        </row>
        <row r="57">
          <cell r="A57" t="str">
            <v>Fiji</v>
          </cell>
        </row>
        <row r="58">
          <cell r="A58" t="str">
            <v>Finland</v>
          </cell>
        </row>
        <row r="59">
          <cell r="A59" t="str">
            <v>France</v>
          </cell>
        </row>
        <row r="60">
          <cell r="A60" t="str">
            <v>Gabon</v>
          </cell>
        </row>
        <row r="61">
          <cell r="A61" t="str">
            <v>The Gambia</v>
          </cell>
        </row>
        <row r="62">
          <cell r="A62" t="str">
            <v>Georgia</v>
          </cell>
        </row>
        <row r="63">
          <cell r="A63" t="str">
            <v>Germany</v>
          </cell>
        </row>
        <row r="64">
          <cell r="A64" t="str">
            <v>Ghana</v>
          </cell>
        </row>
        <row r="65">
          <cell r="A65" t="str">
            <v>Greece</v>
          </cell>
        </row>
        <row r="66">
          <cell r="A66" t="str">
            <v>Grenada</v>
          </cell>
        </row>
        <row r="67">
          <cell r="A67" t="str">
            <v>Guatemala</v>
          </cell>
        </row>
        <row r="68">
          <cell r="A68" t="str">
            <v>Guinea</v>
          </cell>
        </row>
        <row r="69">
          <cell r="A69" t="str">
            <v>Guinea-Bissau</v>
          </cell>
        </row>
        <row r="70">
          <cell r="A70" t="str">
            <v>Guyana</v>
          </cell>
        </row>
        <row r="71">
          <cell r="A71" t="str">
            <v>Haiti</v>
          </cell>
        </row>
        <row r="72">
          <cell r="A72" t="str">
            <v>Honduras</v>
          </cell>
        </row>
        <row r="73">
          <cell r="A73" t="str">
            <v>Hong Kong SAR</v>
          </cell>
        </row>
        <row r="74">
          <cell r="A74" t="str">
            <v>Hungary</v>
          </cell>
        </row>
        <row r="75">
          <cell r="A75" t="str">
            <v>Iceland</v>
          </cell>
        </row>
        <row r="76">
          <cell r="A76" t="str">
            <v>India</v>
          </cell>
        </row>
        <row r="77">
          <cell r="A77" t="str">
            <v>Indonesia</v>
          </cell>
        </row>
        <row r="78">
          <cell r="A78" t="str">
            <v>Islamic Republic of Iran</v>
          </cell>
        </row>
        <row r="79">
          <cell r="A79" t="str">
            <v>Iraq</v>
          </cell>
        </row>
        <row r="80">
          <cell r="A80" t="str">
            <v>Ireland</v>
          </cell>
        </row>
        <row r="81">
          <cell r="A81" t="str">
            <v>Israel</v>
          </cell>
        </row>
        <row r="82">
          <cell r="A82" t="str">
            <v>Italy</v>
          </cell>
        </row>
        <row r="83">
          <cell r="A83" t="str">
            <v>Jamaica</v>
          </cell>
        </row>
        <row r="84">
          <cell r="A84" t="str">
            <v>Japan</v>
          </cell>
        </row>
        <row r="85">
          <cell r="A85" t="str">
            <v>Jordan</v>
          </cell>
        </row>
        <row r="86">
          <cell r="A86" t="str">
            <v>Kazakhstan</v>
          </cell>
        </row>
        <row r="87">
          <cell r="A87" t="str">
            <v>Kenya</v>
          </cell>
        </row>
        <row r="88">
          <cell r="A88" t="str">
            <v>Kiribati</v>
          </cell>
        </row>
        <row r="89">
          <cell r="A89" t="str">
            <v>Korea</v>
          </cell>
        </row>
        <row r="90">
          <cell r="A90" t="str">
            <v>Kosovo</v>
          </cell>
        </row>
        <row r="91">
          <cell r="A91" t="str">
            <v>Kuwait</v>
          </cell>
        </row>
        <row r="92">
          <cell r="A92" t="str">
            <v>Kyrgyz Republic</v>
          </cell>
        </row>
        <row r="93">
          <cell r="A93" t="str">
            <v>Lao P.D.R.</v>
          </cell>
        </row>
        <row r="94">
          <cell r="A94" t="str">
            <v>Latvia</v>
          </cell>
        </row>
        <row r="95">
          <cell r="A95" t="str">
            <v>Lebanon</v>
          </cell>
        </row>
        <row r="96">
          <cell r="A96" t="str">
            <v>Lesotho</v>
          </cell>
        </row>
        <row r="97">
          <cell r="A97" t="str">
            <v>Liberia</v>
          </cell>
        </row>
        <row r="98">
          <cell r="A98" t="str">
            <v>Libya</v>
          </cell>
        </row>
        <row r="99">
          <cell r="A99" t="str">
            <v>Lithuania</v>
          </cell>
        </row>
        <row r="100">
          <cell r="A100" t="str">
            <v>Luxembourg</v>
          </cell>
        </row>
        <row r="101">
          <cell r="A101" t="str">
            <v>FYR Macedonia</v>
          </cell>
        </row>
        <row r="102">
          <cell r="A102" t="str">
            <v>Madagascar</v>
          </cell>
        </row>
        <row r="103">
          <cell r="A103" t="str">
            <v>Malawi</v>
          </cell>
        </row>
        <row r="104">
          <cell r="A104" t="str">
            <v>Malaysia</v>
          </cell>
        </row>
        <row r="105">
          <cell r="A105" t="str">
            <v>Maldives</v>
          </cell>
        </row>
        <row r="106">
          <cell r="A106" t="str">
            <v>Mali</v>
          </cell>
        </row>
        <row r="107">
          <cell r="A107" t="str">
            <v>Malta</v>
          </cell>
        </row>
        <row r="108">
          <cell r="A108" t="str">
            <v>Marshall Islands</v>
          </cell>
        </row>
        <row r="109">
          <cell r="A109" t="str">
            <v>Mauritania</v>
          </cell>
        </row>
        <row r="110">
          <cell r="A110" t="str">
            <v>Mauritius</v>
          </cell>
        </row>
        <row r="111">
          <cell r="A111" t="str">
            <v>Mexico</v>
          </cell>
        </row>
        <row r="112">
          <cell r="A112" t="str">
            <v>Micronesia</v>
          </cell>
        </row>
        <row r="113">
          <cell r="A113" t="str">
            <v>Moldova</v>
          </cell>
        </row>
        <row r="114">
          <cell r="A114" t="str">
            <v>Mongolia</v>
          </cell>
        </row>
        <row r="115">
          <cell r="A115" t="str">
            <v>Montenegro</v>
          </cell>
        </row>
        <row r="116">
          <cell r="A116" t="str">
            <v>Morocco</v>
          </cell>
        </row>
        <row r="117">
          <cell r="A117" t="str">
            <v>Mozambique</v>
          </cell>
        </row>
        <row r="118">
          <cell r="A118" t="str">
            <v>Myanmar</v>
          </cell>
        </row>
        <row r="119">
          <cell r="A119" t="str">
            <v>Namibia</v>
          </cell>
        </row>
        <row r="120">
          <cell r="A120" t="str">
            <v>Nepal</v>
          </cell>
        </row>
        <row r="121">
          <cell r="A121" t="str">
            <v>Netherlands</v>
          </cell>
        </row>
        <row r="122">
          <cell r="A122" t="str">
            <v>New Zealand</v>
          </cell>
        </row>
        <row r="123">
          <cell r="A123" t="str">
            <v>Nicaragua</v>
          </cell>
        </row>
        <row r="124">
          <cell r="A124" t="str">
            <v>Niger</v>
          </cell>
        </row>
        <row r="125">
          <cell r="A125" t="str">
            <v>Nigeria</v>
          </cell>
        </row>
        <row r="126">
          <cell r="A126" t="str">
            <v>Norway</v>
          </cell>
        </row>
        <row r="127">
          <cell r="A127" t="str">
            <v>Oman</v>
          </cell>
        </row>
        <row r="128">
          <cell r="A128" t="str">
            <v>Pakistan</v>
          </cell>
        </row>
        <row r="129">
          <cell r="A129" t="str">
            <v>Palau</v>
          </cell>
        </row>
        <row r="130">
          <cell r="A130" t="str">
            <v>Panama</v>
          </cell>
        </row>
        <row r="131">
          <cell r="A131" t="str">
            <v>Papua New Guinea</v>
          </cell>
        </row>
        <row r="132">
          <cell r="A132" t="str">
            <v>Paraguay</v>
          </cell>
        </row>
        <row r="133">
          <cell r="A133" t="str">
            <v>Peru</v>
          </cell>
        </row>
        <row r="134">
          <cell r="A134" t="str">
            <v>Philippines</v>
          </cell>
        </row>
        <row r="135">
          <cell r="A135" t="str">
            <v>Poland</v>
          </cell>
        </row>
        <row r="136">
          <cell r="A136" t="str">
            <v>Portugal</v>
          </cell>
        </row>
        <row r="137">
          <cell r="A137" t="str">
            <v>Qatar</v>
          </cell>
        </row>
        <row r="138">
          <cell r="A138" t="str">
            <v>Romania</v>
          </cell>
        </row>
        <row r="139">
          <cell r="A139" t="str">
            <v>Russia</v>
          </cell>
        </row>
        <row r="140">
          <cell r="A140" t="str">
            <v>Rwanda</v>
          </cell>
        </row>
        <row r="141">
          <cell r="A141" t="str">
            <v>Samoa</v>
          </cell>
        </row>
        <row r="142">
          <cell r="A142" t="str">
            <v>San Marino</v>
          </cell>
        </row>
        <row r="143">
          <cell r="A143" t="str">
            <v>São Tomé and Príncipe</v>
          </cell>
        </row>
        <row r="144">
          <cell r="A144" t="str">
            <v>Saudi Arabia</v>
          </cell>
        </row>
        <row r="145">
          <cell r="A145" t="str">
            <v>Senegal</v>
          </cell>
        </row>
        <row r="146">
          <cell r="A146" t="str">
            <v>Serbia</v>
          </cell>
        </row>
        <row r="147">
          <cell r="A147" t="str">
            <v>Seychelles</v>
          </cell>
        </row>
        <row r="148">
          <cell r="A148" t="str">
            <v>Sierra Leone</v>
          </cell>
        </row>
        <row r="149">
          <cell r="A149" t="str">
            <v>Singapore</v>
          </cell>
        </row>
        <row r="150">
          <cell r="A150" t="str">
            <v>Slovak Republic</v>
          </cell>
        </row>
        <row r="151">
          <cell r="A151" t="str">
            <v>Slovenia</v>
          </cell>
        </row>
        <row r="152">
          <cell r="A152" t="str">
            <v>Solomon Islands</v>
          </cell>
        </row>
        <row r="153">
          <cell r="A153" t="str">
            <v>South Africa</v>
          </cell>
        </row>
        <row r="154">
          <cell r="A154" t="str">
            <v>South Sudan</v>
          </cell>
        </row>
        <row r="155">
          <cell r="A155" t="str">
            <v>Spain</v>
          </cell>
        </row>
        <row r="156">
          <cell r="A156" t="str">
            <v>Sri Lanka</v>
          </cell>
        </row>
        <row r="157">
          <cell r="A157" t="str">
            <v>St. Kitts and Nevis</v>
          </cell>
        </row>
        <row r="158">
          <cell r="A158" t="str">
            <v>St. Lucia</v>
          </cell>
        </row>
        <row r="159">
          <cell r="A159" t="str">
            <v>St. Vincent and the Grenadines</v>
          </cell>
        </row>
        <row r="160">
          <cell r="A160" t="str">
            <v>Sudan</v>
          </cell>
        </row>
        <row r="161">
          <cell r="A161" t="str">
            <v>Suriname</v>
          </cell>
        </row>
        <row r="162">
          <cell r="A162" t="str">
            <v>Swaziland</v>
          </cell>
        </row>
        <row r="163">
          <cell r="A163" t="str">
            <v>Sweden</v>
          </cell>
        </row>
        <row r="164">
          <cell r="A164" t="str">
            <v>Switzerland</v>
          </cell>
        </row>
        <row r="165">
          <cell r="A165" t="str">
            <v>Syria</v>
          </cell>
        </row>
        <row r="166">
          <cell r="A166" t="str">
            <v>Taiwan Province of China</v>
          </cell>
        </row>
        <row r="167">
          <cell r="A167" t="str">
            <v>Tajikistan</v>
          </cell>
        </row>
        <row r="168">
          <cell r="A168" t="str">
            <v>Tanzania</v>
          </cell>
        </row>
        <row r="169">
          <cell r="A169" t="str">
            <v>Thailand</v>
          </cell>
        </row>
        <row r="170">
          <cell r="A170" t="str">
            <v>Timor-Leste</v>
          </cell>
        </row>
        <row r="171">
          <cell r="A171" t="str">
            <v>Togo</v>
          </cell>
        </row>
        <row r="172">
          <cell r="A172" t="str">
            <v>Tonga</v>
          </cell>
        </row>
        <row r="173">
          <cell r="A173" t="str">
            <v>Trinidad and Tobago</v>
          </cell>
        </row>
        <row r="174">
          <cell r="A174" t="str">
            <v>Tunisia</v>
          </cell>
        </row>
        <row r="175">
          <cell r="A175" t="str">
            <v>Turkey</v>
          </cell>
        </row>
        <row r="176">
          <cell r="A176" t="str">
            <v>Turkmenistan</v>
          </cell>
        </row>
        <row r="177">
          <cell r="A177" t="str">
            <v>Tuvalu</v>
          </cell>
        </row>
        <row r="178">
          <cell r="A178" t="str">
            <v>Uganda</v>
          </cell>
        </row>
        <row r="179">
          <cell r="A179" t="str">
            <v>Ukraine</v>
          </cell>
        </row>
        <row r="180">
          <cell r="A180" t="str">
            <v>United Arab Emirates</v>
          </cell>
        </row>
        <row r="181">
          <cell r="A181" t="str">
            <v>United Kingdom</v>
          </cell>
        </row>
        <row r="182">
          <cell r="A182" t="str">
            <v>United States</v>
          </cell>
        </row>
        <row r="183">
          <cell r="A183" t="str">
            <v>Uruguay</v>
          </cell>
        </row>
        <row r="184">
          <cell r="A184" t="str">
            <v>Uzbekistan</v>
          </cell>
        </row>
        <row r="185">
          <cell r="A185" t="str">
            <v>Vanuatu</v>
          </cell>
        </row>
        <row r="186">
          <cell r="A186" t="str">
            <v>Venezuela</v>
          </cell>
        </row>
        <row r="187">
          <cell r="A187" t="str">
            <v>Vietnam</v>
          </cell>
        </row>
        <row r="188">
          <cell r="A188" t="str">
            <v>Yemen</v>
          </cell>
        </row>
        <row r="189">
          <cell r="A189" t="str">
            <v>Zambia</v>
          </cell>
        </row>
        <row r="190">
          <cell r="A190" t="str">
            <v>Zimbabwe</v>
          </cell>
        </row>
      </sheetData>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3" Type="http://schemas.openxmlformats.org/officeDocument/2006/relationships/vmlDrawing" Target="../drawings/vmlDrawing4.vml"/><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6.xml"/><Relationship Id="rId13" Type="http://schemas.openxmlformats.org/officeDocument/2006/relationships/ctrlProp" Target="../ctrlProps/ctrlProp41.xml"/><Relationship Id="rId3" Type="http://schemas.openxmlformats.org/officeDocument/2006/relationships/vmlDrawing" Target="../drawings/vmlDrawing5.vml"/><Relationship Id="rId7" Type="http://schemas.openxmlformats.org/officeDocument/2006/relationships/ctrlProp" Target="../ctrlProps/ctrlProp35.xml"/><Relationship Id="rId12" Type="http://schemas.openxmlformats.org/officeDocument/2006/relationships/ctrlProp" Target="../ctrlProps/ctrlProp4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4.xml"/><Relationship Id="rId11" Type="http://schemas.openxmlformats.org/officeDocument/2006/relationships/ctrlProp" Target="../ctrlProps/ctrlProp39.xml"/><Relationship Id="rId5" Type="http://schemas.openxmlformats.org/officeDocument/2006/relationships/ctrlProp" Target="../ctrlProps/ctrlProp33.xml"/><Relationship Id="rId10" Type="http://schemas.openxmlformats.org/officeDocument/2006/relationships/ctrlProp" Target="../ctrlProps/ctrlProp38.xml"/><Relationship Id="rId4" Type="http://schemas.openxmlformats.org/officeDocument/2006/relationships/ctrlProp" Target="../ctrlProps/ctrlProp32.xml"/><Relationship Id="rId9" Type="http://schemas.openxmlformats.org/officeDocument/2006/relationships/ctrlProp" Target="../ctrlProps/ctrlProp37.xml"/><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hyperlink" Target="http://stats.oecd.org/" TargetMode="External"/><Relationship Id="rId2" Type="http://schemas.openxmlformats.org/officeDocument/2006/relationships/hyperlink" Target="http://stats.oecd.org/OECDStat_Metadata/ShowMetadata.ashx?Dataset=RIOMARKERS&amp;Coords=%5bTIME%5d.%5b2014%5d&amp;ShowOnWeb=true&amp;Lang=en" TargetMode="External"/><Relationship Id="rId1" Type="http://schemas.openxmlformats.org/officeDocument/2006/relationships/hyperlink" Target="http://stats.oecd.org/OECDStat_Metadata/ShowMetadata.ashx?Dataset=RIOMARKERS&amp;ShowOnWeb=true&amp;Lang=e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S153"/>
  <sheetViews>
    <sheetView topLeftCell="A64" workbookViewId="0">
      <selection activeCell="D70" sqref="D70"/>
    </sheetView>
  </sheetViews>
  <sheetFormatPr defaultColWidth="8.7109375" defaultRowHeight="15" x14ac:dyDescent="0.25"/>
  <cols>
    <col min="1" max="1" width="35.7109375" style="2" customWidth="1"/>
    <col min="2" max="2" width="12.85546875" style="2" customWidth="1"/>
    <col min="3" max="6" width="16.5703125" style="2" customWidth="1"/>
    <col min="7" max="7" width="14.140625" style="2" customWidth="1"/>
    <col min="8" max="8" width="11.85546875" customWidth="1"/>
    <col min="9" max="12" width="19.140625" style="2" customWidth="1"/>
    <col min="13" max="16384" width="8.7109375" style="2"/>
  </cols>
  <sheetData>
    <row r="1" spans="1:19" ht="18.95" thickBot="1" x14ac:dyDescent="0.5">
      <c r="A1" s="99" t="s">
        <v>42</v>
      </c>
      <c r="B1" s="100"/>
      <c r="E1" s="101" t="s">
        <v>44</v>
      </c>
      <c r="F1" s="102"/>
      <c r="H1" s="103" t="s">
        <v>924</v>
      </c>
      <c r="I1" s="104"/>
      <c r="J1" s="104"/>
      <c r="K1" s="104"/>
      <c r="L1" s="105"/>
      <c r="O1" s="2">
        <v>4</v>
      </c>
      <c r="P1" t="s">
        <v>286</v>
      </c>
      <c r="Q1" t="s">
        <v>289</v>
      </c>
      <c r="R1" s="2" t="s">
        <v>920</v>
      </c>
      <c r="S1" s="2">
        <v>2</v>
      </c>
    </row>
    <row r="2" spans="1:19" ht="14.45" x14ac:dyDescent="0.35">
      <c r="A2" s="7" t="s">
        <v>0</v>
      </c>
      <c r="R2" s="2" t="s">
        <v>922</v>
      </c>
      <c r="S2" s="2">
        <v>3</v>
      </c>
    </row>
    <row r="3" spans="1:19" ht="14.45" x14ac:dyDescent="0.35">
      <c r="A3" s="53" t="s">
        <v>927</v>
      </c>
      <c r="H3" s="47" t="s">
        <v>925</v>
      </c>
      <c r="I3" s="48"/>
      <c r="J3" s="48"/>
      <c r="R3" s="2" t="s">
        <v>921</v>
      </c>
      <c r="S3" s="2">
        <v>4</v>
      </c>
    </row>
    <row r="4" spans="1:19" ht="12.95" x14ac:dyDescent="0.3">
      <c r="A4" s="46" t="s">
        <v>920</v>
      </c>
      <c r="H4" s="2"/>
    </row>
    <row r="5" spans="1:19" ht="12.95" x14ac:dyDescent="0.3">
      <c r="B5" s="13" t="s">
        <v>1</v>
      </c>
      <c r="C5" s="13" t="s">
        <v>2</v>
      </c>
      <c r="D5" s="13" t="s">
        <v>3</v>
      </c>
      <c r="E5" s="13" t="s">
        <v>4</v>
      </c>
      <c r="F5" s="13" t="s">
        <v>5</v>
      </c>
      <c r="H5" s="13" t="s">
        <v>1</v>
      </c>
      <c r="I5" s="13" t="s">
        <v>2</v>
      </c>
      <c r="J5" s="13" t="s">
        <v>3</v>
      </c>
      <c r="K5" s="13" t="s">
        <v>4</v>
      </c>
      <c r="L5" s="13" t="s">
        <v>5</v>
      </c>
    </row>
    <row r="6" spans="1:19" ht="14.45" x14ac:dyDescent="0.35">
      <c r="B6" s="14">
        <v>2006</v>
      </c>
      <c r="C6" s="56"/>
      <c r="D6" s="56"/>
      <c r="E6" s="19"/>
      <c r="F6" s="49">
        <f>SUM(C6:E6)</f>
        <v>0</v>
      </c>
      <c r="H6" s="14">
        <v>2006</v>
      </c>
      <c r="I6" s="58" t="e">
        <f>IF($A$4=$R$1,IF($A$3="United States Dollar (USD)",C6,(C6*(SUMIFS(IMF!AJ:AJ,IMF!$D:$D,$E$1,IMF!$C:$C,$Q$1)/SUMIFS(IMF!AJ:AJ,IMF!$D:$D,$E$1,IMF!$C:$C,$P$1))))/1000,IF($A$4=$R$3,IF($A$3="United States Dollar (USD)",C6,(C6*(SUMIFS(IMF!AJ:AJ,IMF!$D:$D,$E$1,IMF!$C:$C,$Q$1)/SUMIFS(IMF!AJ:AJ,IMF!$D:$D,$E$1,IMF!$C:$C,$P$1))))*1000,IF($A$3="United States Dollar (USD)",C6,(C6*(SUMIFS(IMF!AJ:AJ,IMF!$D:$D,$E$1,IMF!$C:$C,$Q$1)/SUMIFS(IMF!AJ:AJ,IMF!$D:$D,$E$1,IMF!$C:$C,$P$1))))))</f>
        <v>#DIV/0!</v>
      </c>
      <c r="J6" s="58" t="e">
        <f>IF($A$4=$R$1,IF($A$3="United States Dollar (USD)",D6,(D6*(SUMIFS(IMF!AJ:AJ,IMF!$D:$D,$E$1,IMF!$C:$C,$Q$1)/SUMIFS(IMF!AJ:AJ,IMF!$D:$D,$E$1,IMF!$C:$C,$P$1))))/1000,IF($A$4=$R$3,IF($A$3="United States Dollar (USD)",D6,(D6*(SUMIFS(IMF!AJ:AJ,IMF!$D:$D,$E$1,IMF!$C:$C,$Q$1)/SUMIFS(IMF!AJ:AJ,IMF!$D:$D,$E$1,IMF!$C:$C,$P$1))))*1000,IF($A$3="United States Dollar (USD)",D6,(D6*(SUMIFS(IMF!AJ:AJ,IMF!$D:$D,$E$1,IMF!$C:$C,$Q$1)/SUMIFS(IMF!AJ:AJ,IMF!$D:$D,$E$1,IMF!$C:$C,$P$1))))))</f>
        <v>#DIV/0!</v>
      </c>
      <c r="K6" s="58" t="e">
        <f>IF($A$4=$R$1,IF($A$3="United States Dollar (USD)",E6,(E6*(SUMIFS(IMF!AJ:AJ,IMF!$D:$D,$E$1,IMF!$C:$C,$Q$1)/SUMIFS(IMF!AJ:AJ,IMF!$D:$D,$E$1,IMF!$C:$C,$P$1))))/1000,IF($A$4=$R$3,IF($A$3="United States Dollar (USD)",E6,(E6*(SUMIFS(IMF!AJ:AJ,IMF!$D:$D,$E$1,IMF!$C:$C,$Q$1)/SUMIFS(IMF!AJ:AJ,IMF!$D:$D,$E$1,IMF!$C:$C,$P$1))))*1000,IF($A$3="United States Dollar (USD)",E6,(E6*(SUMIFS(IMF!AJ:AJ,IMF!$D:$D,$E$1,IMF!$C:$C,$Q$1)/SUMIFS(IMF!AJ:AJ,IMF!$D:$D,$E$1,IMF!$C:$C,$P$1))))))</f>
        <v>#DIV/0!</v>
      </c>
      <c r="L6" s="59" t="e">
        <f>SUM(I6:K6)</f>
        <v>#DIV/0!</v>
      </c>
    </row>
    <row r="7" spans="1:19" ht="14.45" x14ac:dyDescent="0.35">
      <c r="B7" s="14">
        <v>2007</v>
      </c>
      <c r="C7" s="56"/>
      <c r="D7" s="56"/>
      <c r="E7" s="19"/>
      <c r="F7" s="49">
        <f>SUM(C7:E7)</f>
        <v>0</v>
      </c>
      <c r="H7" s="14">
        <v>2007</v>
      </c>
      <c r="I7" s="58" t="e">
        <f>IF($A$4=$R$1,IF($A$3="United States Dollar (USD)",C7,(C7*(SUMIFS(IMF!AK:AK,IMF!$D:$D,$E$1,IMF!$C:$C,$Q$1)/SUMIFS(IMF!AK:AK,IMF!$D:$D,$E$1,IMF!$C:$C,$P$1))))/1000,IF($A$4=$R$3,IF($A$3="United States Dollar (USD)",C7,(C7*(SUMIFS(IMF!AK:AK,IMF!$D:$D,$E$1,IMF!$C:$C,$Q$1)/SUMIFS(IMF!AK:AK,IMF!$D:$D,$E$1,IMF!$C:$C,$P$1))))*1000,IF($A$3="United States Dollar (USD)",C7,(C7*(SUMIFS(IMF!AK:AK,IMF!$D:$D,$E$1,IMF!$C:$C,$Q$1)/SUMIFS(IMF!AK:AK,IMF!$D:$D,$E$1,IMF!$C:$C,$P$1))))))</f>
        <v>#DIV/0!</v>
      </c>
      <c r="J7" s="58" t="e">
        <f>IF($A$4=$R$1,IF($A$3="United States Dollar (USD)",D7,(D7*(SUMIFS(IMF!AK:AK,IMF!$D:$D,$E$1,IMF!$C:$C,$Q$1)/SUMIFS(IMF!AK:AK,IMF!$D:$D,$E$1,IMF!$C:$C,$P$1))))/1000,IF($A$4=$R$3,IF($A$3="United States Dollar (USD)",D7,(D7*(SUMIFS(IMF!AK:AK,IMF!$D:$D,$E$1,IMF!$C:$C,$Q$1)/SUMIFS(IMF!AK:AK,IMF!$D:$D,$E$1,IMF!$C:$C,$P$1))))*1000,IF($A$3="United States Dollar (USD)",D7,(D7*(SUMIFS(IMF!AK:AK,IMF!$D:$D,$E$1,IMF!$C:$C,$Q$1)/SUMIFS(IMF!AK:AK,IMF!$D:$D,$E$1,IMF!$C:$C,$P$1))))))</f>
        <v>#DIV/0!</v>
      </c>
      <c r="K7" s="58" t="e">
        <f>IF($A$4=$R$1,IF($A$3="United States Dollar (USD)",E7,(E7*(SUMIFS(IMF!AK:AK,IMF!$D:$D,$E$1,IMF!$C:$C,$Q$1)/SUMIFS(IMF!AK:AK,IMF!$D:$D,$E$1,IMF!$C:$C,$P$1))))/1000,IF($A$4=$R$3,IF($A$3="United States Dollar (USD)",E7,(E7*(SUMIFS(IMF!AK:AK,IMF!$D:$D,$E$1,IMF!$C:$C,$Q$1)/SUMIFS(IMF!AK:AK,IMF!$D:$D,$E$1,IMF!$C:$C,$P$1))))*1000,IF($A$3="United States Dollar (USD)",E7,(E7*(SUMIFS(IMF!AK:AK,IMF!$D:$D,$E$1,IMF!$C:$C,$Q$1)/SUMIFS(IMF!AK:AK,IMF!$D:$D,$E$1,IMF!$C:$C,$P$1))))))</f>
        <v>#DIV/0!</v>
      </c>
      <c r="L7" s="59" t="e">
        <f>SUM(I7:K7)</f>
        <v>#DIV/0!</v>
      </c>
    </row>
    <row r="8" spans="1:19" ht="14.45" x14ac:dyDescent="0.35">
      <c r="B8" s="14">
        <v>2008</v>
      </c>
      <c r="C8" s="56"/>
      <c r="D8" s="56"/>
      <c r="E8" s="19"/>
      <c r="F8" s="49">
        <f>SUM(C8:E8)</f>
        <v>0</v>
      </c>
      <c r="G8" s="4"/>
      <c r="H8" s="14">
        <v>2008</v>
      </c>
      <c r="I8" s="58" t="e">
        <f>IF($A$4=$R$1,IF($A$3="United States Dollar (USD)",C8,(C8*(SUMIFS(IMF!AL:AL,IMF!$D:$D,$E$1,IMF!$C:$C,$Q$1)/SUMIFS(IMF!AL:AL,IMF!$D:$D,$E$1,IMF!$C:$C,$P$1))))/1000,IF($A$4=$R$3,IF($A$3="United States Dollar (USD)",C8,(C8*(SUMIFS(IMF!AL:AL,IMF!$D:$D,$E$1,IMF!$C:$C,$Q$1)/SUMIFS(IMF!AL:AL,IMF!$D:$D,$E$1,IMF!$C:$C,$P$1))))*1000,IF($A$3="United States Dollar (USD)",C8,(C8*(SUMIFS(IMF!AL:AL,IMF!$D:$D,$E$1,IMF!$C:$C,$Q$1)/SUMIFS(IMF!AL:AL,IMF!$D:$D,$E$1,IMF!$C:$C,$P$1))))))</f>
        <v>#DIV/0!</v>
      </c>
      <c r="J8" s="58" t="e">
        <f>IF($A$4=$R$1,IF($A$3="United States Dollar (USD)",D8,(D8*(SUMIFS(IMF!AL:AL,IMF!$D:$D,$E$1,IMF!$C:$C,$Q$1)/SUMIFS(IMF!AL:AL,IMF!$D:$D,$E$1,IMF!$C:$C,$P$1))))/1000,IF($A$4=$R$3,IF($A$3="United States Dollar (USD)",D8,(D8*(SUMIFS(IMF!AL:AL,IMF!$D:$D,$E$1,IMF!$C:$C,$Q$1)/SUMIFS(IMF!AL:AL,IMF!$D:$D,$E$1,IMF!$C:$C,$P$1))))*1000,IF($A$3="United States Dollar (USD)",D8,(D8*(SUMIFS(IMF!AL:AL,IMF!$D:$D,$E$1,IMF!$C:$C,$Q$1)/SUMIFS(IMF!AL:AL,IMF!$D:$D,$E$1,IMF!$C:$C,$P$1))))))</f>
        <v>#DIV/0!</v>
      </c>
      <c r="K8" s="58" t="e">
        <f>IF($A$4=$R$1,IF($A$3="United States Dollar (USD)",E8,(E8*(SUMIFS(IMF!AL:AL,IMF!$D:$D,$E$1,IMF!$C:$C,$Q$1)/SUMIFS(IMF!AL:AL,IMF!$D:$D,$E$1,IMF!$C:$C,$P$1))))/1000,IF($A$4=$R$3,IF($A$3="United States Dollar (USD)",E8,(E8*(SUMIFS(IMF!AL:AL,IMF!$D:$D,$E$1,IMF!$C:$C,$Q$1)/SUMIFS(IMF!AL:AL,IMF!$D:$D,$E$1,IMF!$C:$C,$P$1))))*1000,IF($A$3="United States Dollar (USD)",E8,(E8*(SUMIFS(IMF!AL:AL,IMF!$D:$D,$E$1,IMF!$C:$C,$Q$1)/SUMIFS(IMF!AL:AL,IMF!$D:$D,$E$1,IMF!$C:$C,$P$1))))))</f>
        <v>#DIV/0!</v>
      </c>
      <c r="L8" s="59" t="e">
        <f>SUM(I8:K8)</f>
        <v>#DIV/0!</v>
      </c>
    </row>
    <row r="9" spans="1:19" ht="14.45" x14ac:dyDescent="0.35">
      <c r="B9" s="14">
        <v>2009</v>
      </c>
      <c r="C9" s="56"/>
      <c r="D9" s="56"/>
      <c r="E9" s="19"/>
      <c r="F9" s="49">
        <f>SUM(C9:E9)</f>
        <v>0</v>
      </c>
      <c r="G9" s="5"/>
      <c r="H9" s="14">
        <v>2009</v>
      </c>
      <c r="I9" s="58" t="e">
        <f>IF($A$4=$R$1,IF($A$3="United States Dollar (USD)",C9,(C9*(SUMIFS(IMF!AM:AM,IMF!$D:$D,$E$1,IMF!$C:$C,$Q$1)/SUMIFS(IMF!AM:AM,IMF!$D:$D,$E$1,IMF!$C:$C,$P$1))))/1000,IF($A$4=$R$3,IF($A$3="United States Dollar (USD)",C9,(C9*(SUMIFS(IMF!AM:AM,IMF!$D:$D,$E$1,IMF!$C:$C,$Q$1)/SUMIFS(IMF!AM:AM,IMF!$D:$D,$E$1,IMF!$C:$C,$P$1))))*1000,IF($A$3="United States Dollar (USD)",C9,(C9*(SUMIFS(IMF!AM:AM,IMF!$D:$D,$E$1,IMF!$C:$C,$Q$1)/SUMIFS(IMF!AM:AM,IMF!$D:$D,$E$1,IMF!$C:$C,$P$1))))))</f>
        <v>#DIV/0!</v>
      </c>
      <c r="J9" s="58" t="e">
        <f>IF($A$4=$R$1,IF($A$3="United States Dollar (USD)",D9,(D9*(SUMIFS(IMF!AM:AM,IMF!$D:$D,$E$1,IMF!$C:$C,$Q$1)/SUMIFS(IMF!AM:AM,IMF!$D:$D,$E$1,IMF!$C:$C,$P$1))))/1000,IF($A$4=$R$3,IF($A$3="United States Dollar (USD)",D9,(D9*(SUMIFS(IMF!AM:AM,IMF!$D:$D,$E$1,IMF!$C:$C,$Q$1)/SUMIFS(IMF!AM:AM,IMF!$D:$D,$E$1,IMF!$C:$C,$P$1))))*1000,IF($A$3="United States Dollar (USD)",D9,(D9*(SUMIFS(IMF!AM:AM,IMF!$D:$D,$E$1,IMF!$C:$C,$Q$1)/SUMIFS(IMF!AM:AM,IMF!$D:$D,$E$1,IMF!$C:$C,$P$1))))))</f>
        <v>#DIV/0!</v>
      </c>
      <c r="K9" s="58" t="e">
        <f>IF($A$4=$R$1,IF($A$3="United States Dollar (USD)",E9,(E9*(SUMIFS(IMF!AM:AM,IMF!$D:$D,$E$1,IMF!$C:$C,$Q$1)/SUMIFS(IMF!AM:AM,IMF!$D:$D,$E$1,IMF!$C:$C,$P$1))))/1000,IF($A$4=$R$3,IF($A$3="United States Dollar (USD)",E9,(E9*(SUMIFS(IMF!AM:AM,IMF!$D:$D,$E$1,IMF!$C:$C,$Q$1)/SUMIFS(IMF!AM:AM,IMF!$D:$D,$E$1,IMF!$C:$C,$P$1))))*1000,IF($A$3="United States Dollar (USD)",E9,(E9*(SUMIFS(IMF!AM:AM,IMF!$D:$D,$E$1,IMF!$C:$C,$Q$1)/SUMIFS(IMF!AM:AM,IMF!$D:$D,$E$1,IMF!$C:$C,$P$1))))))</f>
        <v>#DIV/0!</v>
      </c>
      <c r="L9" s="59" t="e">
        <f>SUM(I9:K9)</f>
        <v>#DIV/0!</v>
      </c>
    </row>
    <row r="10" spans="1:19" ht="14.45" x14ac:dyDescent="0.35">
      <c r="B10" s="14">
        <v>2010</v>
      </c>
      <c r="C10" s="56"/>
      <c r="D10" s="56"/>
      <c r="E10" s="19"/>
      <c r="F10" s="49">
        <f>SUM(C10:E10)</f>
        <v>0</v>
      </c>
      <c r="H10" s="14">
        <v>2010</v>
      </c>
      <c r="I10" s="58" t="e">
        <f>IF($A$4=$R$1,IF($A$3="United States Dollar (USD)",C10,(C10*(SUMIFS(IMF!AN:AN,IMF!$D:$D,$E$1,IMF!$C:$C,$Q$1)/SUMIFS(IMF!AN:AN,IMF!$D:$D,$E$1,IMF!$C:$C,$P$1))))/1000,IF($A$4=$R$3,IF($A$3="United States Dollar (USD)",C10,(C10*(SUMIFS(IMF!AN:AN,IMF!$D:$D,$E$1,IMF!$C:$C,$Q$1)/SUMIFS(IMF!AN:AN,IMF!$D:$D,$E$1,IMF!$C:$C,$P$1))))*1000,IF($A$3="United States Dollar (USD)",C10,(C10*(SUMIFS(IMF!AN:AN,IMF!$D:$D,$E$1,IMF!$C:$C,$Q$1)/SUMIFS(IMF!AN:AN,IMF!$D:$D,$E$1,IMF!$C:$C,$P$1))))))</f>
        <v>#DIV/0!</v>
      </c>
      <c r="J10" s="58" t="e">
        <f>IF($A$4=$R$1,IF($A$3="United States Dollar (USD)",D10,(D10*(SUMIFS(IMF!AN:AN,IMF!$D:$D,$E$1,IMF!$C:$C,$Q$1)/SUMIFS(IMF!AN:AN,IMF!$D:$D,$E$1,IMF!$C:$C,$P$1))))/1000,IF($A$4=$R$3,IF($A$3="United States Dollar (USD)",D10,(D10*(SUMIFS(IMF!AN:AN,IMF!$D:$D,$E$1,IMF!$C:$C,$Q$1)/SUMIFS(IMF!AN:AN,IMF!$D:$D,$E$1,IMF!$C:$C,$P$1))))*1000,IF($A$3="United States Dollar (USD)",D10,(D10*(SUMIFS(IMF!AN:AN,IMF!$D:$D,$E$1,IMF!$C:$C,$Q$1)/SUMIFS(IMF!AN:AN,IMF!$D:$D,$E$1,IMF!$C:$C,$P$1))))))</f>
        <v>#DIV/0!</v>
      </c>
      <c r="K10" s="58" t="e">
        <f>IF($A$4=$R$1,IF($A$3="United States Dollar (USD)",E10,(E10*(SUMIFS(IMF!AN:AN,IMF!$D:$D,$E$1,IMF!$C:$C,$Q$1)/SUMIFS(IMF!AN:AN,IMF!$D:$D,$E$1,IMF!$C:$C,$P$1))))/1000,IF($A$4=$R$3,IF($A$3="United States Dollar (USD)",E10,(E10*(SUMIFS(IMF!AN:AN,IMF!$D:$D,$E$1,IMF!$C:$C,$Q$1)/SUMIFS(IMF!AN:AN,IMF!$D:$D,$E$1,IMF!$C:$C,$P$1))))*1000,IF($A$3="United States Dollar (USD)",E10,(E10*(SUMIFS(IMF!AN:AN,IMF!$D:$D,$E$1,IMF!$C:$C,$Q$1)/SUMIFS(IMF!AN:AN,IMF!$D:$D,$E$1,IMF!$C:$C,$P$1))))))</f>
        <v>#DIV/0!</v>
      </c>
      <c r="L10" s="59" t="e">
        <f>SUM(I10:K10)</f>
        <v>#DIV/0!</v>
      </c>
    </row>
    <row r="11" spans="1:19" ht="26.1" x14ac:dyDescent="0.3">
      <c r="B11" s="15" t="s">
        <v>6</v>
      </c>
      <c r="C11" s="49" t="e">
        <f>AVERAGE(C6:C10)</f>
        <v>#DIV/0!</v>
      </c>
      <c r="D11" s="49" t="e">
        <f>AVERAGE(D6:D10)</f>
        <v>#DIV/0!</v>
      </c>
      <c r="E11" s="49" t="e">
        <f>AVERAGE(E6:E10)</f>
        <v>#DIV/0!</v>
      </c>
      <c r="F11" s="49">
        <f>AVERAGE(F6:F10)</f>
        <v>0</v>
      </c>
      <c r="H11" s="15" t="s">
        <v>6</v>
      </c>
      <c r="I11" s="59" t="e">
        <f>AVERAGE(I6:I10)</f>
        <v>#DIV/0!</v>
      </c>
      <c r="J11" s="59" t="e">
        <f>AVERAGE(J6:J10)</f>
        <v>#DIV/0!</v>
      </c>
      <c r="K11" s="59" t="e">
        <f>AVERAGE(K6:K10)</f>
        <v>#DIV/0!</v>
      </c>
      <c r="L11" s="59" t="e">
        <f>AVERAGE(L6:L10)</f>
        <v>#DIV/0!</v>
      </c>
    </row>
    <row r="12" spans="1:19" ht="14.45" x14ac:dyDescent="0.35">
      <c r="A12" s="3" t="s">
        <v>8</v>
      </c>
    </row>
    <row r="13" spans="1:19" thickBot="1" x14ac:dyDescent="0.4">
      <c r="A13" s="7" t="s">
        <v>9</v>
      </c>
    </row>
    <row r="14" spans="1:19" thickBot="1" x14ac:dyDescent="0.4">
      <c r="A14" s="6" t="s">
        <v>10</v>
      </c>
    </row>
    <row r="15" spans="1:19" thickBot="1" x14ac:dyDescent="0.4">
      <c r="A15" s="6" t="s">
        <v>11</v>
      </c>
    </row>
    <row r="16" spans="1:19" ht="14.45" x14ac:dyDescent="0.35">
      <c r="A16" s="7" t="s">
        <v>12</v>
      </c>
    </row>
    <row r="17" spans="1:1" ht="14.45" x14ac:dyDescent="0.35">
      <c r="A17" s="3" t="s">
        <v>236</v>
      </c>
    </row>
    <row r="18" spans="1:1" ht="14.45" x14ac:dyDescent="0.35">
      <c r="A18" s="3" t="s">
        <v>237</v>
      </c>
    </row>
    <row r="19" spans="1:1" thickBot="1" x14ac:dyDescent="0.4">
      <c r="A19" s="7" t="s">
        <v>12</v>
      </c>
    </row>
    <row r="20" spans="1:1" thickBot="1" x14ac:dyDescent="0.4">
      <c r="A20" s="6" t="s">
        <v>13</v>
      </c>
    </row>
    <row r="21" spans="1:1" thickBot="1" x14ac:dyDescent="0.4">
      <c r="A21" s="6" t="s">
        <v>14</v>
      </c>
    </row>
    <row r="22" spans="1:1" thickBot="1" x14ac:dyDescent="0.4">
      <c r="A22" s="7" t="s">
        <v>15</v>
      </c>
    </row>
    <row r="23" spans="1:1" thickBot="1" x14ac:dyDescent="0.4">
      <c r="A23" s="6" t="s">
        <v>13</v>
      </c>
    </row>
    <row r="24" spans="1:1" thickBot="1" x14ac:dyDescent="0.4">
      <c r="A24" s="6" t="s">
        <v>14</v>
      </c>
    </row>
    <row r="25" spans="1:1" ht="14.45" x14ac:dyDescent="0.35">
      <c r="A25" s="7" t="s">
        <v>16</v>
      </c>
    </row>
    <row r="26" spans="1:1" ht="14.45" x14ac:dyDescent="0.35">
      <c r="A26" s="3" t="s">
        <v>17</v>
      </c>
    </row>
    <row r="27" spans="1:1" thickBot="1" x14ac:dyDescent="0.4">
      <c r="A27" s="7" t="s">
        <v>18</v>
      </c>
    </row>
    <row r="28" spans="1:1" thickBot="1" x14ac:dyDescent="0.4">
      <c r="A28" s="43"/>
    </row>
    <row r="29" spans="1:1" ht="14.45" x14ac:dyDescent="0.35">
      <c r="A29" s="7" t="s">
        <v>19</v>
      </c>
    </row>
    <row r="30" spans="1:1" ht="14.45" x14ac:dyDescent="0.35">
      <c r="A30" s="7" t="s">
        <v>238</v>
      </c>
    </row>
    <row r="31" spans="1:1" ht="14.45" x14ac:dyDescent="0.35">
      <c r="A31" s="2" t="s">
        <v>239</v>
      </c>
    </row>
    <row r="32" spans="1:1" ht="14.45" x14ac:dyDescent="0.35">
      <c r="A32" s="2" t="s">
        <v>32</v>
      </c>
    </row>
    <row r="33" spans="1:12" ht="14.45" x14ac:dyDescent="0.35">
      <c r="A33" s="2" t="s">
        <v>240</v>
      </c>
    </row>
    <row r="34" spans="1:12" ht="14.45" x14ac:dyDescent="0.35">
      <c r="A34" s="7" t="s">
        <v>241</v>
      </c>
    </row>
    <row r="35" spans="1:12" ht="14.45" x14ac:dyDescent="0.35">
      <c r="A35" s="2" t="s">
        <v>239</v>
      </c>
    </row>
    <row r="36" spans="1:12" ht="14.45" x14ac:dyDescent="0.35">
      <c r="A36" s="2" t="s">
        <v>32</v>
      </c>
    </row>
    <row r="37" spans="1:12" ht="14.45" x14ac:dyDescent="0.35">
      <c r="A37" s="2" t="s">
        <v>240</v>
      </c>
    </row>
    <row r="38" spans="1:12" ht="14.45" x14ac:dyDescent="0.35">
      <c r="A38" s="7" t="s">
        <v>242</v>
      </c>
    </row>
    <row r="39" spans="1:12" ht="14.45" x14ac:dyDescent="0.35">
      <c r="A39" s="2" t="s">
        <v>239</v>
      </c>
    </row>
    <row r="40" spans="1:12" ht="14.45" x14ac:dyDescent="0.35">
      <c r="A40" s="2" t="s">
        <v>32</v>
      </c>
    </row>
    <row r="41" spans="1:12" ht="14.45" x14ac:dyDescent="0.35">
      <c r="A41" s="2" t="s">
        <v>240</v>
      </c>
    </row>
    <row r="42" spans="1:12" ht="14.45" x14ac:dyDescent="0.35">
      <c r="A42" s="7" t="s">
        <v>20</v>
      </c>
    </row>
    <row r="43" spans="1:12" ht="12.95" x14ac:dyDescent="0.3">
      <c r="B43" s="13" t="s">
        <v>1</v>
      </c>
      <c r="C43" s="13" t="s">
        <v>2</v>
      </c>
      <c r="D43" s="13" t="s">
        <v>3</v>
      </c>
      <c r="E43" s="13" t="s">
        <v>4</v>
      </c>
      <c r="F43" s="13" t="s">
        <v>5</v>
      </c>
      <c r="H43" s="13" t="s">
        <v>1</v>
      </c>
      <c r="I43" s="13" t="s">
        <v>2</v>
      </c>
      <c r="J43" s="13" t="s">
        <v>3</v>
      </c>
      <c r="K43" s="13" t="s">
        <v>4</v>
      </c>
      <c r="L43" s="13" t="s">
        <v>5</v>
      </c>
    </row>
    <row r="44" spans="1:12" ht="14.45" x14ac:dyDescent="0.35">
      <c r="B44" s="14">
        <v>2011</v>
      </c>
      <c r="C44" s="50"/>
      <c r="D44" s="50"/>
      <c r="E44" s="50"/>
      <c r="F44" s="50">
        <f>SUM(C44:E44)</f>
        <v>0</v>
      </c>
      <c r="H44" s="14">
        <v>2011</v>
      </c>
      <c r="I44" s="58" t="e">
        <f>IF($A$4=$R$1,IF($A$3="United States Dollar (USD)",C44,(C44*(SUMIFS(IMF!AO:AO,IMF!$D:$D,$E$1,IMF!$C:$C,$Q$1)/SUMIFS(IMF!AO:AO,IMF!$D:$D,$E$1,IMF!$C:$C,$P$1))))/1000,IF($A$4=$R$3,IF($A$3="United States Dollar (USD)",C44,(C44*(SUMIFS(IMF!AO:AO,IMF!$D:$D,$E$1,IMF!$C:$C,$Q$1)/SUMIFS(IMF!AO:AO,IMF!$D:$D,$E$1,IMF!$C:$C,$P$1))))*1000,IF($A$3="United States Dollar (USD)",C44,(C44*(SUMIFS(IMF!AO:AO,IMF!$D:$D,$E$1,IMF!$C:$C,$Q$1)/SUMIFS(IMF!AO:AO,IMF!$D:$D,$E$1,IMF!$C:$C,$P$1))))))</f>
        <v>#DIV/0!</v>
      </c>
      <c r="J44" s="58" t="e">
        <f>IF($A$4=$R$1,IF($A$3="United States Dollar (USD)",D44,(D44*(SUMIFS(IMF!AO:AO,IMF!$D:$D,$E$1,IMF!$C:$C,$Q$1)/SUMIFS(IMF!AO:AO,IMF!$D:$D,$E$1,IMF!$C:$C,$P$1))))/1000,IF($A$4=$R$3,IF($A$3="United States Dollar (USD)",D44,(D44*(SUMIFS(IMF!AO:AO,IMF!$D:$D,$E$1,IMF!$C:$C,$Q$1)/SUMIFS(IMF!AO:AO,IMF!$D:$D,$E$1,IMF!$C:$C,$P$1))))*1000,IF($A$3="United States Dollar (USD)",D44,(D44*(SUMIFS(IMF!AO:AO,IMF!$D:$D,$E$1,IMF!$C:$C,$Q$1)/SUMIFS(IMF!AO:AO,IMF!$D:$D,$E$1,IMF!$C:$C,$P$1))))))</f>
        <v>#DIV/0!</v>
      </c>
      <c r="K44" s="58" t="e">
        <f>IF($A$4=$R$1,IF($A$3="United States Dollar (USD)",E44,(E44*(SUMIFS(IMF!AO:AO,IMF!$D:$D,$E$1,IMF!$C:$C,$Q$1)/SUMIFS(IMF!AO:AO,IMF!$D:$D,$E$1,IMF!$C:$C,$P$1))))/1000,IF($A$4=$R$3,IF($A$3="United States Dollar (USD)",E44,(E44*(SUMIFS(IMF!AO:AO,IMF!$D:$D,$E$1,IMF!$C:$C,$Q$1)/SUMIFS(IMF!AO:AO,IMF!$D:$D,$E$1,IMF!$C:$C,$P$1))))*1000,IF($A$3="United States Dollar (USD)",E44,(E44*(SUMIFS(IMF!AO:AO,IMF!$D:$D,$E$1,IMF!$C:$C,$Q$1)/SUMIFS(IMF!AO:AO,IMF!$D:$D,$E$1,IMF!$C:$C,$P$1))))))</f>
        <v>#DIV/0!</v>
      </c>
      <c r="L44" s="59" t="e">
        <f>SUM(I44:K44)</f>
        <v>#DIV/0!</v>
      </c>
    </row>
    <row r="45" spans="1:12" ht="14.45" x14ac:dyDescent="0.35">
      <c r="B45" s="14">
        <v>2012</v>
      </c>
      <c r="C45" s="50"/>
      <c r="D45" s="50"/>
      <c r="E45" s="50"/>
      <c r="F45" s="50">
        <f>SUM(C45:E45)</f>
        <v>0</v>
      </c>
      <c r="H45" s="14">
        <v>2012</v>
      </c>
      <c r="I45" s="58" t="e">
        <f>IF($A$4=$R$1,IF($A$3="United States Dollar (USD)",C45,(C45*(SUMIFS(IMF!AP:AP,IMF!$D:$D,$E$1,IMF!$C:$C,$Q$1)/SUMIFS(IMF!AP:AP,IMF!$D:$D,$E$1,IMF!$C:$C,$P$1))))/1000,IF($A$4=$R$3,IF($A$3="United States Dollar (USD)",C45,(C45*(SUMIFS(IMF!AP:AP,IMF!$D:$D,$E$1,IMF!$C:$C,$Q$1)/SUMIFS(IMF!AP:AP,IMF!$D:$D,$E$1,IMF!$C:$C,$P$1))))*1000,IF($A$3="United States Dollar (USD)",C45,(C45*(SUMIFS(IMF!AP:AP,IMF!$D:$D,$E$1,IMF!$C:$C,$Q$1)/SUMIFS(IMF!AP:AP,IMF!$D:$D,$E$1,IMF!$C:$C,$P$1))))))</f>
        <v>#DIV/0!</v>
      </c>
      <c r="J45" s="58" t="e">
        <f>IF($A$4=$R$1,IF($A$3="United States Dollar (USD)",D45,(D45*(SUMIFS(IMF!AP:AP,IMF!$D:$D,$E$1,IMF!$C:$C,$Q$1)/SUMIFS(IMF!AP:AP,IMF!$D:$D,$E$1,IMF!$C:$C,$P$1))))/1000,IF($A$4=$R$3,IF($A$3="United States Dollar (USD)",D45,(D45*(SUMIFS(IMF!AP:AP,IMF!$D:$D,$E$1,IMF!$C:$C,$Q$1)/SUMIFS(IMF!AP:AP,IMF!$D:$D,$E$1,IMF!$C:$C,$P$1))))*1000,IF($A$3="United States Dollar (USD)",D45,(D45*(SUMIFS(IMF!AP:AP,IMF!$D:$D,$E$1,IMF!$C:$C,$Q$1)/SUMIFS(IMF!AP:AP,IMF!$D:$D,$E$1,IMF!$C:$C,$P$1))))))</f>
        <v>#DIV/0!</v>
      </c>
      <c r="K45" s="58" t="e">
        <f>IF($A$4=$R$1,IF($A$3="United States Dollar (USD)",E45,(E45*(SUMIFS(IMF!AP:AP,IMF!$D:$D,$E$1,IMF!$C:$C,$Q$1)/SUMIFS(IMF!AP:AP,IMF!$D:$D,$E$1,IMF!$C:$C,$P$1))))/1000,IF($A$4=$R$3,IF($A$3="United States Dollar (USD)",E45,(E45*(SUMIFS(IMF!AP:AP,IMF!$D:$D,$E$1,IMF!$C:$C,$Q$1)/SUMIFS(IMF!AP:AP,IMF!$D:$D,$E$1,IMF!$C:$C,$P$1))))*1000,IF($A$3="United States Dollar (USD)",E45,(E45*(SUMIFS(IMF!AP:AP,IMF!$D:$D,$E$1,IMF!$C:$C,$Q$1)/SUMIFS(IMF!AP:AP,IMF!$D:$D,$E$1,IMF!$C:$C,$P$1))))))</f>
        <v>#DIV/0!</v>
      </c>
      <c r="L45" s="59" t="e">
        <f>SUM(I45:K45)</f>
        <v>#DIV/0!</v>
      </c>
    </row>
    <row r="46" spans="1:12" ht="14.45" x14ac:dyDescent="0.35">
      <c r="B46" s="14">
        <v>2013</v>
      </c>
      <c r="C46" s="50"/>
      <c r="D46" s="50"/>
      <c r="E46" s="50"/>
      <c r="F46" s="50">
        <f>SUM(C46:E46)</f>
        <v>0</v>
      </c>
      <c r="H46" s="14">
        <v>2013</v>
      </c>
      <c r="I46" s="58" t="e">
        <f>IF($A$4=$R$1,IF($A$3="United States Dollar (USD)",C46,(C46*(SUMIFS(IMF!AQ:AQ,IMF!$D:$D,$E$1,IMF!$C:$C,$Q$1)/SUMIFS(IMF!AQ:AQ,IMF!$D:$D,$E$1,IMF!$C:$C,$P$1))))/1000,IF($A$4=$R$3,IF($A$3="United States Dollar (USD)",C46,(C46*(SUMIFS(IMF!AQ:AQ,IMF!$D:$D,$E$1,IMF!$C:$C,$Q$1)/SUMIFS(IMF!AQ:AQ,IMF!$D:$D,$E$1,IMF!$C:$C,$P$1))))*1000,IF($A$3="United States Dollar (USD)",C46,(C46*(SUMIFS(IMF!AQ:AQ,IMF!$D:$D,$E$1,IMF!$C:$C,$Q$1)/SUMIFS(IMF!AQ:AQ,IMF!$D:$D,$E$1,IMF!$C:$C,$P$1))))))</f>
        <v>#DIV/0!</v>
      </c>
      <c r="J46" s="58" t="e">
        <f>IF($A$4=$R$1,IF($A$3="United States Dollar (USD)",D46,(D46*(SUMIFS(IMF!AQ:AQ,IMF!$D:$D,$E$1,IMF!$C:$C,$Q$1)/SUMIFS(IMF!AQ:AQ,IMF!$D:$D,$E$1,IMF!$C:$C,$P$1))))/1000,IF($A$4=$R$3,IF($A$3="United States Dollar (USD)",D46,(D46*(SUMIFS(IMF!AQ:AQ,IMF!$D:$D,$E$1,IMF!$C:$C,$Q$1)/SUMIFS(IMF!AQ:AQ,IMF!$D:$D,$E$1,IMF!$C:$C,$P$1))))*1000,IF($A$3="United States Dollar (USD)",D46,(D46*(SUMIFS(IMF!AQ:AQ,IMF!$D:$D,$E$1,IMF!$C:$C,$Q$1)/SUMIFS(IMF!AQ:AQ,IMF!$D:$D,$E$1,IMF!$C:$C,$P$1))))))</f>
        <v>#DIV/0!</v>
      </c>
      <c r="K46" s="58" t="e">
        <f>IF($A$4=$R$1,IF($A$3="United States Dollar (USD)",E46,(E46*(SUMIFS(IMF!AQ:AQ,IMF!$D:$D,$E$1,IMF!$C:$C,$Q$1)/SUMIFS(IMF!AQ:AQ,IMF!$D:$D,$E$1,IMF!$C:$C,$P$1))))/1000,IF($A$4=$R$3,IF($A$3="United States Dollar (USD)",E46,(E46*(SUMIFS(IMF!AQ:AQ,IMF!$D:$D,$E$1,IMF!$C:$C,$Q$1)/SUMIFS(IMF!AQ:AQ,IMF!$D:$D,$E$1,IMF!$C:$C,$P$1))))*1000,IF($A$3="United States Dollar (USD)",E46,(E46*(SUMIFS(IMF!AQ:AQ,IMF!$D:$D,$E$1,IMF!$C:$C,$Q$1)/SUMIFS(IMF!AQ:AQ,IMF!$D:$D,$E$1,IMF!$C:$C,$P$1))))))</f>
        <v>#DIV/0!</v>
      </c>
      <c r="L46" s="59" t="e">
        <f>SUM(I46:K46)</f>
        <v>#DIV/0!</v>
      </c>
    </row>
    <row r="47" spans="1:12" ht="14.45" x14ac:dyDescent="0.35">
      <c r="B47" s="14">
        <v>2014</v>
      </c>
      <c r="C47" s="50"/>
      <c r="D47" s="50"/>
      <c r="E47" s="50"/>
      <c r="F47" s="50">
        <f>SUM(C47:E47)</f>
        <v>0</v>
      </c>
      <c r="H47" s="14">
        <v>2014</v>
      </c>
      <c r="I47" s="58" t="e">
        <f>IF($A$4=$R$1,IF($A$3="United States Dollar (USD)",C47,(C47*(SUMIFS(IMF!AR:AR,IMF!$D:$D,$E$1,IMF!$C:$C,$Q$1)/SUMIFS(IMF!AR:AR,IMF!$D:$D,$E$1,IMF!$C:$C,$P$1))))/1000,IF($A$4=$R$3,IF($A$3="United States Dollar (USD)",C47,(C47*(SUMIFS(IMF!AR:AR,IMF!$D:$D,$E$1,IMF!$C:$C,$Q$1)/SUMIFS(IMF!AR:AR,IMF!$D:$D,$E$1,IMF!$C:$C,$P$1))))*1000,IF($A$3="United States Dollar (USD)",C47,(C47*(SUMIFS(IMF!AR:AR,IMF!$D:$D,$E$1,IMF!$C:$C,$Q$1)/SUMIFS(IMF!AR:AR,IMF!$D:$D,$E$1,IMF!$C:$C,$P$1))))))</f>
        <v>#DIV/0!</v>
      </c>
      <c r="J47" s="58" t="e">
        <f>IF($A$4=$R$1,IF($A$3="United States Dollar (USD)",D47,(D47*(SUMIFS(IMF!AR:AR,IMF!$D:$D,$E$1,IMF!$C:$C,$Q$1)/SUMIFS(IMF!AR:AR,IMF!$D:$D,$E$1,IMF!$C:$C,$P$1))))/1000,IF($A$4=$R$3,IF($A$3="United States Dollar (USD)",D47,(D47*(SUMIFS(IMF!AR:AR,IMF!$D:$D,$E$1,IMF!$C:$C,$Q$1)/SUMIFS(IMF!AR:AR,IMF!$D:$D,$E$1,IMF!$C:$C,$P$1))))*1000,IF($A$3="United States Dollar (USD)",D47,(D47*(SUMIFS(IMF!AR:AR,IMF!$D:$D,$E$1,IMF!$C:$C,$Q$1)/SUMIFS(IMF!AR:AR,IMF!$D:$D,$E$1,IMF!$C:$C,$P$1))))))</f>
        <v>#DIV/0!</v>
      </c>
      <c r="K47" s="58" t="e">
        <f>IF($A$4=$R$1,IF($A$3="United States Dollar (USD)",E47,(E47*(SUMIFS(IMF!AR:AR,IMF!$D:$D,$E$1,IMF!$C:$C,$Q$1)/SUMIFS(IMF!AR:AR,IMF!$D:$D,$E$1,IMF!$C:$C,$P$1))))/1000,IF($A$4=$R$3,IF($A$3="United States Dollar (USD)",E47,(E47*(SUMIFS(IMF!AR:AR,IMF!$D:$D,$E$1,IMF!$C:$C,$Q$1)/SUMIFS(IMF!AR:AR,IMF!$D:$D,$E$1,IMF!$C:$C,$P$1))))*1000,IF($A$3="United States Dollar (USD)",E47,(E47*(SUMIFS(IMF!AR:AR,IMF!$D:$D,$E$1,IMF!$C:$C,$Q$1)/SUMIFS(IMF!AR:AR,IMF!$D:$D,$E$1,IMF!$C:$C,$P$1))))))</f>
        <v>#DIV/0!</v>
      </c>
      <c r="L47" s="59" t="e">
        <f>SUM(I47:K47)</f>
        <v>#DIV/0!</v>
      </c>
    </row>
    <row r="48" spans="1:12" ht="14.45" x14ac:dyDescent="0.35">
      <c r="B48" s="14">
        <v>2015</v>
      </c>
      <c r="C48" s="50"/>
      <c r="D48" s="50"/>
      <c r="E48" s="50"/>
      <c r="F48" s="50">
        <f>SUM(C48:E48)</f>
        <v>0</v>
      </c>
      <c r="H48" s="14">
        <v>2015</v>
      </c>
      <c r="I48" s="58" t="e">
        <f>IF($A$4=$R$1,IF($A$3="United States Dollar (USD)",C48,(C48*(SUMIFS(IMF!AS:AS,IMF!$D:$D,$E$1,IMF!$C:$C,$Q$1)/SUMIFS(IMF!AS:AS,IMF!$D:$D,$E$1,IMF!$C:$C,$P$1))))/1000,IF($A$4=$R$3,IF($A$3="United States Dollar (USD)",C48,(C48*(SUMIFS(IMF!AS:AS,IMF!$D:$D,$E$1,IMF!$C:$C,$Q$1)/SUMIFS(IMF!AS:AS,IMF!$D:$D,$E$1,IMF!$C:$C,$P$1))))*1000,IF($A$3="United States Dollar (USD)",C48,(C48*(SUMIFS(IMF!AS:AS,IMF!$D:$D,$E$1,IMF!$C:$C,$Q$1)/SUMIFS(IMF!AS:AS,IMF!$D:$D,$E$1,IMF!$C:$C,$P$1))))))</f>
        <v>#DIV/0!</v>
      </c>
      <c r="J48" s="58" t="e">
        <f>IF($A$4=$R$1,IF($A$3="United States Dollar (USD)",D48,(D48*(SUMIFS(IMF!AS:AS,IMF!$D:$D,$E$1,IMF!$C:$C,$Q$1)/SUMIFS(IMF!AS:AS,IMF!$D:$D,$E$1,IMF!$C:$C,$P$1))))/1000,IF($A$4=$R$3,IF($A$3="United States Dollar (USD)",D48,(D48*(SUMIFS(IMF!AS:AS,IMF!$D:$D,$E$1,IMF!$C:$C,$Q$1)/SUMIFS(IMF!AS:AS,IMF!$D:$D,$E$1,IMF!$C:$C,$P$1))))*1000,IF($A$3="United States Dollar (USD)",D48,(D48*(SUMIFS(IMF!AS:AS,IMF!$D:$D,$E$1,IMF!$C:$C,$Q$1)/SUMIFS(IMF!AS:AS,IMF!$D:$D,$E$1,IMF!$C:$C,$P$1))))))</f>
        <v>#DIV/0!</v>
      </c>
      <c r="K48" s="58" t="e">
        <f>IF($A$4=$R$1,IF($A$3="United States Dollar (USD)",E48,(E48*(SUMIFS(IMF!AS:AS,IMF!$D:$D,$E$1,IMF!$C:$C,$Q$1)/SUMIFS(IMF!AS:AS,IMF!$D:$D,$E$1,IMF!$C:$C,$P$1))))/1000,IF($A$4=$R$3,IF($A$3="United States Dollar (USD)",E48,(E48*(SUMIFS(IMF!AS:AS,IMF!$D:$D,$E$1,IMF!$C:$C,$Q$1)/SUMIFS(IMF!AS:AS,IMF!$D:$D,$E$1,IMF!$C:$C,$P$1))))*1000,IF($A$3="United States Dollar (USD)",E48,(E48*(SUMIFS(IMF!AS:AS,IMF!$D:$D,$E$1,IMF!$C:$C,$Q$1)/SUMIFS(IMF!AS:AS,IMF!$D:$D,$E$1,IMF!$C:$C,$P$1))))))</f>
        <v>#DIV/0!</v>
      </c>
      <c r="L48" s="59" t="e">
        <f>SUM(I48:K48)</f>
        <v>#DIV/0!</v>
      </c>
    </row>
    <row r="49" spans="1:1" ht="14.45" x14ac:dyDescent="0.35">
      <c r="A49" s="7" t="s">
        <v>8</v>
      </c>
    </row>
    <row r="50" spans="1:1" ht="14.45" x14ac:dyDescent="0.35">
      <c r="A50" s="3" t="s">
        <v>19</v>
      </c>
    </row>
    <row r="51" spans="1:1" ht="14.45" x14ac:dyDescent="0.35">
      <c r="A51" s="7" t="s">
        <v>238</v>
      </c>
    </row>
    <row r="52" spans="1:1" ht="14.45" x14ac:dyDescent="0.35">
      <c r="A52" s="2" t="s">
        <v>239</v>
      </c>
    </row>
    <row r="53" spans="1:1" ht="14.45" x14ac:dyDescent="0.35">
      <c r="A53" s="2" t="s">
        <v>32</v>
      </c>
    </row>
    <row r="54" spans="1:1" ht="14.45" x14ac:dyDescent="0.35">
      <c r="A54" s="2" t="s">
        <v>240</v>
      </c>
    </row>
    <row r="55" spans="1:1" ht="14.45" x14ac:dyDescent="0.35">
      <c r="A55" s="7" t="s">
        <v>241</v>
      </c>
    </row>
    <row r="56" spans="1:1" ht="14.45" x14ac:dyDescent="0.35">
      <c r="A56" s="2" t="s">
        <v>239</v>
      </c>
    </row>
    <row r="57" spans="1:1" ht="14.45" x14ac:dyDescent="0.35">
      <c r="A57" s="2" t="s">
        <v>32</v>
      </c>
    </row>
    <row r="58" spans="1:1" ht="14.45" x14ac:dyDescent="0.35">
      <c r="A58" s="2" t="s">
        <v>240</v>
      </c>
    </row>
    <row r="59" spans="1:1" ht="14.45" x14ac:dyDescent="0.35">
      <c r="A59" s="7" t="s">
        <v>242</v>
      </c>
    </row>
    <row r="60" spans="1:1" ht="14.45" x14ac:dyDescent="0.35">
      <c r="A60" s="2" t="s">
        <v>239</v>
      </c>
    </row>
    <row r="61" spans="1:1" ht="14.45" x14ac:dyDescent="0.35">
      <c r="A61" s="2" t="s">
        <v>32</v>
      </c>
    </row>
    <row r="62" spans="1:1" ht="14.45" x14ac:dyDescent="0.35">
      <c r="A62" s="2" t="s">
        <v>240</v>
      </c>
    </row>
    <row r="63" spans="1:1" ht="14.45" x14ac:dyDescent="0.35">
      <c r="A63" s="11" t="s">
        <v>931</v>
      </c>
    </row>
    <row r="64" spans="1:1" ht="14.45" x14ac:dyDescent="0.35">
      <c r="A64" s="2" t="s">
        <v>39</v>
      </c>
    </row>
    <row r="65" spans="1:2" ht="14.45" x14ac:dyDescent="0.35">
      <c r="A65" s="2" t="s">
        <v>932</v>
      </c>
    </row>
    <row r="66" spans="1:2" ht="14.45" x14ac:dyDescent="0.35">
      <c r="A66" s="2" t="s">
        <v>262</v>
      </c>
    </row>
    <row r="67" spans="1:2" thickBot="1" x14ac:dyDescent="0.4">
      <c r="A67" s="11" t="s">
        <v>933</v>
      </c>
    </row>
    <row r="68" spans="1:2" thickBot="1" x14ac:dyDescent="0.4">
      <c r="A68" s="11"/>
      <c r="B68" s="57"/>
    </row>
    <row r="69" spans="1:2" ht="14.45" x14ac:dyDescent="0.35">
      <c r="A69" s="11"/>
    </row>
    <row r="70" spans="1:2" ht="14.45" x14ac:dyDescent="0.35">
      <c r="A70" s="11" t="s">
        <v>21</v>
      </c>
    </row>
    <row r="71" spans="1:2" ht="14.45" x14ac:dyDescent="0.35">
      <c r="A71" s="2" t="s">
        <v>22</v>
      </c>
    </row>
    <row r="72" spans="1:2" ht="14.45" x14ac:dyDescent="0.35">
      <c r="A72" s="2" t="s">
        <v>23</v>
      </c>
    </row>
    <row r="73" spans="1:2" ht="14.45" x14ac:dyDescent="0.35">
      <c r="A73" s="2" t="s">
        <v>24</v>
      </c>
    </row>
    <row r="74" spans="1:2" thickBot="1" x14ac:dyDescent="0.4">
      <c r="A74" s="11" t="s">
        <v>933</v>
      </c>
    </row>
    <row r="75" spans="1:2" thickBot="1" x14ac:dyDescent="0.4">
      <c r="A75" s="11"/>
      <c r="B75" s="57"/>
    </row>
    <row r="76" spans="1:2" ht="14.45" x14ac:dyDescent="0.35">
      <c r="A76" s="12" t="s">
        <v>25</v>
      </c>
    </row>
    <row r="77" spans="1:2" ht="14.45" x14ac:dyDescent="0.35">
      <c r="A77" s="5" t="s">
        <v>26</v>
      </c>
    </row>
    <row r="78" spans="1:2" ht="14.45" x14ac:dyDescent="0.35">
      <c r="A78" s="2" t="s">
        <v>22</v>
      </c>
    </row>
    <row r="79" spans="1:2" ht="14.45" x14ac:dyDescent="0.35">
      <c r="A79" s="2" t="s">
        <v>27</v>
      </c>
    </row>
    <row r="80" spans="1:2" ht="14.45" x14ac:dyDescent="0.35">
      <c r="A80" s="2" t="s">
        <v>28</v>
      </c>
    </row>
    <row r="81" spans="1:9" thickBot="1" x14ac:dyDescent="0.4">
      <c r="A81" s="11" t="s">
        <v>933</v>
      </c>
    </row>
    <row r="82" spans="1:9" thickBot="1" x14ac:dyDescent="0.4">
      <c r="A82" s="11"/>
      <c r="B82" s="57"/>
    </row>
    <row r="83" spans="1:9" ht="14.45" x14ac:dyDescent="0.35">
      <c r="A83" s="7" t="s">
        <v>29</v>
      </c>
    </row>
    <row r="84" spans="1:9" ht="14.45" x14ac:dyDescent="0.35">
      <c r="A84" s="53" t="s">
        <v>927</v>
      </c>
    </row>
    <row r="85" spans="1:9" ht="14.45" x14ac:dyDescent="0.35">
      <c r="A85" s="46" t="s">
        <v>922</v>
      </c>
    </row>
    <row r="86" spans="1:9" ht="26.1" x14ac:dyDescent="0.3">
      <c r="B86" s="13" t="s">
        <v>1</v>
      </c>
      <c r="C86" s="13" t="s">
        <v>30</v>
      </c>
      <c r="D86" s="13" t="s">
        <v>31</v>
      </c>
      <c r="E86" s="44" t="s">
        <v>239</v>
      </c>
      <c r="F86" s="44" t="s">
        <v>32</v>
      </c>
      <c r="G86" s="44" t="s">
        <v>240</v>
      </c>
      <c r="H86" s="13" t="s">
        <v>1</v>
      </c>
      <c r="I86" s="13" t="s">
        <v>30</v>
      </c>
    </row>
    <row r="87" spans="1:9" ht="14.45" x14ac:dyDescent="0.35">
      <c r="B87" s="14">
        <v>2006</v>
      </c>
      <c r="C87" s="51"/>
      <c r="D87" s="13" t="s">
        <v>44</v>
      </c>
      <c r="E87" s="45" t="str">
        <f>IF($D87=E$86,1,"")</f>
        <v/>
      </c>
      <c r="F87" s="45" t="str">
        <f t="shared" ref="F87:G96" si="0">IF($D87=F$86,1,"")</f>
        <v/>
      </c>
      <c r="G87" s="45" t="str">
        <f t="shared" si="0"/>
        <v/>
      </c>
      <c r="H87" s="14">
        <v>2006</v>
      </c>
      <c r="I87" s="58" t="str">
        <f>IF(C87="","",IF($A$85=$R$1,IF($A$84="United States Dollar (USD)",C87,(C87*(SUMIFS(IMF!AJ:AJ,IMF!$D:$D,$E$1,IMF!$C:$C,$Q$1)/SUMIFS(IMF!AJ:AJ,IMF!$D:$D,$E$1,IMF!$C:$C,$P$1))))/1000,IF($A$85=$R$84,IF($A$84="United States Dollar (USD)",C87,(C87*(SUMIFS(IMF!AJ:AJ,IMF!$D:$D,$E$1,IMF!$C:$C,$Q$1)/SUMIFS(IMF!AJ:AJ,IMF!$D:$D,$E$1,IMF!$C:$C,$P$1))))*1000,IF($A$84="United States Dollar (USD)",C87,(C87*(SUMIFS(IMF!AJ:AJ,IMF!$D:$D,$E$1,IMF!$C:$C,$Q$1)/SUMIFS(IMF!AJ:AJ,IMF!$D:$D,$E$1,IMF!$C:$C,$P$1)))))))</f>
        <v/>
      </c>
    </row>
    <row r="88" spans="1:9" ht="14.45" x14ac:dyDescent="0.35">
      <c r="B88" s="14">
        <v>2007</v>
      </c>
      <c r="C88" s="50"/>
      <c r="D88" s="13" t="s">
        <v>44</v>
      </c>
      <c r="E88" s="45" t="str">
        <f t="shared" ref="E88:E96" si="1">IF($D88=E$86,1,"")</f>
        <v/>
      </c>
      <c r="F88" s="45" t="str">
        <f t="shared" si="0"/>
        <v/>
      </c>
      <c r="G88" s="45" t="str">
        <f t="shared" si="0"/>
        <v/>
      </c>
      <c r="H88" s="14">
        <v>2007</v>
      </c>
      <c r="I88" s="58" t="str">
        <f>IF(C88="","",IF($A$85=$R$1,IF($A$84="United States Dollar (USD)",C88,(C88*(SUMIFS(IMF!AK:AK,IMF!$D:$D,$E$1,IMF!$C:$C,$Q$1)/SUMIFS(IMF!AK:AK,IMF!$D:$D,$E$1,IMF!$C:$C,$P$1))))/1000,IF($A$85=$R$84,IF($A$84="United States Dollar (USD)",C88,(C88*(SUMIFS(IMF!AK:AK,IMF!$D:$D,$E$1,IMF!$C:$C,$Q$1)/SUMIFS(IMF!AK:AK,IMF!$D:$D,$E$1,IMF!$C:$C,$P$1))))*1000,IF($A$84="United States Dollar (USD)",C88,(C88*(SUMIFS(IMF!AK:AK,IMF!$D:$D,$E$1,IMF!$C:$C,$Q$1)/SUMIFS(IMF!AK:AK,IMF!$D:$D,$E$1,IMF!$C:$C,$P$1)))))))</f>
        <v/>
      </c>
    </row>
    <row r="89" spans="1:9" ht="14.45" x14ac:dyDescent="0.35">
      <c r="B89" s="14">
        <v>2008</v>
      </c>
      <c r="C89" s="50"/>
      <c r="D89" s="13" t="s">
        <v>44</v>
      </c>
      <c r="E89" s="45" t="str">
        <f t="shared" si="1"/>
        <v/>
      </c>
      <c r="F89" s="45" t="str">
        <f t="shared" si="0"/>
        <v/>
      </c>
      <c r="G89" s="45" t="str">
        <f t="shared" si="0"/>
        <v/>
      </c>
      <c r="H89" s="14">
        <v>2008</v>
      </c>
      <c r="I89" s="58" t="str">
        <f>IF(C89="","",IF($A$85=$R$1,IF($A$84="United States Dollar (USD)",C89,(C89*(SUMIFS(IMF!AL:AL,IMF!$D:$D,$E$1,IMF!$C:$C,$Q$1)/SUMIFS(IMF!AL:AL,IMF!$D:$D,$E$1,IMF!$C:$C,$P$1))))/1000,IF($A$85=$R$84,IF($A$84="United States Dollar (USD)",C89,(C89*(SUMIFS(IMF!AL:AL,IMF!$D:$D,$E$1,IMF!$C:$C,$Q$1)/SUMIFS(IMF!AL:AL,IMF!$D:$D,$E$1,IMF!$C:$C,$P$1))))*1000,IF($A$84="United States Dollar (USD)",C89,(C89*(SUMIFS(IMF!AL:AL,IMF!$D:$D,$E$1,IMF!$C:$C,$Q$1)/SUMIFS(IMF!AL:AL,IMF!$D:$D,$E$1,IMF!$C:$C,$P$1)))))))</f>
        <v/>
      </c>
    </row>
    <row r="90" spans="1:9" ht="14.45" x14ac:dyDescent="0.35">
      <c r="B90" s="14">
        <v>2009</v>
      </c>
      <c r="C90" s="50"/>
      <c r="D90" s="13" t="s">
        <v>44</v>
      </c>
      <c r="E90" s="45" t="str">
        <f t="shared" si="1"/>
        <v/>
      </c>
      <c r="F90" s="45" t="str">
        <f t="shared" si="0"/>
        <v/>
      </c>
      <c r="G90" s="45" t="str">
        <f t="shared" si="0"/>
        <v/>
      </c>
      <c r="H90" s="14">
        <v>2009</v>
      </c>
      <c r="I90" s="58" t="str">
        <f>IF(C90="","",IF($A$85=$R$1,IF($A$84="United States Dollar (USD)",C90,(C90*(SUMIFS(IMF!AM:AM,IMF!$D:$D,$E$1,IMF!$C:$C,$Q$1)/SUMIFS(IMF!AM:AM,IMF!$D:$D,$E$1,IMF!$C:$C,$P$1))))/1000,IF($A$85=$R$84,IF($A$84="United States Dollar (USD)",C90,(C90*(SUMIFS(IMF!AM:AM,IMF!$D:$D,$E$1,IMF!$C:$C,$Q$1)/SUMIFS(IMF!AM:AM,IMF!$D:$D,$E$1,IMF!$C:$C,$P$1))))*1000,IF($A$84="United States Dollar (USD)",C90,(C90*(SUMIFS(IMF!AM:AM,IMF!$D:$D,$E$1,IMF!$C:$C,$Q$1)/SUMIFS(IMF!AM:AM,IMF!$D:$D,$E$1,IMF!$C:$C,$P$1)))))))</f>
        <v/>
      </c>
    </row>
    <row r="91" spans="1:9" ht="14.45" x14ac:dyDescent="0.35">
      <c r="B91" s="14">
        <v>2010</v>
      </c>
      <c r="C91" s="50"/>
      <c r="D91" s="13" t="s">
        <v>44</v>
      </c>
      <c r="E91" s="45" t="str">
        <f t="shared" si="1"/>
        <v/>
      </c>
      <c r="F91" s="45" t="str">
        <f t="shared" si="0"/>
        <v/>
      </c>
      <c r="G91" s="45" t="str">
        <f t="shared" si="0"/>
        <v/>
      </c>
      <c r="H91" s="14">
        <v>2010</v>
      </c>
      <c r="I91" s="58" t="str">
        <f>IF(C91="","",IF($A$85=$R$1,IF($A$84="United States Dollar (USD)",C91,(C91*(SUMIFS(IMF!AN:AN,IMF!$D:$D,$E$1,IMF!$C:$C,$Q$1)/SUMIFS(IMF!AN:AN,IMF!$D:$D,$E$1,IMF!$C:$C,$P$1))))/1000,IF($A$85=$R$84,IF($A$84="United States Dollar (USD)",C91,(C91*(SUMIFS(IMF!AN:AN,IMF!$D:$D,$E$1,IMF!$C:$C,$Q$1)/SUMIFS(IMF!AN:AN,IMF!$D:$D,$E$1,IMF!$C:$C,$P$1))))*1000,IF($A$84="United States Dollar (USD)",C91,(C91*(SUMIFS(IMF!AN:AN,IMF!$D:$D,$E$1,IMF!$C:$C,$Q$1)/SUMIFS(IMF!AN:AN,IMF!$D:$D,$E$1,IMF!$C:$C,$P$1)))))))</f>
        <v/>
      </c>
    </row>
    <row r="92" spans="1:9" ht="14.45" x14ac:dyDescent="0.35">
      <c r="B92" s="14">
        <v>2011</v>
      </c>
      <c r="C92" s="50"/>
      <c r="D92" s="13" t="s">
        <v>44</v>
      </c>
      <c r="E92" s="45" t="str">
        <f t="shared" si="1"/>
        <v/>
      </c>
      <c r="F92" s="45" t="str">
        <f t="shared" si="0"/>
        <v/>
      </c>
      <c r="G92" s="45" t="str">
        <f t="shared" si="0"/>
        <v/>
      </c>
      <c r="H92" s="14">
        <v>2011</v>
      </c>
      <c r="I92" s="58" t="str">
        <f>IF(C92="","",IF($A$85=$R$1,IF($A$84="United States Dollar (USD)",C92,(C92*(SUMIFS(IMF!AO:AO,IMF!$D:$D,$E$1,IMF!$C:$C,$Q$1)/SUMIFS(IMF!AO:AO,IMF!$D:$D,$E$1,IMF!$C:$C,$P$1))))/1000,IF($A$85=$R$84,IF($A$84="United States Dollar (USD)",C92,(C92*(SUMIFS(IMF!AO:AO,IMF!$D:$D,$E$1,IMF!$C:$C,$Q$1)/SUMIFS(IMF!AO:AO,IMF!$D:$D,$E$1,IMF!$C:$C,$P$1))))*1000,IF($A$84="United States Dollar (USD)",C92,(C92*(SUMIFS(IMF!AO:AO,IMF!$D:$D,$E$1,IMF!$C:$C,$Q$1)/SUMIFS(IMF!AO:AO,IMF!$D:$D,$E$1,IMF!$C:$C,$P$1)))))))</f>
        <v/>
      </c>
    </row>
    <row r="93" spans="1:9" ht="14.45" x14ac:dyDescent="0.35">
      <c r="B93" s="14">
        <v>2012</v>
      </c>
      <c r="C93" s="50"/>
      <c r="D93" s="13" t="s">
        <v>44</v>
      </c>
      <c r="E93" s="45" t="str">
        <f t="shared" si="1"/>
        <v/>
      </c>
      <c r="F93" s="45" t="str">
        <f t="shared" si="0"/>
        <v/>
      </c>
      <c r="G93" s="45" t="str">
        <f t="shared" si="0"/>
        <v/>
      </c>
      <c r="H93" s="14">
        <v>2012</v>
      </c>
      <c r="I93" s="58" t="str">
        <f>IF(C93="","",IF($A$85=$R$1,IF($A$84="United States Dollar (USD)",C93,(C93*(SUMIFS(IMF!AP:AP,IMF!$D:$D,$E$1,IMF!$C:$C,$Q$1)/SUMIFS(IMF!AP:AP,IMF!$D:$D,$E$1,IMF!$C:$C,$P$1))))/1000,IF($A$85=$R$84,IF($A$84="United States Dollar (USD)",C93,(C93*(SUMIFS(IMF!AP:AP,IMF!$D:$D,$E$1,IMF!$C:$C,$Q$1)/SUMIFS(IMF!AP:AP,IMF!$D:$D,$E$1,IMF!$C:$C,$P$1))))*1000,IF($A$84="United States Dollar (USD)",C93,(C93*(SUMIFS(IMF!AP:AP,IMF!$D:$D,$E$1,IMF!$C:$C,$Q$1)/SUMIFS(IMF!AP:AP,IMF!$D:$D,$E$1,IMF!$C:$C,$P$1)))))))</f>
        <v/>
      </c>
    </row>
    <row r="94" spans="1:9" ht="14.45" x14ac:dyDescent="0.35">
      <c r="B94" s="14">
        <v>2013</v>
      </c>
      <c r="C94" s="50"/>
      <c r="D94" s="13" t="s">
        <v>44</v>
      </c>
      <c r="E94" s="45" t="str">
        <f t="shared" si="1"/>
        <v/>
      </c>
      <c r="F94" s="45" t="str">
        <f t="shared" si="0"/>
        <v/>
      </c>
      <c r="G94" s="45" t="str">
        <f t="shared" si="0"/>
        <v/>
      </c>
      <c r="H94" s="14">
        <v>2013</v>
      </c>
      <c r="I94" s="58" t="str">
        <f>IF(C94="","",IF($A$85=$R$1,IF($A$84="United States Dollar (USD)",C94,(C94*(SUMIFS(IMF!AQ:AQ,IMF!$D:$D,$E$1,IMF!$C:$C,$Q$1)/SUMIFS(IMF!AQ:AQ,IMF!$D:$D,$E$1,IMF!$C:$C,$P$1))))/1000,IF($A$85=$R$84,IF($A$84="United States Dollar (USD)",C94,(C94*(SUMIFS(IMF!AQ:AQ,IMF!$D:$D,$E$1,IMF!$C:$C,$Q$1)/SUMIFS(IMF!AQ:AQ,IMF!$D:$D,$E$1,IMF!$C:$C,$P$1))))*1000,IF($A$84="United States Dollar (USD)",C94,(C94*(SUMIFS(IMF!AQ:AQ,IMF!$D:$D,$E$1,IMF!$C:$C,$Q$1)/SUMIFS(IMF!AQ:AQ,IMF!$D:$D,$E$1,IMF!$C:$C,$P$1)))))))</f>
        <v/>
      </c>
    </row>
    <row r="95" spans="1:9" ht="14.45" x14ac:dyDescent="0.35">
      <c r="B95" s="14">
        <v>2014</v>
      </c>
      <c r="C95" s="50"/>
      <c r="D95" s="13" t="s">
        <v>44</v>
      </c>
      <c r="E95" s="45" t="str">
        <f t="shared" si="1"/>
        <v/>
      </c>
      <c r="F95" s="45" t="str">
        <f t="shared" si="0"/>
        <v/>
      </c>
      <c r="G95" s="45" t="str">
        <f t="shared" si="0"/>
        <v/>
      </c>
      <c r="H95" s="14">
        <v>2014</v>
      </c>
      <c r="I95" s="58" t="str">
        <f>IF(C95="","",IF($A$85=$R$1,IF($A$84="United States Dollar (USD)",C95,(C95*(SUMIFS(IMF!AR:AR,IMF!$D:$D,$E$1,IMF!$C:$C,$Q$1)/SUMIFS(IMF!AR:AR,IMF!$D:$D,$E$1,IMF!$C:$C,$P$1))))/1000,IF($A$85=$R$84,IF($A$84="United States Dollar (USD)",C95,(C95*(SUMIFS(IMF!AR:AR,IMF!$D:$D,$E$1,IMF!$C:$C,$Q$1)/SUMIFS(IMF!AR:AR,IMF!$D:$D,$E$1,IMF!$C:$C,$P$1))))*1000,IF($A$84="United States Dollar (USD)",C95,(C95*(SUMIFS(IMF!AR:AR,IMF!$D:$D,$E$1,IMF!$C:$C,$Q$1)/SUMIFS(IMF!AR:AR,IMF!$D:$D,$E$1,IMF!$C:$C,$P$1)))))))</f>
        <v/>
      </c>
    </row>
    <row r="96" spans="1:9" ht="14.45" x14ac:dyDescent="0.35">
      <c r="B96" s="14">
        <v>2015</v>
      </c>
      <c r="C96" s="50"/>
      <c r="D96" s="13" t="s">
        <v>44</v>
      </c>
      <c r="E96" s="45" t="str">
        <f t="shared" si="1"/>
        <v/>
      </c>
      <c r="F96" s="45" t="str">
        <f t="shared" si="0"/>
        <v/>
      </c>
      <c r="G96" s="45" t="str">
        <f t="shared" si="0"/>
        <v/>
      </c>
      <c r="H96" s="14">
        <v>2015</v>
      </c>
      <c r="I96" s="58" t="str">
        <f>IF(C96="","",IF($A$85=$R$1,IF($A$84="United States Dollar (USD)",C96,(C96*(SUMIFS(IMF!AS:AS,IMF!$D:$D,$E$1,IMF!$C:$C,$Q$1)/SUMIFS(IMF!AS:AS,IMF!$D:$D,$E$1,IMF!$C:$C,$P$1))))/1000,IF($A$85=$R$84,IF($A$84="United States Dollar (USD)",C96,(C96*(SUMIFS(IMF!AS:AS,IMF!$D:$D,$E$1,IMF!$C:$C,$Q$1)/SUMIFS(IMF!AS:AS,IMF!$D:$D,$E$1,IMF!$C:$C,$P$1))))*1000,IF($A$84="United States Dollar (USD)",C96,(C96*(SUMIFS(IMF!AS:AS,IMF!$D:$D,$E$1,IMF!$C:$C,$Q$1)/SUMIFS(IMF!AS:AS,IMF!$D:$D,$E$1,IMF!$C:$C,$P$1)))))))</f>
        <v/>
      </c>
    </row>
    <row r="97" spans="1:9" ht="12.95" x14ac:dyDescent="0.3">
      <c r="B97" s="15" t="s">
        <v>33</v>
      </c>
      <c r="C97" s="49"/>
      <c r="D97" s="14"/>
      <c r="H97" s="15" t="s">
        <v>33</v>
      </c>
      <c r="I97" s="59" t="e">
        <f>AVERAGE(I87:I96)</f>
        <v>#DIV/0!</v>
      </c>
    </row>
    <row r="98" spans="1:9" ht="14.45" x14ac:dyDescent="0.35">
      <c r="A98" s="7" t="s">
        <v>34</v>
      </c>
    </row>
    <row r="99" spans="1:9" ht="51.95" x14ac:dyDescent="0.35">
      <c r="A99" s="1" t="s">
        <v>35</v>
      </c>
      <c r="B99" s="1" t="s">
        <v>36</v>
      </c>
      <c r="C99" s="1" t="s">
        <v>37</v>
      </c>
    </row>
    <row r="100" spans="1:9" x14ac:dyDescent="0.25">
      <c r="A100" s="16" t="s">
        <v>38</v>
      </c>
    </row>
    <row r="101" spans="1:9" x14ac:dyDescent="0.25">
      <c r="A101" s="16" t="s">
        <v>40</v>
      </c>
    </row>
    <row r="102" spans="1:9" x14ac:dyDescent="0.25">
      <c r="A102" s="16" t="s">
        <v>243</v>
      </c>
    </row>
    <row r="103" spans="1:9" ht="14.45" x14ac:dyDescent="0.35">
      <c r="A103" s="16" t="s">
        <v>244</v>
      </c>
    </row>
    <row r="104" spans="1:9" ht="14.45" x14ac:dyDescent="0.35">
      <c r="A104" s="16" t="s">
        <v>245</v>
      </c>
    </row>
    <row r="105" spans="1:9" ht="14.45" x14ac:dyDescent="0.35">
      <c r="A105" s="16" t="s">
        <v>246</v>
      </c>
    </row>
    <row r="106" spans="1:9" ht="24.95" x14ac:dyDescent="0.35">
      <c r="A106" s="16" t="s">
        <v>247</v>
      </c>
    </row>
    <row r="108" spans="1:9" ht="14.45" x14ac:dyDescent="0.35">
      <c r="A108" s="7" t="s">
        <v>248</v>
      </c>
    </row>
    <row r="109" spans="1:9" x14ac:dyDescent="0.25">
      <c r="A109" s="7" t="s">
        <v>249</v>
      </c>
    </row>
    <row r="110" spans="1:9" x14ac:dyDescent="0.25">
      <c r="A110" s="16" t="s">
        <v>26</v>
      </c>
    </row>
    <row r="111" spans="1:9" x14ac:dyDescent="0.25">
      <c r="A111" s="16" t="s">
        <v>22</v>
      </c>
    </row>
    <row r="112" spans="1:9" x14ac:dyDescent="0.25">
      <c r="A112" s="16" t="s">
        <v>27</v>
      </c>
    </row>
    <row r="113" spans="1:6" ht="25.5" x14ac:dyDescent="0.25">
      <c r="A113" s="16" t="s">
        <v>28</v>
      </c>
    </row>
    <row r="114" spans="1:6" ht="15.75" thickBot="1" x14ac:dyDescent="0.3">
      <c r="A114" s="11" t="s">
        <v>933</v>
      </c>
    </row>
    <row r="115" spans="1:6" ht="15.75" thickBot="1" x14ac:dyDescent="0.3">
      <c r="A115" s="11"/>
      <c r="B115" s="57"/>
    </row>
    <row r="116" spans="1:6" x14ac:dyDescent="0.25">
      <c r="A116" s="7" t="s">
        <v>250</v>
      </c>
    </row>
    <row r="117" spans="1:6" ht="38.25" x14ac:dyDescent="0.25">
      <c r="A117" s="16" t="str">
        <f>A84</f>
        <v>Local currency</v>
      </c>
      <c r="B117" s="13" t="s">
        <v>1</v>
      </c>
      <c r="C117" s="13" t="s">
        <v>251</v>
      </c>
      <c r="D117" s="13" t="s">
        <v>252</v>
      </c>
      <c r="E117" s="13" t="s">
        <v>253</v>
      </c>
      <c r="F117" s="13" t="s">
        <v>254</v>
      </c>
    </row>
    <row r="118" spans="1:6" x14ac:dyDescent="0.25">
      <c r="A118" s="46" t="s">
        <v>44</v>
      </c>
      <c r="B118" s="14">
        <v>2014</v>
      </c>
      <c r="C118" s="14"/>
      <c r="D118" s="14"/>
      <c r="E118" s="14"/>
      <c r="F118" s="14"/>
    </row>
    <row r="119" spans="1:6" x14ac:dyDescent="0.25">
      <c r="B119" s="14">
        <v>2015</v>
      </c>
      <c r="C119" s="14"/>
      <c r="D119" s="14"/>
      <c r="E119" s="14"/>
      <c r="F119" s="14"/>
    </row>
    <row r="120" spans="1:6" x14ac:dyDescent="0.25">
      <c r="B120" s="14">
        <v>2016</v>
      </c>
      <c r="C120" s="14"/>
      <c r="D120" s="14"/>
      <c r="E120" s="14"/>
      <c r="F120" s="14"/>
    </row>
    <row r="121" spans="1:6" x14ac:dyDescent="0.25">
      <c r="B121" s="14">
        <v>2017</v>
      </c>
      <c r="C121" s="14"/>
      <c r="D121" s="14"/>
      <c r="E121" s="14"/>
      <c r="F121" s="14"/>
    </row>
    <row r="122" spans="1:6" x14ac:dyDescent="0.25">
      <c r="B122" s="14">
        <v>2018</v>
      </c>
      <c r="C122" s="14"/>
      <c r="D122" s="14"/>
      <c r="E122" s="14"/>
      <c r="F122" s="14"/>
    </row>
    <row r="123" spans="1:6" x14ac:dyDescent="0.25">
      <c r="B123" s="14">
        <v>2019</v>
      </c>
      <c r="C123" s="14"/>
      <c r="D123" s="14"/>
      <c r="E123" s="14"/>
      <c r="F123" s="14"/>
    </row>
    <row r="124" spans="1:6" x14ac:dyDescent="0.25">
      <c r="B124" s="14">
        <v>2020</v>
      </c>
      <c r="C124" s="14"/>
      <c r="D124" s="14"/>
      <c r="E124" s="14"/>
      <c r="F124" s="17"/>
    </row>
    <row r="126" spans="1:6" x14ac:dyDescent="0.25">
      <c r="A126" s="7" t="s">
        <v>255</v>
      </c>
    </row>
    <row r="127" spans="1:6" x14ac:dyDescent="0.25">
      <c r="A127" s="14" t="str">
        <f>A84</f>
        <v>Local currency</v>
      </c>
    </row>
    <row r="128" spans="1:6" x14ac:dyDescent="0.25">
      <c r="A128" s="46" t="s">
        <v>44</v>
      </c>
    </row>
    <row r="129" spans="1:8" ht="12.75" x14ac:dyDescent="0.2">
      <c r="A129" s="17"/>
      <c r="B129" s="18">
        <v>2014</v>
      </c>
      <c r="C129" s="18">
        <v>2015</v>
      </c>
      <c r="D129" s="18">
        <v>2016</v>
      </c>
      <c r="E129" s="18">
        <v>2017</v>
      </c>
      <c r="F129" s="18">
        <v>2018</v>
      </c>
      <c r="G129" s="18">
        <v>2019</v>
      </c>
      <c r="H129" s="18">
        <v>2020</v>
      </c>
    </row>
    <row r="130" spans="1:8" ht="12.75" x14ac:dyDescent="0.2">
      <c r="A130" s="14" t="s">
        <v>256</v>
      </c>
      <c r="B130" s="14">
        <v>0</v>
      </c>
      <c r="C130" s="14">
        <v>0</v>
      </c>
      <c r="D130" s="14">
        <v>0</v>
      </c>
      <c r="E130" s="14">
        <v>0</v>
      </c>
      <c r="F130" s="14">
        <v>0</v>
      </c>
      <c r="G130" s="14">
        <v>0</v>
      </c>
      <c r="H130" s="14">
        <v>0</v>
      </c>
    </row>
    <row r="131" spans="1:8" ht="12.75" x14ac:dyDescent="0.2">
      <c r="A131" s="14" t="s">
        <v>257</v>
      </c>
      <c r="B131" s="14">
        <v>0</v>
      </c>
      <c r="C131" s="14">
        <v>0</v>
      </c>
      <c r="D131" s="14">
        <v>0</v>
      </c>
      <c r="E131" s="14">
        <v>0</v>
      </c>
      <c r="F131" s="14">
        <v>0</v>
      </c>
      <c r="G131" s="14">
        <v>0</v>
      </c>
      <c r="H131" s="14">
        <v>0</v>
      </c>
    </row>
    <row r="132" spans="1:8" ht="12.75" x14ac:dyDescent="0.2">
      <c r="A132" s="14"/>
      <c r="B132" s="14">
        <v>0</v>
      </c>
      <c r="C132" s="14">
        <v>0</v>
      </c>
      <c r="D132" s="14"/>
      <c r="E132" s="14"/>
      <c r="F132" s="14"/>
      <c r="G132" s="14"/>
      <c r="H132" s="14"/>
    </row>
    <row r="133" spans="1:8" ht="12.75" x14ac:dyDescent="0.2">
      <c r="A133" s="14" t="s">
        <v>258</v>
      </c>
      <c r="B133" s="14">
        <v>0</v>
      </c>
      <c r="C133" s="14">
        <v>0</v>
      </c>
      <c r="D133" s="14">
        <v>0</v>
      </c>
      <c r="E133" s="14">
        <v>0</v>
      </c>
      <c r="F133" s="14">
        <v>0</v>
      </c>
      <c r="G133" s="14">
        <v>0</v>
      </c>
      <c r="H133" s="14">
        <v>0</v>
      </c>
    </row>
    <row r="134" spans="1:8" ht="12.75" x14ac:dyDescent="0.2">
      <c r="A134" s="14"/>
      <c r="B134" s="14">
        <v>0</v>
      </c>
      <c r="C134" s="14">
        <v>0</v>
      </c>
      <c r="D134" s="14"/>
      <c r="E134" s="14"/>
      <c r="F134" s="14"/>
      <c r="G134" s="14"/>
      <c r="H134" s="14"/>
    </row>
    <row r="135" spans="1:8" ht="12.75" x14ac:dyDescent="0.2">
      <c r="A135" s="14" t="s">
        <v>259</v>
      </c>
      <c r="B135" s="14">
        <v>0</v>
      </c>
      <c r="C135" s="14">
        <v>0</v>
      </c>
      <c r="D135" s="14">
        <v>0</v>
      </c>
      <c r="E135" s="14">
        <v>0</v>
      </c>
      <c r="F135" s="14">
        <v>0</v>
      </c>
      <c r="G135" s="14">
        <v>0</v>
      </c>
      <c r="H135" s="14">
        <v>0</v>
      </c>
    </row>
    <row r="137" spans="1:8" x14ac:dyDescent="0.25">
      <c r="A137" s="7" t="s">
        <v>260</v>
      </c>
    </row>
    <row r="138" spans="1:8" x14ac:dyDescent="0.25">
      <c r="A138" s="16" t="s">
        <v>39</v>
      </c>
    </row>
    <row r="139" spans="1:8" x14ac:dyDescent="0.25">
      <c r="A139" s="16" t="s">
        <v>261</v>
      </c>
    </row>
    <row r="140" spans="1:8" x14ac:dyDescent="0.25">
      <c r="A140" s="16" t="s">
        <v>262</v>
      </c>
    </row>
    <row r="141" spans="1:8" ht="15.75" thickBot="1" x14ac:dyDescent="0.3">
      <c r="A141" s="11" t="s">
        <v>933</v>
      </c>
    </row>
    <row r="142" spans="1:8" ht="15.75" thickBot="1" x14ac:dyDescent="0.3">
      <c r="A142" s="11"/>
      <c r="B142" s="57"/>
    </row>
    <row r="143" spans="1:8" x14ac:dyDescent="0.25">
      <c r="A143" s="7" t="s">
        <v>263</v>
      </c>
    </row>
    <row r="144" spans="1:8" x14ac:dyDescent="0.25">
      <c r="A144" s="3" t="s">
        <v>264</v>
      </c>
    </row>
    <row r="145" spans="1:1" x14ac:dyDescent="0.25">
      <c r="A145" s="3" t="s">
        <v>265</v>
      </c>
    </row>
    <row r="146" spans="1:1" x14ac:dyDescent="0.25">
      <c r="A146" s="3" t="s">
        <v>41</v>
      </c>
    </row>
    <row r="147" spans="1:1" x14ac:dyDescent="0.25">
      <c r="A147" s="3" t="s">
        <v>39</v>
      </c>
    </row>
    <row r="148" spans="1:1" x14ac:dyDescent="0.25">
      <c r="A148" s="3" t="s">
        <v>266</v>
      </c>
    </row>
    <row r="149" spans="1:1" x14ac:dyDescent="0.25">
      <c r="A149" s="3" t="s">
        <v>41</v>
      </c>
    </row>
    <row r="150" spans="1:1" x14ac:dyDescent="0.25">
      <c r="A150" s="3" t="s">
        <v>39</v>
      </c>
    </row>
    <row r="151" spans="1:1" x14ac:dyDescent="0.25">
      <c r="A151" s="3" t="s">
        <v>267</v>
      </c>
    </row>
    <row r="152" spans="1:1" x14ac:dyDescent="0.25">
      <c r="A152" s="3" t="s">
        <v>41</v>
      </c>
    </row>
    <row r="153" spans="1:1" x14ac:dyDescent="0.25">
      <c r="A153" s="3" t="s">
        <v>39</v>
      </c>
    </row>
  </sheetData>
  <mergeCells count="3">
    <mergeCell ref="A1:B1"/>
    <mergeCell ref="E1:F1"/>
    <mergeCell ref="H1:L1"/>
  </mergeCells>
  <conditionalFormatting sqref="B18">
    <cfRule type="expression" dxfId="18" priority="2">
      <formula>IF(B17=1,B18=0)</formula>
    </cfRule>
  </conditionalFormatting>
  <conditionalFormatting sqref="B17">
    <cfRule type="expression" dxfId="17" priority="1">
      <formula>IF(B18=1,B17=0)</formula>
    </cfRule>
  </conditionalFormatting>
  <dataValidations count="5">
    <dataValidation type="list" allowBlank="1" showInputMessage="1" showErrorMessage="1" sqref="A3 A84">
      <formula1>Currency</formula1>
    </dataValidation>
    <dataValidation type="list" allowBlank="1" showInputMessage="1" showErrorMessage="1" sqref="D87:D96">
      <formula1>confidence</formula1>
    </dataValidation>
    <dataValidation type="whole" operator="equal" allowBlank="1" showInputMessage="1" showErrorMessage="1" error="Only 1 can be entered if applicable" promptTitle="Enter 1 for selection" sqref="B14:B15 B17:B18 B20:B21 B23:B24 B31:B33 B35:B37 B39:B41 B52:B54 B56:B58 B60:B69 B152:B153 B71:B75 B100:C106 B77:B82 B110:B115 B146:B147 B149:B150 C110:C114 B138:B142">
      <formula1>1</formula1>
    </dataValidation>
    <dataValidation type="list" allowBlank="1" showInputMessage="1" showErrorMessage="1" sqref="A4 A85 A118 A128">
      <formula1>values</formula1>
    </dataValidation>
    <dataValidation type="list" showErrorMessage="1" error="Only values from the list can be accepted" promptTitle="Note:" prompt="Please click on the down arrow on the right side of the cell and select a value from the list below" sqref="E1">
      <formula1>Countries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1">
              <controlPr defaultSize="0" autoLine="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1" r:id="rId5" name="Drop Down 11">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2" r:id="rId6" name="Drop Down 12">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3" r:id="rId7" name="Drop Down 13">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6" r:id="rId8" name="Drop Down 16">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7" r:id="rId9" name="Drop Down 17">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8" r:id="rId10" name="Drop Down 18">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59" r:id="rId11" name="Drop Down 19">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60" r:id="rId12" name="Drop Down 20">
              <controlPr defaultSize="0" autoFill="0" autoPict="0">
                <anchor moveWithCells="1">
                  <from>
                    <xdr:col>7</xdr:col>
                    <xdr:colOff>19050</xdr:colOff>
                    <xdr:row>2</xdr:row>
                    <xdr:rowOff>114300</xdr:rowOff>
                  </from>
                  <to>
                    <xdr:col>8</xdr:col>
                    <xdr:colOff>9525</xdr:colOff>
                    <xdr:row>3</xdr:row>
                    <xdr:rowOff>85725</xdr:rowOff>
                  </to>
                </anchor>
              </controlPr>
            </control>
          </mc:Choice>
        </mc:AlternateContent>
        <mc:AlternateContent xmlns:mc="http://schemas.openxmlformats.org/markup-compatibility/2006">
          <mc:Choice Requires="x14">
            <control shapeId="10261" r:id="rId13" name="Drop Down 21">
              <controlPr defaultSize="0" autoFill="0" autoPict="0">
                <anchor moveWithCells="1">
                  <from>
                    <xdr:col>7</xdr:col>
                    <xdr:colOff>285750</xdr:colOff>
                    <xdr:row>2</xdr:row>
                    <xdr:rowOff>114300</xdr:rowOff>
                  </from>
                  <to>
                    <xdr:col>8</xdr:col>
                    <xdr:colOff>304800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1:G153"/>
  <sheetViews>
    <sheetView zoomScaleNormal="100" workbookViewId="0">
      <selection activeCell="B15" sqref="B15"/>
    </sheetView>
  </sheetViews>
  <sheetFormatPr defaultRowHeight="15" x14ac:dyDescent="0.25"/>
  <cols>
    <col min="1" max="1" width="36" customWidth="1"/>
    <col min="3" max="3" width="14.5703125" customWidth="1"/>
    <col min="4" max="4" width="14.85546875" customWidth="1"/>
    <col min="5" max="5" width="14.28515625" customWidth="1"/>
    <col min="9" max="9" width="11.140625" bestFit="1" customWidth="1"/>
    <col min="10" max="10" width="7.140625" customWidth="1"/>
  </cols>
  <sheetData>
    <row r="11" spans="1:2" ht="14.45" x14ac:dyDescent="0.35">
      <c r="A11" t="s">
        <v>1122</v>
      </c>
      <c r="B11" s="87">
        <f>Menu!B2</f>
        <v>2</v>
      </c>
    </row>
    <row r="12" spans="1:2" ht="14.45" x14ac:dyDescent="0.35">
      <c r="A12" s="3" t="s">
        <v>8</v>
      </c>
      <c r="B12" s="2"/>
    </row>
    <row r="13" spans="1:2" ht="14.45" x14ac:dyDescent="0.35">
      <c r="A13" s="7" t="s">
        <v>9</v>
      </c>
      <c r="B13" s="86">
        <f>SUM(B14:B15)</f>
        <v>0</v>
      </c>
    </row>
    <row r="14" spans="1:2" ht="14.45" x14ac:dyDescent="0.35">
      <c r="A14" s="63" t="s">
        <v>10</v>
      </c>
      <c r="B14" s="64">
        <f>SUM(Suriname:Uruguay!B14)</f>
        <v>0</v>
      </c>
    </row>
    <row r="15" spans="1:2" ht="14.45" x14ac:dyDescent="0.35">
      <c r="A15" s="63" t="s">
        <v>11</v>
      </c>
      <c r="B15" s="64">
        <f>SUM(Suriname:Uruguay!B15)</f>
        <v>0</v>
      </c>
    </row>
    <row r="16" spans="1:2" ht="14.45" x14ac:dyDescent="0.35">
      <c r="A16" s="65" t="s">
        <v>12</v>
      </c>
      <c r="B16" s="86">
        <f>SUM(B17:B18)</f>
        <v>0</v>
      </c>
    </row>
    <row r="17" spans="1:7" ht="14.45" x14ac:dyDescent="0.35">
      <c r="A17" s="66" t="s">
        <v>236</v>
      </c>
      <c r="B17" s="64">
        <f>SUM(Suriname:Uruguay!B17)</f>
        <v>0</v>
      </c>
    </row>
    <row r="18" spans="1:7" ht="14.45" x14ac:dyDescent="0.35">
      <c r="A18" s="66" t="s">
        <v>237</v>
      </c>
      <c r="B18" s="64">
        <f>SUM(Suriname:Uruguay!B18)</f>
        <v>0</v>
      </c>
    </row>
    <row r="19" spans="1:7" ht="14.45" x14ac:dyDescent="0.35">
      <c r="A19" s="65" t="s">
        <v>12</v>
      </c>
      <c r="B19" s="86">
        <f>SUM(B20:B21)</f>
        <v>0</v>
      </c>
    </row>
    <row r="20" spans="1:7" ht="14.45" x14ac:dyDescent="0.35">
      <c r="A20" s="63" t="s">
        <v>13</v>
      </c>
      <c r="B20" s="64">
        <f>SUM(Suriname:Uruguay!B20)</f>
        <v>0</v>
      </c>
    </row>
    <row r="21" spans="1:7" ht="14.45" x14ac:dyDescent="0.35">
      <c r="A21" s="63" t="s">
        <v>14</v>
      </c>
      <c r="B21" s="64">
        <f>SUM(Suriname:Uruguay!B21)</f>
        <v>0</v>
      </c>
    </row>
    <row r="22" spans="1:7" ht="14.45" x14ac:dyDescent="0.35">
      <c r="A22" s="65" t="s">
        <v>15</v>
      </c>
      <c r="B22" s="86">
        <f>SUM(B23:B24)</f>
        <v>0</v>
      </c>
    </row>
    <row r="23" spans="1:7" ht="14.45" x14ac:dyDescent="0.35">
      <c r="A23" s="63" t="s">
        <v>13</v>
      </c>
      <c r="B23" s="64">
        <f>SUM(Suriname:Uruguay!B23)</f>
        <v>0</v>
      </c>
    </row>
    <row r="24" spans="1:7" ht="14.45" x14ac:dyDescent="0.35">
      <c r="A24" s="63" t="s">
        <v>14</v>
      </c>
      <c r="B24" s="64">
        <f>SUM(Suriname:Uruguay!B24)</f>
        <v>0</v>
      </c>
    </row>
    <row r="25" spans="1:7" ht="14.45" x14ac:dyDescent="0.35">
      <c r="A25" s="65" t="s">
        <v>16</v>
      </c>
      <c r="B25" s="64"/>
    </row>
    <row r="26" spans="1:7" ht="14.45" x14ac:dyDescent="0.35">
      <c r="A26" s="3" t="s">
        <v>17</v>
      </c>
      <c r="B26" s="85"/>
    </row>
    <row r="27" spans="1:7" thickBot="1" x14ac:dyDescent="0.4">
      <c r="A27" s="7" t="s">
        <v>18</v>
      </c>
      <c r="B27" s="2"/>
    </row>
    <row r="28" spans="1:7" thickBot="1" x14ac:dyDescent="0.4">
      <c r="A28" s="43"/>
      <c r="B28" s="2"/>
    </row>
    <row r="29" spans="1:7" ht="14.45" x14ac:dyDescent="0.35">
      <c r="A29" s="7" t="s">
        <v>19</v>
      </c>
      <c r="B29" s="2"/>
      <c r="C29" s="84" t="s">
        <v>1121</v>
      </c>
      <c r="D29" s="84">
        <v>2011</v>
      </c>
      <c r="E29" s="84">
        <v>2012</v>
      </c>
      <c r="F29" s="84">
        <v>2013</v>
      </c>
      <c r="G29" s="84">
        <v>2014</v>
      </c>
    </row>
    <row r="30" spans="1:7" ht="14.45" x14ac:dyDescent="0.35">
      <c r="A30" s="7" t="s">
        <v>238</v>
      </c>
      <c r="B30" s="2"/>
      <c r="C30" s="84" t="s">
        <v>1120</v>
      </c>
      <c r="D30" s="83" t="e">
        <f ca="1">Menu!I3/Menu!$H$3</f>
        <v>#REF!</v>
      </c>
      <c r="E30" s="83" t="e">
        <f ca="1">Menu!J3/Menu!$H$3</f>
        <v>#REF!</v>
      </c>
      <c r="F30" s="83" t="e">
        <f ca="1">Menu!K3/Menu!$H$3</f>
        <v>#REF!</v>
      </c>
      <c r="G30" s="83" t="e">
        <f ca="1">Menu!L3/Menu!$H$3</f>
        <v>#REF!</v>
      </c>
    </row>
    <row r="31" spans="1:7" ht="14.45" x14ac:dyDescent="0.35">
      <c r="A31" s="2" t="s">
        <v>239</v>
      </c>
      <c r="B31" s="2"/>
      <c r="C31" s="84" t="s">
        <v>1119</v>
      </c>
      <c r="D31" s="83" t="e">
        <f ca="1">Menu!O3</f>
        <v>#DIV/0!</v>
      </c>
      <c r="E31" s="83" t="e">
        <f ca="1">Menu!P3</f>
        <v>#DIV/0!</v>
      </c>
      <c r="F31" s="83" t="e">
        <f ca="1">Menu!Q3</f>
        <v>#DIV/0!</v>
      </c>
      <c r="G31" s="83" t="e">
        <f ca="1">Menu!R3</f>
        <v>#DIV/0!</v>
      </c>
    </row>
    <row r="32" spans="1:7" ht="14.45" x14ac:dyDescent="0.35">
      <c r="A32" s="2" t="s">
        <v>32</v>
      </c>
      <c r="B32" s="2"/>
    </row>
    <row r="33" spans="1:2" ht="14.45" x14ac:dyDescent="0.35">
      <c r="A33" s="2" t="s">
        <v>240</v>
      </c>
      <c r="B33" s="2"/>
    </row>
    <row r="34" spans="1:2" ht="14.45" x14ac:dyDescent="0.35">
      <c r="A34" s="7" t="s">
        <v>241</v>
      </c>
      <c r="B34" s="2"/>
    </row>
    <row r="35" spans="1:2" ht="14.45" x14ac:dyDescent="0.35">
      <c r="A35" s="2" t="s">
        <v>239</v>
      </c>
      <c r="B35" s="2"/>
    </row>
    <row r="36" spans="1:2" ht="14.45" x14ac:dyDescent="0.35">
      <c r="A36" s="2" t="s">
        <v>32</v>
      </c>
      <c r="B36" s="2"/>
    </row>
    <row r="37" spans="1:2" ht="14.45" x14ac:dyDescent="0.35">
      <c r="A37" s="2" t="s">
        <v>240</v>
      </c>
      <c r="B37" s="2"/>
    </row>
    <row r="38" spans="1:2" ht="14.45" x14ac:dyDescent="0.35">
      <c r="A38" s="7" t="s">
        <v>242</v>
      </c>
      <c r="B38" s="2"/>
    </row>
    <row r="39" spans="1:2" ht="14.45" x14ac:dyDescent="0.35">
      <c r="A39" s="2" t="s">
        <v>239</v>
      </c>
      <c r="B39" s="2"/>
    </row>
    <row r="40" spans="1:2" ht="14.45" x14ac:dyDescent="0.35">
      <c r="A40" s="2" t="s">
        <v>32</v>
      </c>
      <c r="B40" s="2"/>
    </row>
    <row r="41" spans="1:2" ht="14.45" x14ac:dyDescent="0.35">
      <c r="A41" s="2" t="s">
        <v>240</v>
      </c>
      <c r="B41" s="2"/>
    </row>
    <row r="42" spans="1:2" ht="14.45" x14ac:dyDescent="0.35">
      <c r="A42" s="7" t="s">
        <v>20</v>
      </c>
      <c r="B42" s="2"/>
    </row>
    <row r="43" spans="1:2" ht="14.45" x14ac:dyDescent="0.35">
      <c r="A43" s="2"/>
    </row>
    <row r="44" spans="1:2" ht="14.45" x14ac:dyDescent="0.35">
      <c r="A44" s="2"/>
    </row>
    <row r="45" spans="1:2" ht="14.45" x14ac:dyDescent="0.35">
      <c r="A45" s="2"/>
    </row>
    <row r="46" spans="1:2" ht="14.45" x14ac:dyDescent="0.35">
      <c r="A46" s="2"/>
    </row>
    <row r="47" spans="1:2" ht="14.45" x14ac:dyDescent="0.35">
      <c r="A47" s="2"/>
    </row>
    <row r="48" spans="1:2" ht="14.45" x14ac:dyDescent="0.35">
      <c r="A48" s="2"/>
    </row>
    <row r="49" spans="1:2" ht="14.45" x14ac:dyDescent="0.35">
      <c r="A49" s="7" t="s">
        <v>8</v>
      </c>
      <c r="B49" s="2"/>
    </row>
    <row r="50" spans="1:2" x14ac:dyDescent="0.25">
      <c r="A50" s="3" t="s">
        <v>19</v>
      </c>
      <c r="B50" s="2"/>
    </row>
    <row r="51" spans="1:2" x14ac:dyDescent="0.25">
      <c r="A51" s="7" t="s">
        <v>238</v>
      </c>
      <c r="B51" s="2"/>
    </row>
    <row r="52" spans="1:2" x14ac:dyDescent="0.25">
      <c r="A52" s="2" t="s">
        <v>239</v>
      </c>
      <c r="B52" s="2"/>
    </row>
    <row r="53" spans="1:2" x14ac:dyDescent="0.25">
      <c r="A53" s="2" t="s">
        <v>32</v>
      </c>
      <c r="B53" s="2"/>
    </row>
    <row r="54" spans="1:2" x14ac:dyDescent="0.25">
      <c r="A54" s="2" t="s">
        <v>240</v>
      </c>
      <c r="B54" s="2"/>
    </row>
    <row r="55" spans="1:2" x14ac:dyDescent="0.25">
      <c r="A55" s="7" t="s">
        <v>241</v>
      </c>
      <c r="B55" s="2"/>
    </row>
    <row r="56" spans="1:2" x14ac:dyDescent="0.25">
      <c r="A56" s="2" t="s">
        <v>239</v>
      </c>
      <c r="B56" s="2"/>
    </row>
    <row r="57" spans="1:2" x14ac:dyDescent="0.25">
      <c r="A57" s="2" t="s">
        <v>32</v>
      </c>
      <c r="B57" s="2"/>
    </row>
    <row r="58" spans="1:2" x14ac:dyDescent="0.25">
      <c r="A58" s="2" t="s">
        <v>240</v>
      </c>
      <c r="B58" s="2"/>
    </row>
    <row r="59" spans="1:2" x14ac:dyDescent="0.25">
      <c r="A59" s="7" t="s">
        <v>242</v>
      </c>
      <c r="B59" s="2"/>
    </row>
    <row r="60" spans="1:2" x14ac:dyDescent="0.25">
      <c r="A60" s="2" t="s">
        <v>239</v>
      </c>
      <c r="B60" s="2"/>
    </row>
    <row r="61" spans="1:2" x14ac:dyDescent="0.25">
      <c r="A61" s="2" t="s">
        <v>32</v>
      </c>
      <c r="B61" s="2"/>
    </row>
    <row r="62" spans="1:2" x14ac:dyDescent="0.25">
      <c r="A62" s="2" t="s">
        <v>240</v>
      </c>
      <c r="B62" s="2"/>
    </row>
    <row r="63" spans="1:2" x14ac:dyDescent="0.25">
      <c r="A63" s="11" t="s">
        <v>931</v>
      </c>
      <c r="B63" s="2"/>
    </row>
    <row r="64" spans="1:2" x14ac:dyDescent="0.25">
      <c r="A64" s="2" t="s">
        <v>39</v>
      </c>
      <c r="B64" s="64">
        <f>SUM(Suriname:Uruguay!B64)</f>
        <v>1</v>
      </c>
    </row>
    <row r="65" spans="1:5" ht="29.1" customHeight="1" x14ac:dyDescent="0.25">
      <c r="A65" s="2" t="s">
        <v>932</v>
      </c>
      <c r="B65" s="64">
        <f>SUM(Suriname:Uruguay!B65)</f>
        <v>0</v>
      </c>
      <c r="C65" s="96" t="s">
        <v>1118</v>
      </c>
      <c r="D65" s="97" t="s">
        <v>1117</v>
      </c>
      <c r="E65" s="97" t="s">
        <v>1116</v>
      </c>
    </row>
    <row r="66" spans="1:5" x14ac:dyDescent="0.25">
      <c r="A66" s="2" t="s">
        <v>262</v>
      </c>
      <c r="B66" s="64">
        <f>SUM(Suriname:Uruguay!B66)</f>
        <v>0</v>
      </c>
      <c r="C66" s="98">
        <f>SUM(B64:B66)/Menu!$B$2</f>
        <v>0.5</v>
      </c>
      <c r="D66" s="98">
        <f>SUM(B65:B66)/SUM(B64:B66)</f>
        <v>0</v>
      </c>
      <c r="E66" s="98">
        <f>SUM(B65:B66)/Menu!$B$2</f>
        <v>0</v>
      </c>
    </row>
    <row r="67" spans="1:5" ht="15.75" thickBot="1" x14ac:dyDescent="0.3">
      <c r="A67" s="11" t="s">
        <v>933</v>
      </c>
      <c r="B67" s="2"/>
    </row>
    <row r="68" spans="1:5" ht="15.75" thickBot="1" x14ac:dyDescent="0.3">
      <c r="A68" s="11"/>
      <c r="B68" s="57"/>
    </row>
    <row r="69" spans="1:5" x14ac:dyDescent="0.25">
      <c r="A69" s="11"/>
      <c r="B69" s="2"/>
    </row>
    <row r="70" spans="1:5" x14ac:dyDescent="0.25">
      <c r="A70" s="11" t="s">
        <v>21</v>
      </c>
      <c r="B70" s="11"/>
    </row>
    <row r="71" spans="1:5" x14ac:dyDescent="0.25">
      <c r="A71" s="2" t="s">
        <v>22</v>
      </c>
      <c r="B71" s="64">
        <f>SUM(Suriname:Uruguay!B71)</f>
        <v>0</v>
      </c>
    </row>
    <row r="72" spans="1:5" ht="32.450000000000003" customHeight="1" x14ac:dyDescent="0.25">
      <c r="A72" s="2" t="s">
        <v>23</v>
      </c>
      <c r="B72" s="64">
        <f>SUM(Suriname:Uruguay!B72)</f>
        <v>2</v>
      </c>
      <c r="C72" s="96" t="s">
        <v>1118</v>
      </c>
      <c r="D72" s="97" t="s">
        <v>1117</v>
      </c>
      <c r="E72" s="97" t="s">
        <v>1116</v>
      </c>
    </row>
    <row r="73" spans="1:5" ht="15.75" thickBot="1" x14ac:dyDescent="0.3">
      <c r="A73" s="2" t="s">
        <v>24</v>
      </c>
      <c r="B73" s="64">
        <f>SUM(Suriname:Uruguay!B73)</f>
        <v>2</v>
      </c>
      <c r="C73" s="98">
        <f>SUM(B71:B73)/Menu!$B$2</f>
        <v>2</v>
      </c>
      <c r="D73" s="98">
        <f>SUM(B72:B73)/SUM(B71:B73)</f>
        <v>1</v>
      </c>
      <c r="E73" s="98">
        <f>SUM(B72:B73)/Menu!$B$2</f>
        <v>2</v>
      </c>
    </row>
    <row r="74" spans="1:5" ht="15.75" thickBot="1" x14ac:dyDescent="0.3">
      <c r="A74" s="11" t="s">
        <v>933</v>
      </c>
      <c r="B74" s="57"/>
    </row>
    <row r="75" spans="1:5" x14ac:dyDescent="0.25">
      <c r="A75" s="11"/>
      <c r="B75" s="2"/>
    </row>
    <row r="76" spans="1:5" x14ac:dyDescent="0.25">
      <c r="A76" s="12" t="s">
        <v>25</v>
      </c>
      <c r="B76" s="2"/>
    </row>
    <row r="77" spans="1:5" x14ac:dyDescent="0.25">
      <c r="A77" s="5" t="s">
        <v>26</v>
      </c>
      <c r="B77" s="64">
        <f>SUM(Suriname:Uruguay!B77)</f>
        <v>0</v>
      </c>
    </row>
    <row r="78" spans="1:5" x14ac:dyDescent="0.25">
      <c r="A78" s="2" t="s">
        <v>22</v>
      </c>
      <c r="B78" s="64">
        <f>SUM(Suriname:Uruguay!B78)</f>
        <v>0</v>
      </c>
    </row>
    <row r="79" spans="1:5" ht="26.1" customHeight="1" x14ac:dyDescent="0.25">
      <c r="A79" s="2" t="s">
        <v>27</v>
      </c>
      <c r="B79" s="64">
        <f>SUM(Suriname:Uruguay!B79)</f>
        <v>2</v>
      </c>
      <c r="C79" s="96" t="s">
        <v>1118</v>
      </c>
      <c r="D79" s="97" t="s">
        <v>1117</v>
      </c>
      <c r="E79" s="97" t="s">
        <v>1116</v>
      </c>
    </row>
    <row r="80" spans="1:5" x14ac:dyDescent="0.25">
      <c r="A80" s="2" t="s">
        <v>28</v>
      </c>
      <c r="B80" s="64">
        <f>SUM(Suriname:Uruguay!B80)</f>
        <v>0</v>
      </c>
      <c r="C80" s="98">
        <f>SUM(B77:B80)/Menu!$B$2</f>
        <v>1</v>
      </c>
      <c r="D80" s="98">
        <f>SUM(B79:B80)/SUM(B77:B80)</f>
        <v>1</v>
      </c>
      <c r="E80" s="98">
        <f>SUM(B79:B80)/Menu!$B$2</f>
        <v>1</v>
      </c>
    </row>
    <row r="81" spans="1:2" x14ac:dyDescent="0.25">
      <c r="A81" s="11" t="s">
        <v>933</v>
      </c>
      <c r="B81" s="2"/>
    </row>
    <row r="82" spans="1:2" ht="15.75" x14ac:dyDescent="0.25">
      <c r="A82" s="11"/>
      <c r="B82" s="80"/>
    </row>
    <row r="83" spans="1:2" x14ac:dyDescent="0.25">
      <c r="A83" s="7" t="s">
        <v>29</v>
      </c>
      <c r="B83" s="2"/>
    </row>
    <row r="84" spans="1:2" x14ac:dyDescent="0.25">
      <c r="A84" s="53" t="s">
        <v>927</v>
      </c>
      <c r="B84" s="2"/>
    </row>
    <row r="85" spans="1:2" x14ac:dyDescent="0.25">
      <c r="A85" s="46" t="s">
        <v>922</v>
      </c>
    </row>
    <row r="86" spans="1:2" x14ac:dyDescent="0.25">
      <c r="A86" s="2"/>
    </row>
    <row r="87" spans="1:2" x14ac:dyDescent="0.25">
      <c r="A87" s="2"/>
    </row>
    <row r="88" spans="1:2" x14ac:dyDescent="0.25">
      <c r="A88" s="2"/>
    </row>
    <row r="89" spans="1:2" x14ac:dyDescent="0.25">
      <c r="A89" s="2"/>
    </row>
    <row r="90" spans="1:2" x14ac:dyDescent="0.25">
      <c r="A90" s="2"/>
    </row>
    <row r="91" spans="1:2" x14ac:dyDescent="0.25">
      <c r="A91" s="2"/>
    </row>
    <row r="92" spans="1:2" x14ac:dyDescent="0.25">
      <c r="A92" s="2"/>
    </row>
    <row r="93" spans="1:2" x14ac:dyDescent="0.25">
      <c r="A93" s="2"/>
    </row>
    <row r="94" spans="1:2" x14ac:dyDescent="0.25">
      <c r="A94" s="2"/>
    </row>
    <row r="95" spans="1:2" x14ac:dyDescent="0.25">
      <c r="A95" s="2"/>
    </row>
    <row r="96" spans="1:2" x14ac:dyDescent="0.25">
      <c r="A96" s="2"/>
    </row>
    <row r="97" spans="1:5" x14ac:dyDescent="0.25">
      <c r="A97" s="2"/>
    </row>
    <row r="98" spans="1:5" x14ac:dyDescent="0.25">
      <c r="A98" s="7" t="s">
        <v>34</v>
      </c>
      <c r="B98" s="2"/>
    </row>
    <row r="99" spans="1:5" ht="89.25" x14ac:dyDescent="0.25">
      <c r="A99" s="1" t="s">
        <v>35</v>
      </c>
      <c r="B99" s="1" t="s">
        <v>36</v>
      </c>
      <c r="C99" s="1" t="s">
        <v>37</v>
      </c>
    </row>
    <row r="100" spans="1:5" x14ac:dyDescent="0.25">
      <c r="A100" s="16" t="s">
        <v>38</v>
      </c>
      <c r="B100" s="64">
        <f>SUM(Suriname:Uruguay!B100)</f>
        <v>1</v>
      </c>
      <c r="C100" s="64">
        <f>SUM(Suriname:Uruguay!C100)</f>
        <v>1</v>
      </c>
    </row>
    <row r="101" spans="1:5" x14ac:dyDescent="0.25">
      <c r="A101" s="16" t="s">
        <v>40</v>
      </c>
      <c r="B101" s="64">
        <f>SUM(Suriname:Uruguay!B101)</f>
        <v>0</v>
      </c>
      <c r="C101" s="64">
        <f>SUM(Suriname:Uruguay!C101)</f>
        <v>0</v>
      </c>
    </row>
    <row r="102" spans="1:5" x14ac:dyDescent="0.25">
      <c r="A102" s="16" t="s">
        <v>243</v>
      </c>
      <c r="B102" s="64">
        <f>SUM(Suriname:Uruguay!B102)</f>
        <v>0</v>
      </c>
      <c r="C102" s="64">
        <f>SUM(Suriname:Uruguay!C102)</f>
        <v>0</v>
      </c>
    </row>
    <row r="103" spans="1:5" x14ac:dyDescent="0.25">
      <c r="A103" s="16" t="s">
        <v>244</v>
      </c>
      <c r="B103" s="64">
        <f>SUM(Suriname:Uruguay!B103)</f>
        <v>1</v>
      </c>
      <c r="C103" s="64">
        <f>SUM(Suriname:Uruguay!C103)</f>
        <v>1</v>
      </c>
    </row>
    <row r="104" spans="1:5" x14ac:dyDescent="0.25">
      <c r="A104" s="16" t="s">
        <v>245</v>
      </c>
      <c r="B104" s="64">
        <f>SUM(Suriname:Uruguay!B104)</f>
        <v>0</v>
      </c>
      <c r="C104" s="64">
        <f>SUM(Suriname:Uruguay!C104)</f>
        <v>0</v>
      </c>
    </row>
    <row r="105" spans="1:5" x14ac:dyDescent="0.25">
      <c r="A105" s="16" t="s">
        <v>246</v>
      </c>
      <c r="B105" s="64">
        <f>SUM(Suriname:Uruguay!B105)</f>
        <v>0</v>
      </c>
      <c r="C105" s="64">
        <f>SUM(Suriname:Uruguay!C105)</f>
        <v>0</v>
      </c>
    </row>
    <row r="106" spans="1:5" ht="25.5" x14ac:dyDescent="0.25">
      <c r="A106" s="16" t="s">
        <v>247</v>
      </c>
      <c r="B106" s="64">
        <f>SUM(Suriname:Uruguay!B106)</f>
        <v>0</v>
      </c>
      <c r="C106" s="64">
        <f>SUM(Suriname:Uruguay!C106)</f>
        <v>0</v>
      </c>
    </row>
    <row r="107" spans="1:5" x14ac:dyDescent="0.25">
      <c r="A107" s="2"/>
      <c r="B107" s="2"/>
    </row>
    <row r="108" spans="1:5" x14ac:dyDescent="0.25">
      <c r="A108" s="7" t="s">
        <v>248</v>
      </c>
      <c r="B108" s="2"/>
    </row>
    <row r="109" spans="1:5" x14ac:dyDescent="0.25">
      <c r="A109" s="7" t="s">
        <v>249</v>
      </c>
      <c r="B109" s="2"/>
    </row>
    <row r="110" spans="1:5" x14ac:dyDescent="0.25">
      <c r="A110" s="16" t="s">
        <v>26</v>
      </c>
      <c r="B110" s="64">
        <f>SUM(Suriname:Uruguay!B110)</f>
        <v>0</v>
      </c>
    </row>
    <row r="111" spans="1:5" x14ac:dyDescent="0.25">
      <c r="A111" s="16" t="s">
        <v>22</v>
      </c>
      <c r="B111" s="64">
        <f>SUM(Suriname:Uruguay!B111)</f>
        <v>2</v>
      </c>
    </row>
    <row r="112" spans="1:5" ht="45" x14ac:dyDescent="0.25">
      <c r="A112" s="16" t="s">
        <v>27</v>
      </c>
      <c r="B112" s="64">
        <f>SUM(Suriname:Uruguay!B112)</f>
        <v>0</v>
      </c>
      <c r="C112" s="96" t="s">
        <v>1118</v>
      </c>
      <c r="D112" s="97" t="s">
        <v>1117</v>
      </c>
      <c r="E112" s="97" t="s">
        <v>1116</v>
      </c>
    </row>
    <row r="113" spans="1:5" x14ac:dyDescent="0.25">
      <c r="A113" s="16" t="s">
        <v>28</v>
      </c>
      <c r="B113" s="64">
        <f>SUM(Suriname:Uruguay!B113)</f>
        <v>0</v>
      </c>
      <c r="C113" s="98">
        <f>SUM(B110:B113)/Menu!$B$2</f>
        <v>1</v>
      </c>
      <c r="D113" s="98">
        <f>SUM(B112:B113)/SUM(B110:B113)</f>
        <v>0</v>
      </c>
      <c r="E113" s="98">
        <f>SUM(B112:B113)/Menu!$B$2</f>
        <v>0</v>
      </c>
    </row>
    <row r="114" spans="1:5" ht="15.75" thickBot="1" x14ac:dyDescent="0.3">
      <c r="A114" s="11" t="s">
        <v>933</v>
      </c>
      <c r="B114" s="2"/>
    </row>
    <row r="115" spans="1:5" ht="15.75" thickBot="1" x14ac:dyDescent="0.3">
      <c r="A115" s="11"/>
      <c r="B115" s="57"/>
    </row>
    <row r="116" spans="1:5" x14ac:dyDescent="0.25">
      <c r="A116" s="7" t="s">
        <v>250</v>
      </c>
      <c r="B116" s="2" t="s">
        <v>1109</v>
      </c>
    </row>
    <row r="117" spans="1:5" x14ac:dyDescent="0.25">
      <c r="A117" s="16" t="str">
        <f>A84</f>
        <v>Local currency</v>
      </c>
      <c r="B117" s="13" t="s">
        <v>1</v>
      </c>
    </row>
    <row r="118" spans="1:5" x14ac:dyDescent="0.25">
      <c r="A118" s="46" t="s">
        <v>920</v>
      </c>
      <c r="B118" s="14">
        <v>2014</v>
      </c>
    </row>
    <row r="119" spans="1:5" x14ac:dyDescent="0.25">
      <c r="A119" s="2"/>
      <c r="B119" s="14">
        <v>2015</v>
      </c>
    </row>
    <row r="120" spans="1:5" x14ac:dyDescent="0.25">
      <c r="A120" s="2"/>
      <c r="B120" s="14">
        <v>2016</v>
      </c>
    </row>
    <row r="121" spans="1:5" x14ac:dyDescent="0.25">
      <c r="A121" s="2"/>
      <c r="B121" s="14">
        <v>2017</v>
      </c>
    </row>
    <row r="122" spans="1:5" x14ac:dyDescent="0.25">
      <c r="A122" s="2"/>
      <c r="B122" s="14">
        <v>2018</v>
      </c>
    </row>
    <row r="123" spans="1:5" x14ac:dyDescent="0.25">
      <c r="A123" s="2"/>
      <c r="B123" s="14">
        <v>2019</v>
      </c>
    </row>
    <row r="124" spans="1:5" x14ac:dyDescent="0.25">
      <c r="A124" s="2"/>
      <c r="B124" s="14">
        <v>2020</v>
      </c>
    </row>
    <row r="125" spans="1:5" x14ac:dyDescent="0.25">
      <c r="A125" s="2"/>
      <c r="B125" s="2"/>
    </row>
    <row r="126" spans="1:5" x14ac:dyDescent="0.25">
      <c r="A126" s="7" t="s">
        <v>255</v>
      </c>
      <c r="B126" s="2"/>
    </row>
    <row r="127" spans="1:5" x14ac:dyDescent="0.25">
      <c r="A127" s="14" t="str">
        <f>A84</f>
        <v>Local currency</v>
      </c>
      <c r="B127" s="2"/>
    </row>
    <row r="128" spans="1:5" x14ac:dyDescent="0.25">
      <c r="A128" s="46" t="s">
        <v>1108</v>
      </c>
      <c r="B128" s="2" t="s">
        <v>1109</v>
      </c>
    </row>
    <row r="129" spans="1:5" x14ac:dyDescent="0.25">
      <c r="A129" s="17"/>
      <c r="B129" s="18">
        <v>2014</v>
      </c>
    </row>
    <row r="130" spans="1:5" x14ac:dyDescent="0.25">
      <c r="A130" s="14" t="s">
        <v>256</v>
      </c>
      <c r="B130" s="14">
        <v>0</v>
      </c>
    </row>
    <row r="131" spans="1:5" x14ac:dyDescent="0.25">
      <c r="A131" s="14" t="s">
        <v>257</v>
      </c>
      <c r="B131" s="14">
        <v>0</v>
      </c>
    </row>
    <row r="132" spans="1:5" x14ac:dyDescent="0.25">
      <c r="A132" s="14"/>
      <c r="B132" s="14">
        <v>0</v>
      </c>
    </row>
    <row r="133" spans="1:5" x14ac:dyDescent="0.25">
      <c r="A133" s="14" t="s">
        <v>258</v>
      </c>
      <c r="B133" s="14">
        <v>0</v>
      </c>
    </row>
    <row r="134" spans="1:5" x14ac:dyDescent="0.25">
      <c r="A134" s="14"/>
      <c r="B134" s="14">
        <v>0</v>
      </c>
    </row>
    <row r="135" spans="1:5" x14ac:dyDescent="0.25">
      <c r="A135" s="14" t="s">
        <v>259</v>
      </c>
      <c r="B135" s="14">
        <v>0</v>
      </c>
    </row>
    <row r="136" spans="1:5" x14ac:dyDescent="0.25">
      <c r="A136" s="2"/>
      <c r="B136" s="2"/>
    </row>
    <row r="137" spans="1:5" x14ac:dyDescent="0.25">
      <c r="A137" s="7" t="s">
        <v>260</v>
      </c>
      <c r="B137" s="2"/>
    </row>
    <row r="138" spans="1:5" x14ac:dyDescent="0.25">
      <c r="A138" s="16" t="s">
        <v>39</v>
      </c>
      <c r="B138" s="64">
        <f>SUM(Suriname:Uruguay!B138)</f>
        <v>0</v>
      </c>
    </row>
    <row r="139" spans="1:5" ht="45" x14ac:dyDescent="0.25">
      <c r="A139" s="16" t="s">
        <v>261</v>
      </c>
      <c r="B139" s="64">
        <f>SUM(Suriname:Uruguay!B139)</f>
        <v>1</v>
      </c>
      <c r="C139" s="96" t="s">
        <v>1118</v>
      </c>
      <c r="D139" s="97" t="s">
        <v>1117</v>
      </c>
      <c r="E139" s="97" t="s">
        <v>1116</v>
      </c>
    </row>
    <row r="140" spans="1:5" x14ac:dyDescent="0.25">
      <c r="A140" s="16" t="s">
        <v>262</v>
      </c>
      <c r="B140" s="64">
        <f>SUM(Suriname:Uruguay!B140)</f>
        <v>0</v>
      </c>
      <c r="C140" s="98">
        <f>SUM(B138:B140)/Menu!$B$2</f>
        <v>0.5</v>
      </c>
      <c r="D140" s="98">
        <f>SUM(B139:B140)/SUM(B138:B140)</f>
        <v>1</v>
      </c>
      <c r="E140" s="98">
        <f>SUM(B139:B140)/Menu!$B$2</f>
        <v>0.5</v>
      </c>
    </row>
    <row r="141" spans="1:5" ht="15.75" thickBot="1" x14ac:dyDescent="0.3">
      <c r="A141" s="11" t="s">
        <v>933</v>
      </c>
      <c r="B141" s="2"/>
    </row>
    <row r="142" spans="1:5" ht="15.75" thickBot="1" x14ac:dyDescent="0.3">
      <c r="A142" s="11"/>
      <c r="B142" s="57"/>
    </row>
    <row r="143" spans="1:5" x14ac:dyDescent="0.25">
      <c r="A143" s="7" t="s">
        <v>263</v>
      </c>
      <c r="B143" s="2"/>
    </row>
    <row r="144" spans="1:5" x14ac:dyDescent="0.25">
      <c r="A144" s="3" t="s">
        <v>264</v>
      </c>
      <c r="B144" s="2"/>
    </row>
    <row r="145" spans="1:5" x14ac:dyDescent="0.25">
      <c r="A145" s="3" t="s">
        <v>265</v>
      </c>
      <c r="B145" s="2"/>
    </row>
    <row r="146" spans="1:5" ht="45" x14ac:dyDescent="0.25">
      <c r="A146" s="3" t="s">
        <v>41</v>
      </c>
      <c r="B146" s="64">
        <f>SUM(Suriname:Uruguay!B146)</f>
        <v>1</v>
      </c>
      <c r="C146" s="96" t="s">
        <v>1118</v>
      </c>
      <c r="D146" s="97" t="s">
        <v>1117</v>
      </c>
      <c r="E146" s="97" t="s">
        <v>1116</v>
      </c>
    </row>
    <row r="147" spans="1:5" x14ac:dyDescent="0.25">
      <c r="A147" s="3" t="s">
        <v>39</v>
      </c>
      <c r="B147" s="64">
        <f>SUM(Suriname:Uruguay!B147)</f>
        <v>1</v>
      </c>
      <c r="C147" s="98">
        <f>SUM(B145:B147)/Menu!$B$2</f>
        <v>1</v>
      </c>
      <c r="D147" s="98">
        <f>SUM(B146:B147)/SUM(B145:B147)</f>
        <v>1</v>
      </c>
      <c r="E147" s="98">
        <f>SUM(B146:B147)/Menu!$B$2</f>
        <v>1</v>
      </c>
    </row>
    <row r="148" spans="1:5" x14ac:dyDescent="0.25">
      <c r="A148" s="3" t="s">
        <v>266</v>
      </c>
      <c r="B148" s="2"/>
    </row>
    <row r="149" spans="1:5" x14ac:dyDescent="0.25">
      <c r="A149" s="3" t="s">
        <v>41</v>
      </c>
      <c r="B149" s="64">
        <f>SUM(Suriname:Uruguay!B149)</f>
        <v>1</v>
      </c>
    </row>
    <row r="150" spans="1:5" x14ac:dyDescent="0.25">
      <c r="A150" s="3" t="s">
        <v>39</v>
      </c>
      <c r="B150" s="64">
        <f>SUM(Suriname:Uruguay!B150)</f>
        <v>1</v>
      </c>
    </row>
    <row r="151" spans="1:5" x14ac:dyDescent="0.25">
      <c r="A151" s="3" t="s">
        <v>267</v>
      </c>
      <c r="B151" s="2"/>
    </row>
    <row r="152" spans="1:5" x14ac:dyDescent="0.25">
      <c r="A152" s="3" t="s">
        <v>41</v>
      </c>
      <c r="B152" s="64">
        <f>SUM(Suriname:Uruguay!B152)</f>
        <v>0</v>
      </c>
    </row>
    <row r="153" spans="1:5" x14ac:dyDescent="0.25">
      <c r="A153" s="3" t="s">
        <v>39</v>
      </c>
      <c r="B153" s="64">
        <f>SUM(Suriname:Uruguay!B153)</f>
        <v>2</v>
      </c>
    </row>
  </sheetData>
  <conditionalFormatting sqref="B13">
    <cfRule type="expression" dxfId="16" priority="8">
      <formula>IF(B12=1,B13=0)</formula>
    </cfRule>
  </conditionalFormatting>
  <conditionalFormatting sqref="B14:B18 B20:B21 B23:B24">
    <cfRule type="expression" dxfId="15" priority="9">
      <formula>IF(B13=1,B14=0)</formula>
    </cfRule>
  </conditionalFormatting>
  <conditionalFormatting sqref="B22">
    <cfRule type="expression" dxfId="14" priority="6">
      <formula>IF(B21=1,B22=0)</formula>
    </cfRule>
  </conditionalFormatting>
  <conditionalFormatting sqref="B19">
    <cfRule type="expression" dxfId="13" priority="7">
      <formula>IF(B18=1,B19=0)</formula>
    </cfRule>
  </conditionalFormatting>
  <conditionalFormatting sqref="B64:B66">
    <cfRule type="expression" dxfId="12" priority="5">
      <formula>IF(B63=1,B64=0)</formula>
    </cfRule>
  </conditionalFormatting>
  <conditionalFormatting sqref="B71:B73">
    <cfRule type="expression" dxfId="11" priority="4">
      <formula>IF(B70=1,B71=0)</formula>
    </cfRule>
  </conditionalFormatting>
  <conditionalFormatting sqref="B77:B80">
    <cfRule type="expression" dxfId="10" priority="3">
      <formula>IF(B76=1,B77=0)</formula>
    </cfRule>
  </conditionalFormatting>
  <conditionalFormatting sqref="B100:C106">
    <cfRule type="expression" dxfId="9" priority="2">
      <formula>IF(B99=1,B100=0)</formula>
    </cfRule>
  </conditionalFormatting>
  <dataValidations count="3">
    <dataValidation type="list" allowBlank="1" showInputMessage="1" showErrorMessage="1" sqref="A85 A118 A128">
      <formula1>values</formula1>
    </dataValidation>
    <dataValidation type="whole" operator="equal" allowBlank="1" showInputMessage="1" showErrorMessage="1" error="Only 1 can be entered if applicable" promptTitle="Enter 1 for selection" sqref="B60:B63 B31:B33 B74 B67:B69 B35:B37 B39:B41 B52:B54 B56:B58 B114:B115 B141:B142">
      <formula1>1</formula1>
    </dataValidation>
    <dataValidation type="list" allowBlank="1" showInputMessage="1" showErrorMessage="1" sqref="A84">
      <formula1>Currency</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AC31"/>
  <sheetViews>
    <sheetView zoomScale="117" workbookViewId="0">
      <pane xSplit="2" ySplit="3" topLeftCell="C4" activePane="bottomRight" state="frozen"/>
      <selection pane="topRight" activeCell="C1" sqref="C1"/>
      <selection pane="bottomLeft" activeCell="A4" sqref="A4"/>
      <selection pane="bottomRight" activeCell="B6" sqref="B6:B31"/>
    </sheetView>
  </sheetViews>
  <sheetFormatPr defaultColWidth="8.7109375" defaultRowHeight="15" x14ac:dyDescent="0.25"/>
  <cols>
    <col min="1" max="1" width="35.85546875" style="61" hidden="1" customWidth="1"/>
    <col min="2" max="2" width="12.85546875" style="61" bestFit="1" customWidth="1"/>
    <col min="3" max="22" width="14.85546875" style="61" customWidth="1"/>
    <col min="23" max="23" width="15.42578125" style="61" bestFit="1" customWidth="1"/>
    <col min="24" max="29" width="14.85546875" style="61" customWidth="1"/>
    <col min="30" max="16384" width="8.7109375" style="61"/>
  </cols>
  <sheetData>
    <row r="1" spans="1:29" x14ac:dyDescent="0.35">
      <c r="C1" s="106" t="s">
        <v>0</v>
      </c>
      <c r="D1" s="106"/>
      <c r="E1" s="106"/>
      <c r="F1" s="106"/>
      <c r="G1" s="106"/>
      <c r="H1" s="75"/>
      <c r="I1" s="72" t="s">
        <v>1098</v>
      </c>
      <c r="J1" s="73"/>
      <c r="K1" s="73"/>
      <c r="L1" s="73"/>
      <c r="M1" s="73"/>
      <c r="N1" s="73"/>
      <c r="O1" s="73"/>
      <c r="P1" s="73"/>
      <c r="Q1" s="73"/>
      <c r="R1" s="73"/>
      <c r="S1" s="107" t="s">
        <v>30</v>
      </c>
      <c r="T1" s="107"/>
      <c r="U1" s="107"/>
      <c r="V1" s="107"/>
      <c r="W1" s="107"/>
      <c r="X1" s="107"/>
      <c r="Y1" s="107"/>
      <c r="Z1" s="107"/>
      <c r="AA1" s="107"/>
      <c r="AB1" s="107"/>
    </row>
    <row r="2" spans="1:29" x14ac:dyDescent="0.35">
      <c r="A2" s="60" t="s">
        <v>934</v>
      </c>
      <c r="B2" s="88">
        <f>COUNTIF(B4:B200,"&lt;&gt;")</f>
        <v>2</v>
      </c>
      <c r="C2" s="94">
        <v>2006</v>
      </c>
      <c r="D2" s="94">
        <v>2007</v>
      </c>
      <c r="E2" s="94">
        <v>2008</v>
      </c>
      <c r="F2" s="94">
        <v>2009</v>
      </c>
      <c r="G2" s="94">
        <v>2010</v>
      </c>
      <c r="H2" s="76" t="s">
        <v>33</v>
      </c>
      <c r="I2" s="94">
        <v>2011</v>
      </c>
      <c r="J2" s="94">
        <v>2012</v>
      </c>
      <c r="K2" s="94">
        <v>2013</v>
      </c>
      <c r="L2" s="94">
        <v>2014</v>
      </c>
      <c r="M2" s="94">
        <v>2015</v>
      </c>
      <c r="N2" s="94"/>
      <c r="O2" s="76">
        <f>I2</f>
        <v>2011</v>
      </c>
      <c r="P2" s="76">
        <f t="shared" ref="P2:R2" si="0">J2</f>
        <v>2012</v>
      </c>
      <c r="Q2" s="76">
        <f t="shared" si="0"/>
        <v>2013</v>
      </c>
      <c r="R2" s="76">
        <f t="shared" si="0"/>
        <v>2014</v>
      </c>
      <c r="S2" s="95">
        <v>2006</v>
      </c>
      <c r="T2" s="95">
        <v>2007</v>
      </c>
      <c r="U2" s="95">
        <v>2008</v>
      </c>
      <c r="V2" s="95">
        <v>2009</v>
      </c>
      <c r="W2" s="95">
        <v>2010</v>
      </c>
      <c r="X2" s="95">
        <v>2011</v>
      </c>
      <c r="Y2" s="95">
        <v>2012</v>
      </c>
      <c r="Z2" s="95">
        <v>2013</v>
      </c>
      <c r="AA2" s="95">
        <v>2014</v>
      </c>
      <c r="AB2" s="95">
        <v>2015</v>
      </c>
    </row>
    <row r="3" spans="1:29" x14ac:dyDescent="0.35">
      <c r="A3" s="61" t="s">
        <v>937</v>
      </c>
      <c r="B3" s="61" t="s">
        <v>271</v>
      </c>
      <c r="C3" s="90" t="e">
        <f ca="1">SUM(C6:C202)</f>
        <v>#REF!</v>
      </c>
      <c r="D3" s="90" t="e">
        <f t="shared" ref="D3:M3" ca="1" si="1">SUM(D6:D202)</f>
        <v>#REF!</v>
      </c>
      <c r="E3" s="90" t="e">
        <f t="shared" ca="1" si="1"/>
        <v>#REF!</v>
      </c>
      <c r="F3" s="90" t="e">
        <f t="shared" ca="1" si="1"/>
        <v>#REF!</v>
      </c>
      <c r="G3" s="90" t="e">
        <f t="shared" ca="1" si="1"/>
        <v>#REF!</v>
      </c>
      <c r="H3" s="90">
        <f t="shared" ca="1" si="1"/>
        <v>0</v>
      </c>
      <c r="I3" s="90" t="e">
        <f t="shared" ca="1" si="1"/>
        <v>#REF!</v>
      </c>
      <c r="J3" s="90" t="e">
        <f t="shared" ca="1" si="1"/>
        <v>#REF!</v>
      </c>
      <c r="K3" s="90" t="e">
        <f t="shared" ca="1" si="1"/>
        <v>#REF!</v>
      </c>
      <c r="L3" s="90" t="e">
        <f t="shared" ca="1" si="1"/>
        <v>#REF!</v>
      </c>
      <c r="M3" s="90" t="e">
        <f t="shared" ca="1" si="1"/>
        <v>#REF!</v>
      </c>
      <c r="N3" s="77"/>
      <c r="O3" s="91" t="e">
        <f ca="1">SUM(O6:O202)/COUNTIF(O6:O202,"&gt;0")</f>
        <v>#DIV/0!</v>
      </c>
      <c r="P3" s="91" t="e">
        <f t="shared" ref="P3:R3" ca="1" si="2">SUM(P6:P202)/COUNTIF(P6:P202,"&gt;0")</f>
        <v>#DIV/0!</v>
      </c>
      <c r="Q3" s="91" t="e">
        <f t="shared" ca="1" si="2"/>
        <v>#DIV/0!</v>
      </c>
      <c r="R3" s="91" t="e">
        <f t="shared" ca="1" si="2"/>
        <v>#DIV/0!</v>
      </c>
      <c r="S3" s="92" t="e">
        <f t="shared" ref="S3" ca="1" si="3">SUM(S6:S202)</f>
        <v>#REF!</v>
      </c>
      <c r="T3" s="92" t="e">
        <f t="shared" ref="T3:AB3" ca="1" si="4">SUM(T6:T202)</f>
        <v>#REF!</v>
      </c>
      <c r="U3" s="92" t="e">
        <f t="shared" ca="1" si="4"/>
        <v>#REF!</v>
      </c>
      <c r="V3" s="92" t="e">
        <f t="shared" ca="1" si="4"/>
        <v>#REF!</v>
      </c>
      <c r="W3" s="92" t="e">
        <f t="shared" ca="1" si="4"/>
        <v>#REF!</v>
      </c>
      <c r="X3" s="92" t="e">
        <f t="shared" ca="1" si="4"/>
        <v>#REF!</v>
      </c>
      <c r="Y3" s="92" t="e">
        <f t="shared" ca="1" si="4"/>
        <v>#REF!</v>
      </c>
      <c r="Z3" s="92" t="e">
        <f t="shared" ca="1" si="4"/>
        <v>#REF!</v>
      </c>
      <c r="AA3" s="92" t="e">
        <f t="shared" ca="1" si="4"/>
        <v>#REF!</v>
      </c>
      <c r="AB3" s="92" t="e">
        <f t="shared" ca="1" si="4"/>
        <v>#REF!</v>
      </c>
      <c r="AC3" s="89"/>
    </row>
    <row r="4" spans="1:29" x14ac:dyDescent="0.35">
      <c r="B4" s="61" t="s">
        <v>207</v>
      </c>
      <c r="C4" s="71">
        <f t="shared" ref="C4:G6" ca="1" si="5">SUMPRODUCT(SUMIF(INDIRECT("'"&amp;$B4:$B4&amp;"'!$H$6:$h$10"),C$2,INDIRECT("'"&amp;$B4:$B4&amp;"'!$L$6:$l$10")))</f>
        <v>0</v>
      </c>
      <c r="D4" s="71">
        <f t="shared" ca="1" si="5"/>
        <v>0</v>
      </c>
      <c r="E4" s="71">
        <f t="shared" ca="1" si="5"/>
        <v>0</v>
      </c>
      <c r="F4" s="71">
        <f t="shared" ca="1" si="5"/>
        <v>0</v>
      </c>
      <c r="G4" s="71">
        <f t="shared" ca="1" si="5"/>
        <v>0</v>
      </c>
      <c r="H4" s="77">
        <f t="shared" ref="H4:H6" ca="1" si="6">IFERROR(AVERAGEIF(C4:G4,"&gt;0"),0)</f>
        <v>0</v>
      </c>
      <c r="I4" s="71">
        <f t="shared" ref="I4:M6" ca="1" si="7">SUMPRODUCT(SUMIF(INDIRECT("'"&amp;$B4:$B4&amp;"'!$H$43:$h$48"),I$2,INDIRECT("'"&amp;$B4:$B4&amp;"'!$L$43:$l$48")))</f>
        <v>0</v>
      </c>
      <c r="J4" s="71">
        <f t="shared" ca="1" si="7"/>
        <v>0</v>
      </c>
      <c r="K4" s="71">
        <f t="shared" ca="1" si="7"/>
        <v>0</v>
      </c>
      <c r="L4" s="71">
        <f t="shared" ca="1" si="7"/>
        <v>0</v>
      </c>
      <c r="M4" s="71">
        <f t="shared" ca="1" si="7"/>
        <v>0</v>
      </c>
      <c r="N4" s="77"/>
      <c r="O4" s="93">
        <f t="shared" ref="O4:O6" ca="1" si="8">IF($H4&gt;0,I4/$H4,0)</f>
        <v>0</v>
      </c>
      <c r="P4" s="93">
        <f t="shared" ref="P4:P6" ca="1" si="9">IF($H4&gt;0,J4/$H4,0)</f>
        <v>0</v>
      </c>
      <c r="Q4" s="93">
        <f t="shared" ref="Q4:Q6" ca="1" si="10">IF($H4&gt;0,K4/$H4,0)</f>
        <v>0</v>
      </c>
      <c r="R4" s="93">
        <f t="shared" ref="R4:R6" ca="1" si="11">IF($H4&gt;0,L4/$H4,0)</f>
        <v>0</v>
      </c>
      <c r="S4" s="74">
        <f t="shared" ref="S4:AB6" ca="1" si="12">SUMPRODUCT(SUMIF(INDIRECT("'"&amp;$B4:$B4&amp;"'!$b$87:$b$96"),S$2,INDIRECT("'"&amp;$B4:$B4&amp;"'!$i$87:$i$96")))</f>
        <v>0</v>
      </c>
      <c r="T4" s="74">
        <f t="shared" ca="1" si="12"/>
        <v>0</v>
      </c>
      <c r="U4" s="74">
        <f t="shared" ca="1" si="12"/>
        <v>0</v>
      </c>
      <c r="V4" s="74">
        <f t="shared" ca="1" si="12"/>
        <v>0</v>
      </c>
      <c r="W4" s="74">
        <f t="shared" ca="1" si="12"/>
        <v>0</v>
      </c>
      <c r="X4" s="74">
        <f t="shared" ca="1" si="12"/>
        <v>0</v>
      </c>
      <c r="Y4" s="74">
        <f t="shared" ca="1" si="12"/>
        <v>0</v>
      </c>
      <c r="Z4" s="74">
        <f t="shared" ca="1" si="12"/>
        <v>0</v>
      </c>
      <c r="AA4" s="74">
        <f t="shared" ca="1" si="12"/>
        <v>0</v>
      </c>
      <c r="AB4" s="74">
        <f t="shared" ca="1" si="12"/>
        <v>0</v>
      </c>
    </row>
    <row r="5" spans="1:29" x14ac:dyDescent="0.35">
      <c r="B5" s="61" t="s">
        <v>228</v>
      </c>
      <c r="C5" s="71">
        <f t="shared" ca="1" si="5"/>
        <v>0</v>
      </c>
      <c r="D5" s="71">
        <f t="shared" ca="1" si="5"/>
        <v>0</v>
      </c>
      <c r="E5" s="71">
        <f t="shared" ca="1" si="5"/>
        <v>0</v>
      </c>
      <c r="F5" s="71">
        <f t="shared" ca="1" si="5"/>
        <v>0</v>
      </c>
      <c r="G5" s="71">
        <f t="shared" ca="1" si="5"/>
        <v>0</v>
      </c>
      <c r="H5" s="77">
        <f t="shared" ca="1" si="6"/>
        <v>0</v>
      </c>
      <c r="I5" s="71">
        <f t="shared" ca="1" si="7"/>
        <v>0</v>
      </c>
      <c r="J5" s="71">
        <f t="shared" ca="1" si="7"/>
        <v>0</v>
      </c>
      <c r="K5" s="71">
        <f t="shared" ca="1" si="7"/>
        <v>0</v>
      </c>
      <c r="L5" s="71">
        <f t="shared" ca="1" si="7"/>
        <v>0</v>
      </c>
      <c r="M5" s="71">
        <f t="shared" ca="1" si="7"/>
        <v>0</v>
      </c>
      <c r="N5" s="77"/>
      <c r="O5" s="93">
        <f t="shared" ca="1" si="8"/>
        <v>0</v>
      </c>
      <c r="P5" s="93">
        <f t="shared" ca="1" si="9"/>
        <v>0</v>
      </c>
      <c r="Q5" s="93">
        <f t="shared" ca="1" si="10"/>
        <v>0</v>
      </c>
      <c r="R5" s="93">
        <f t="shared" ca="1" si="11"/>
        <v>0</v>
      </c>
      <c r="S5" s="74">
        <f t="shared" ca="1" si="12"/>
        <v>1555957</v>
      </c>
      <c r="T5" s="74">
        <f t="shared" ca="1" si="12"/>
        <v>8997100</v>
      </c>
      <c r="U5" s="74">
        <f t="shared" ca="1" si="12"/>
        <v>1240000</v>
      </c>
      <c r="V5" s="74">
        <f t="shared" ca="1" si="12"/>
        <v>2737800</v>
      </c>
      <c r="W5" s="74">
        <f t="shared" ca="1" si="12"/>
        <v>0</v>
      </c>
      <c r="X5" s="74">
        <f t="shared" ca="1" si="12"/>
        <v>500000</v>
      </c>
      <c r="Y5" s="74">
        <f t="shared" ca="1" si="12"/>
        <v>1389000</v>
      </c>
      <c r="Z5" s="74">
        <f t="shared" ca="1" si="12"/>
        <v>602466</v>
      </c>
      <c r="AA5" s="74">
        <f t="shared" ca="1" si="12"/>
        <v>8880320</v>
      </c>
      <c r="AB5" s="74">
        <f t="shared" ca="1" si="12"/>
        <v>0</v>
      </c>
    </row>
    <row r="6" spans="1:29" x14ac:dyDescent="0.35">
      <c r="C6" s="71" t="e">
        <f t="shared" ca="1" si="5"/>
        <v>#REF!</v>
      </c>
      <c r="D6" s="71" t="e">
        <f t="shared" ca="1" si="5"/>
        <v>#REF!</v>
      </c>
      <c r="E6" s="71" t="e">
        <f t="shared" ca="1" si="5"/>
        <v>#REF!</v>
      </c>
      <c r="F6" s="71" t="e">
        <f t="shared" ca="1" si="5"/>
        <v>#REF!</v>
      </c>
      <c r="G6" s="71" t="e">
        <f t="shared" ca="1" si="5"/>
        <v>#REF!</v>
      </c>
      <c r="H6" s="77">
        <f t="shared" ca="1" si="6"/>
        <v>0</v>
      </c>
      <c r="I6" s="71" t="e">
        <f t="shared" ca="1" si="7"/>
        <v>#REF!</v>
      </c>
      <c r="J6" s="71" t="e">
        <f t="shared" ca="1" si="7"/>
        <v>#REF!</v>
      </c>
      <c r="K6" s="71" t="e">
        <f t="shared" ca="1" si="7"/>
        <v>#REF!</v>
      </c>
      <c r="L6" s="71" t="e">
        <f t="shared" ca="1" si="7"/>
        <v>#REF!</v>
      </c>
      <c r="M6" s="71" t="e">
        <f t="shared" ca="1" si="7"/>
        <v>#REF!</v>
      </c>
      <c r="N6" s="77"/>
      <c r="O6" s="93">
        <f t="shared" ca="1" si="8"/>
        <v>0</v>
      </c>
      <c r="P6" s="93">
        <f t="shared" ca="1" si="9"/>
        <v>0</v>
      </c>
      <c r="Q6" s="93">
        <f t="shared" ca="1" si="10"/>
        <v>0</v>
      </c>
      <c r="R6" s="93">
        <f t="shared" ca="1" si="11"/>
        <v>0</v>
      </c>
      <c r="S6" s="74" t="e">
        <f t="shared" ca="1" si="12"/>
        <v>#REF!</v>
      </c>
      <c r="T6" s="74" t="e">
        <f t="shared" ca="1" si="12"/>
        <v>#REF!</v>
      </c>
      <c r="U6" s="74" t="e">
        <f t="shared" ca="1" si="12"/>
        <v>#REF!</v>
      </c>
      <c r="V6" s="74" t="e">
        <f t="shared" ca="1" si="12"/>
        <v>#REF!</v>
      </c>
      <c r="W6" s="74" t="e">
        <f t="shared" ca="1" si="12"/>
        <v>#REF!</v>
      </c>
      <c r="X6" s="74" t="e">
        <f t="shared" ca="1" si="12"/>
        <v>#REF!</v>
      </c>
      <c r="Y6" s="74" t="e">
        <f t="shared" ca="1" si="12"/>
        <v>#REF!</v>
      </c>
      <c r="Z6" s="74" t="e">
        <f t="shared" ca="1" si="12"/>
        <v>#REF!</v>
      </c>
      <c r="AA6" s="74" t="e">
        <f t="shared" ca="1" si="12"/>
        <v>#REF!</v>
      </c>
      <c r="AB6" s="74" t="e">
        <f t="shared" ca="1" si="12"/>
        <v>#REF!</v>
      </c>
    </row>
    <row r="7" spans="1:29" x14ac:dyDescent="0.35">
      <c r="A7" s="61" t="s">
        <v>937</v>
      </c>
      <c r="C7" s="71" t="e">
        <f ca="1">SUMPRODUCT(SUMIF(INDIRECT("'"&amp;$B7:$B7&amp;"'!$H$6:$h$10"),C$2,INDIRECT("'"&amp;$B7:$B7&amp;"'!$L$6:$l$10")))</f>
        <v>#REF!</v>
      </c>
      <c r="D7" s="71" t="e">
        <f t="shared" ref="D7:G7" ca="1" si="13">SUMPRODUCT(SUMIF(INDIRECT("'"&amp;$B7:$B7&amp;"'!$H$6:$h$10"),D$2,INDIRECT("'"&amp;$B7:$B7&amp;"'!$L$6:$l$10")))</f>
        <v>#REF!</v>
      </c>
      <c r="E7" s="71" t="e">
        <f t="shared" ca="1" si="13"/>
        <v>#REF!</v>
      </c>
      <c r="F7" s="71" t="e">
        <f t="shared" ca="1" si="13"/>
        <v>#REF!</v>
      </c>
      <c r="G7" s="71" t="e">
        <f t="shared" ca="1" si="13"/>
        <v>#REF!</v>
      </c>
      <c r="H7" s="77">
        <f t="shared" ref="H7:H18" ca="1" si="14">IFERROR(AVERAGEIF(C7:G7,"&gt;0"),0)</f>
        <v>0</v>
      </c>
      <c r="I7" s="71" t="e">
        <f t="shared" ref="I7:M23" ca="1" si="15">SUMPRODUCT(SUMIF(INDIRECT("'"&amp;$B7:$B7&amp;"'!$H$43:$h$48"),I$2,INDIRECT("'"&amp;$B7:$B7&amp;"'!$L$43:$l$48")))</f>
        <v>#REF!</v>
      </c>
      <c r="J7" s="71" t="e">
        <f t="shared" ref="J7:M22" ca="1" si="16">SUMPRODUCT(SUMIF(INDIRECT("'"&amp;$B7:$B7&amp;"'!$H$43:$h$48"),J$2,INDIRECT("'"&amp;$B7:$B7&amp;"'!$L$43:$l$48")))</f>
        <v>#REF!</v>
      </c>
      <c r="K7" s="71" t="e">
        <f t="shared" ca="1" si="16"/>
        <v>#REF!</v>
      </c>
      <c r="L7" s="71" t="e">
        <f t="shared" ca="1" si="16"/>
        <v>#REF!</v>
      </c>
      <c r="M7" s="71" t="e">
        <f t="shared" ca="1" si="16"/>
        <v>#REF!</v>
      </c>
      <c r="N7" s="77"/>
      <c r="O7" s="93">
        <f ca="1">IF($H7&gt;0,I7/$H7,0)</f>
        <v>0</v>
      </c>
      <c r="P7" s="93">
        <f t="shared" ref="P7:R18" ca="1" si="17">IF($H7&gt;0,J7/$H7,0)</f>
        <v>0</v>
      </c>
      <c r="Q7" s="93">
        <f t="shared" ca="1" si="17"/>
        <v>0</v>
      </c>
      <c r="R7" s="93">
        <f t="shared" ca="1" si="17"/>
        <v>0</v>
      </c>
      <c r="S7" s="74" t="e">
        <f t="shared" ref="S7:AB23" ca="1" si="18">SUMPRODUCT(SUMIF(INDIRECT("'"&amp;$B7:$B7&amp;"'!$b$87:$b$96"),S$2,INDIRECT("'"&amp;$B7:$B7&amp;"'!$i$87:$i$96")))</f>
        <v>#REF!</v>
      </c>
      <c r="T7" s="74" t="e">
        <f t="shared" ref="T7:AB22" ca="1" si="19">SUMPRODUCT(SUMIF(INDIRECT("'"&amp;$B7:$B7&amp;"'!$b$87:$b$96"),T$2,INDIRECT("'"&amp;$B7:$B7&amp;"'!$i$87:$i$96")))</f>
        <v>#REF!</v>
      </c>
      <c r="U7" s="74" t="e">
        <f t="shared" ca="1" si="19"/>
        <v>#REF!</v>
      </c>
      <c r="V7" s="74" t="e">
        <f t="shared" ca="1" si="19"/>
        <v>#REF!</v>
      </c>
      <c r="W7" s="74" t="e">
        <f t="shared" ca="1" si="19"/>
        <v>#REF!</v>
      </c>
      <c r="X7" s="74" t="e">
        <f t="shared" ca="1" si="19"/>
        <v>#REF!</v>
      </c>
      <c r="Y7" s="74" t="e">
        <f t="shared" ca="1" si="19"/>
        <v>#REF!</v>
      </c>
      <c r="Z7" s="74" t="e">
        <f t="shared" ca="1" si="19"/>
        <v>#REF!</v>
      </c>
      <c r="AA7" s="74" t="e">
        <f t="shared" ca="1" si="19"/>
        <v>#REF!</v>
      </c>
      <c r="AB7" s="74" t="e">
        <f t="shared" ca="1" si="19"/>
        <v>#REF!</v>
      </c>
    </row>
    <row r="8" spans="1:29" x14ac:dyDescent="0.35">
      <c r="C8" s="71" t="e">
        <f ca="1">SUMPRODUCT(SUMIF(INDIRECT("'"&amp;$B8:$B8&amp;"'!$H$6:$h$10"),C$2,INDIRECT("'"&amp;$B8:$B8&amp;"'!$L$6:$l$10")))</f>
        <v>#REF!</v>
      </c>
      <c r="D8" s="71" t="e">
        <f t="shared" ref="D8:G23" ca="1" si="20">SUMPRODUCT(SUMIF(INDIRECT("'"&amp;$B8:$B8&amp;"'!$H$6:$h$10"),D$2,INDIRECT("'"&amp;$B8:$B8&amp;"'!$L$6:$l$10")))</f>
        <v>#REF!</v>
      </c>
      <c r="E8" s="71" t="e">
        <f t="shared" ca="1" si="20"/>
        <v>#REF!</v>
      </c>
      <c r="F8" s="71" t="e">
        <f t="shared" ca="1" si="20"/>
        <v>#REF!</v>
      </c>
      <c r="G8" s="71" t="e">
        <f t="shared" ca="1" si="20"/>
        <v>#REF!</v>
      </c>
      <c r="H8" s="77">
        <f t="shared" ca="1" si="14"/>
        <v>0</v>
      </c>
      <c r="I8" s="71" t="e">
        <f t="shared" ca="1" si="15"/>
        <v>#REF!</v>
      </c>
      <c r="J8" s="71" t="e">
        <f t="shared" ca="1" si="16"/>
        <v>#REF!</v>
      </c>
      <c r="K8" s="71" t="e">
        <f t="shared" ca="1" si="16"/>
        <v>#REF!</v>
      </c>
      <c r="L8" s="71" t="e">
        <f t="shared" ca="1" si="16"/>
        <v>#REF!</v>
      </c>
      <c r="M8" s="71" t="e">
        <f t="shared" ca="1" si="16"/>
        <v>#REF!</v>
      </c>
      <c r="N8" s="77"/>
      <c r="O8" s="93">
        <f t="shared" ref="O8:O18" ca="1" si="21">IF($H8&gt;0,I8/$H8,0)</f>
        <v>0</v>
      </c>
      <c r="P8" s="93">
        <f t="shared" ca="1" si="17"/>
        <v>0</v>
      </c>
      <c r="Q8" s="93">
        <f t="shared" ca="1" si="17"/>
        <v>0</v>
      </c>
      <c r="R8" s="93">
        <f t="shared" ca="1" si="17"/>
        <v>0</v>
      </c>
      <c r="S8" s="74" t="e">
        <f t="shared" ca="1" si="18"/>
        <v>#REF!</v>
      </c>
      <c r="T8" s="74" t="e">
        <f t="shared" ca="1" si="19"/>
        <v>#REF!</v>
      </c>
      <c r="U8" s="74" t="e">
        <f t="shared" ca="1" si="19"/>
        <v>#REF!</v>
      </c>
      <c r="V8" s="74" t="e">
        <f t="shared" ca="1" si="19"/>
        <v>#REF!</v>
      </c>
      <c r="W8" s="74" t="e">
        <f t="shared" ca="1" si="19"/>
        <v>#REF!</v>
      </c>
      <c r="X8" s="74" t="e">
        <f t="shared" ca="1" si="19"/>
        <v>#REF!</v>
      </c>
      <c r="Y8" s="74" t="e">
        <f t="shared" ca="1" si="19"/>
        <v>#REF!</v>
      </c>
      <c r="Z8" s="74" t="e">
        <f t="shared" ca="1" si="19"/>
        <v>#REF!</v>
      </c>
      <c r="AA8" s="74" t="e">
        <f t="shared" ca="1" si="19"/>
        <v>#REF!</v>
      </c>
      <c r="AB8" s="74" t="e">
        <f t="shared" ca="1" si="19"/>
        <v>#REF!</v>
      </c>
    </row>
    <row r="9" spans="1:29" x14ac:dyDescent="0.35">
      <c r="C9" s="71" t="e">
        <f t="shared" ref="C9:G24" ca="1" si="22">SUMPRODUCT(SUMIF(INDIRECT("'"&amp;$B9:$B9&amp;"'!$H$6:$h$10"),C$2,INDIRECT("'"&amp;$B9:$B9&amp;"'!$L$6:$l$10")))</f>
        <v>#REF!</v>
      </c>
      <c r="D9" s="71" t="e">
        <f t="shared" ca="1" si="20"/>
        <v>#REF!</v>
      </c>
      <c r="E9" s="71" t="e">
        <f t="shared" ca="1" si="20"/>
        <v>#REF!</v>
      </c>
      <c r="F9" s="71" t="e">
        <f t="shared" ca="1" si="20"/>
        <v>#REF!</v>
      </c>
      <c r="G9" s="71" t="e">
        <f t="shared" ca="1" si="20"/>
        <v>#REF!</v>
      </c>
      <c r="H9" s="77">
        <f t="shared" ca="1" si="14"/>
        <v>0</v>
      </c>
      <c r="I9" s="71" t="e">
        <f t="shared" ca="1" si="15"/>
        <v>#REF!</v>
      </c>
      <c r="J9" s="71" t="e">
        <f t="shared" ca="1" si="16"/>
        <v>#REF!</v>
      </c>
      <c r="K9" s="71" t="e">
        <f t="shared" ca="1" si="16"/>
        <v>#REF!</v>
      </c>
      <c r="L9" s="71" t="e">
        <f t="shared" ca="1" si="16"/>
        <v>#REF!</v>
      </c>
      <c r="M9" s="71" t="e">
        <f t="shared" ca="1" si="16"/>
        <v>#REF!</v>
      </c>
      <c r="N9" s="77"/>
      <c r="O9" s="93">
        <f t="shared" ca="1" si="21"/>
        <v>0</v>
      </c>
      <c r="P9" s="93">
        <f t="shared" ca="1" si="17"/>
        <v>0</v>
      </c>
      <c r="Q9" s="93">
        <f t="shared" ca="1" si="17"/>
        <v>0</v>
      </c>
      <c r="R9" s="93">
        <f t="shared" ca="1" si="17"/>
        <v>0</v>
      </c>
      <c r="S9" s="74" t="e">
        <f t="shared" ca="1" si="18"/>
        <v>#REF!</v>
      </c>
      <c r="T9" s="74" t="e">
        <f t="shared" ca="1" si="19"/>
        <v>#REF!</v>
      </c>
      <c r="U9" s="74" t="e">
        <f t="shared" ca="1" si="19"/>
        <v>#REF!</v>
      </c>
      <c r="V9" s="74" t="e">
        <f t="shared" ca="1" si="19"/>
        <v>#REF!</v>
      </c>
      <c r="W9" s="74" t="e">
        <f t="shared" ca="1" si="19"/>
        <v>#REF!</v>
      </c>
      <c r="X9" s="74" t="e">
        <f t="shared" ca="1" si="19"/>
        <v>#REF!</v>
      </c>
      <c r="Y9" s="74" t="e">
        <f t="shared" ca="1" si="19"/>
        <v>#REF!</v>
      </c>
      <c r="Z9" s="74" t="e">
        <f t="shared" ca="1" si="19"/>
        <v>#REF!</v>
      </c>
      <c r="AA9" s="74" t="e">
        <f t="shared" ca="1" si="19"/>
        <v>#REF!</v>
      </c>
      <c r="AB9" s="74" t="e">
        <f t="shared" ca="1" si="19"/>
        <v>#REF!</v>
      </c>
    </row>
    <row r="10" spans="1:29" x14ac:dyDescent="0.35">
      <c r="C10" s="71" t="e">
        <f t="shared" ca="1" si="22"/>
        <v>#REF!</v>
      </c>
      <c r="D10" s="71" t="e">
        <f t="shared" ca="1" si="20"/>
        <v>#REF!</v>
      </c>
      <c r="E10" s="71" t="e">
        <f t="shared" ca="1" si="20"/>
        <v>#REF!</v>
      </c>
      <c r="F10" s="71" t="e">
        <f t="shared" ca="1" si="20"/>
        <v>#REF!</v>
      </c>
      <c r="G10" s="71" t="e">
        <f t="shared" ca="1" si="20"/>
        <v>#REF!</v>
      </c>
      <c r="H10" s="77">
        <f t="shared" ca="1" si="14"/>
        <v>0</v>
      </c>
      <c r="I10" s="71" t="e">
        <f t="shared" ca="1" si="15"/>
        <v>#REF!</v>
      </c>
      <c r="J10" s="71" t="e">
        <f t="shared" ca="1" si="16"/>
        <v>#REF!</v>
      </c>
      <c r="K10" s="71" t="e">
        <f t="shared" ca="1" si="16"/>
        <v>#REF!</v>
      </c>
      <c r="L10" s="71" t="e">
        <f t="shared" ca="1" si="16"/>
        <v>#REF!</v>
      </c>
      <c r="M10" s="71" t="e">
        <f t="shared" ca="1" si="16"/>
        <v>#REF!</v>
      </c>
      <c r="N10" s="77"/>
      <c r="O10" s="93">
        <f t="shared" ca="1" si="21"/>
        <v>0</v>
      </c>
      <c r="P10" s="93">
        <f t="shared" ca="1" si="17"/>
        <v>0</v>
      </c>
      <c r="Q10" s="93">
        <f t="shared" ca="1" si="17"/>
        <v>0</v>
      </c>
      <c r="R10" s="93">
        <f t="shared" ca="1" si="17"/>
        <v>0</v>
      </c>
      <c r="S10" s="74" t="e">
        <f t="shared" ca="1" si="18"/>
        <v>#REF!</v>
      </c>
      <c r="T10" s="74" t="e">
        <f t="shared" ca="1" si="19"/>
        <v>#REF!</v>
      </c>
      <c r="U10" s="74" t="e">
        <f t="shared" ca="1" si="19"/>
        <v>#REF!</v>
      </c>
      <c r="V10" s="74" t="e">
        <f t="shared" ca="1" si="19"/>
        <v>#REF!</v>
      </c>
      <c r="W10" s="74" t="e">
        <f t="shared" ca="1" si="19"/>
        <v>#REF!</v>
      </c>
      <c r="X10" s="74" t="e">
        <f t="shared" ca="1" si="19"/>
        <v>#REF!</v>
      </c>
      <c r="Y10" s="74" t="e">
        <f t="shared" ca="1" si="19"/>
        <v>#REF!</v>
      </c>
      <c r="Z10" s="74" t="e">
        <f t="shared" ca="1" si="19"/>
        <v>#REF!</v>
      </c>
      <c r="AA10" s="74" t="e">
        <f t="shared" ca="1" si="19"/>
        <v>#REF!</v>
      </c>
      <c r="AB10" s="74" t="e">
        <f t="shared" ca="1" si="19"/>
        <v>#REF!</v>
      </c>
    </row>
    <row r="11" spans="1:29" x14ac:dyDescent="0.35">
      <c r="C11" s="71" t="e">
        <f t="shared" ca="1" si="22"/>
        <v>#REF!</v>
      </c>
      <c r="D11" s="71" t="e">
        <f t="shared" ca="1" si="20"/>
        <v>#REF!</v>
      </c>
      <c r="E11" s="71" t="e">
        <f t="shared" ca="1" si="20"/>
        <v>#REF!</v>
      </c>
      <c r="F11" s="71" t="e">
        <f t="shared" ca="1" si="20"/>
        <v>#REF!</v>
      </c>
      <c r="G11" s="71" t="e">
        <f t="shared" ca="1" si="20"/>
        <v>#REF!</v>
      </c>
      <c r="H11" s="77">
        <f t="shared" ca="1" si="14"/>
        <v>0</v>
      </c>
      <c r="I11" s="71" t="e">
        <f t="shared" ca="1" si="15"/>
        <v>#REF!</v>
      </c>
      <c r="J11" s="71" t="e">
        <f t="shared" ca="1" si="16"/>
        <v>#REF!</v>
      </c>
      <c r="K11" s="71" t="e">
        <f t="shared" ca="1" si="16"/>
        <v>#REF!</v>
      </c>
      <c r="L11" s="71" t="e">
        <f t="shared" ca="1" si="16"/>
        <v>#REF!</v>
      </c>
      <c r="M11" s="71" t="e">
        <f t="shared" ca="1" si="16"/>
        <v>#REF!</v>
      </c>
      <c r="N11" s="77"/>
      <c r="O11" s="93">
        <f t="shared" ca="1" si="21"/>
        <v>0</v>
      </c>
      <c r="P11" s="93">
        <f t="shared" ca="1" si="17"/>
        <v>0</v>
      </c>
      <c r="Q11" s="93">
        <f t="shared" ca="1" si="17"/>
        <v>0</v>
      </c>
      <c r="R11" s="93">
        <f t="shared" ca="1" si="17"/>
        <v>0</v>
      </c>
      <c r="S11" s="74" t="e">
        <f t="shared" ca="1" si="18"/>
        <v>#REF!</v>
      </c>
      <c r="T11" s="74" t="e">
        <f t="shared" ca="1" si="19"/>
        <v>#REF!</v>
      </c>
      <c r="U11" s="74" t="e">
        <f t="shared" ca="1" si="19"/>
        <v>#REF!</v>
      </c>
      <c r="V11" s="74" t="e">
        <f t="shared" ca="1" si="19"/>
        <v>#REF!</v>
      </c>
      <c r="W11" s="74" t="e">
        <f t="shared" ca="1" si="19"/>
        <v>#REF!</v>
      </c>
      <c r="X11" s="74" t="e">
        <f t="shared" ca="1" si="19"/>
        <v>#REF!</v>
      </c>
      <c r="Y11" s="74" t="e">
        <f t="shared" ca="1" si="19"/>
        <v>#REF!</v>
      </c>
      <c r="Z11" s="74" t="e">
        <f t="shared" ca="1" si="19"/>
        <v>#REF!</v>
      </c>
      <c r="AA11" s="74" t="e">
        <f t="shared" ca="1" si="19"/>
        <v>#REF!</v>
      </c>
      <c r="AB11" s="74" t="e">
        <f t="shared" ca="1" si="19"/>
        <v>#REF!</v>
      </c>
    </row>
    <row r="12" spans="1:29" x14ac:dyDescent="0.35">
      <c r="C12" s="71" t="e">
        <f t="shared" ca="1" si="22"/>
        <v>#REF!</v>
      </c>
      <c r="D12" s="71" t="e">
        <f t="shared" ca="1" si="20"/>
        <v>#REF!</v>
      </c>
      <c r="E12" s="71" t="e">
        <f t="shared" ca="1" si="20"/>
        <v>#REF!</v>
      </c>
      <c r="F12" s="71" t="e">
        <f t="shared" ca="1" si="20"/>
        <v>#REF!</v>
      </c>
      <c r="G12" s="71" t="e">
        <f t="shared" ca="1" si="20"/>
        <v>#REF!</v>
      </c>
      <c r="H12" s="77">
        <f t="shared" ca="1" si="14"/>
        <v>0</v>
      </c>
      <c r="I12" s="71" t="e">
        <f t="shared" ca="1" si="15"/>
        <v>#REF!</v>
      </c>
      <c r="J12" s="71" t="e">
        <f t="shared" ca="1" si="16"/>
        <v>#REF!</v>
      </c>
      <c r="K12" s="71" t="e">
        <f t="shared" ca="1" si="16"/>
        <v>#REF!</v>
      </c>
      <c r="L12" s="71" t="e">
        <f t="shared" ca="1" si="16"/>
        <v>#REF!</v>
      </c>
      <c r="M12" s="71" t="e">
        <f t="shared" ca="1" si="16"/>
        <v>#REF!</v>
      </c>
      <c r="N12" s="77"/>
      <c r="O12" s="93">
        <f t="shared" ca="1" si="21"/>
        <v>0</v>
      </c>
      <c r="P12" s="93">
        <f t="shared" ca="1" si="17"/>
        <v>0</v>
      </c>
      <c r="Q12" s="93">
        <f t="shared" ca="1" si="17"/>
        <v>0</v>
      </c>
      <c r="R12" s="93">
        <f t="shared" ca="1" si="17"/>
        <v>0</v>
      </c>
      <c r="S12" s="74" t="e">
        <f t="shared" ca="1" si="18"/>
        <v>#REF!</v>
      </c>
      <c r="T12" s="74" t="e">
        <f t="shared" ca="1" si="19"/>
        <v>#REF!</v>
      </c>
      <c r="U12" s="74" t="e">
        <f t="shared" ca="1" si="19"/>
        <v>#REF!</v>
      </c>
      <c r="V12" s="74" t="e">
        <f t="shared" ca="1" si="19"/>
        <v>#REF!</v>
      </c>
      <c r="W12" s="74" t="e">
        <f t="shared" ca="1" si="19"/>
        <v>#REF!</v>
      </c>
      <c r="X12" s="74" t="e">
        <f t="shared" ca="1" si="19"/>
        <v>#REF!</v>
      </c>
      <c r="Y12" s="74" t="e">
        <f t="shared" ca="1" si="19"/>
        <v>#REF!</v>
      </c>
      <c r="Z12" s="74" t="e">
        <f t="shared" ca="1" si="19"/>
        <v>#REF!</v>
      </c>
      <c r="AA12" s="74" t="e">
        <f t="shared" ca="1" si="19"/>
        <v>#REF!</v>
      </c>
      <c r="AB12" s="74" t="e">
        <f t="shared" ca="1" si="19"/>
        <v>#REF!</v>
      </c>
    </row>
    <row r="13" spans="1:29" x14ac:dyDescent="0.35">
      <c r="C13" s="71" t="e">
        <f t="shared" ca="1" si="22"/>
        <v>#REF!</v>
      </c>
      <c r="D13" s="71" t="e">
        <f t="shared" ca="1" si="20"/>
        <v>#REF!</v>
      </c>
      <c r="E13" s="71" t="e">
        <f t="shared" ca="1" si="20"/>
        <v>#REF!</v>
      </c>
      <c r="F13" s="71" t="e">
        <f t="shared" ca="1" si="20"/>
        <v>#REF!</v>
      </c>
      <c r="G13" s="71" t="e">
        <f t="shared" ca="1" si="20"/>
        <v>#REF!</v>
      </c>
      <c r="H13" s="77">
        <f t="shared" ca="1" si="14"/>
        <v>0</v>
      </c>
      <c r="I13" s="71" t="e">
        <f t="shared" ca="1" si="15"/>
        <v>#REF!</v>
      </c>
      <c r="J13" s="71" t="e">
        <f t="shared" ca="1" si="16"/>
        <v>#REF!</v>
      </c>
      <c r="K13" s="71" t="e">
        <f t="shared" ca="1" si="16"/>
        <v>#REF!</v>
      </c>
      <c r="L13" s="71" t="e">
        <f t="shared" ca="1" si="16"/>
        <v>#REF!</v>
      </c>
      <c r="M13" s="71" t="e">
        <f t="shared" ca="1" si="16"/>
        <v>#REF!</v>
      </c>
      <c r="N13" s="77"/>
      <c r="O13" s="93">
        <f t="shared" ca="1" si="21"/>
        <v>0</v>
      </c>
      <c r="P13" s="93">
        <f t="shared" ca="1" si="17"/>
        <v>0</v>
      </c>
      <c r="Q13" s="93">
        <f t="shared" ca="1" si="17"/>
        <v>0</v>
      </c>
      <c r="R13" s="93">
        <f t="shared" ca="1" si="17"/>
        <v>0</v>
      </c>
      <c r="S13" s="74" t="e">
        <f t="shared" ca="1" si="18"/>
        <v>#REF!</v>
      </c>
      <c r="T13" s="74" t="e">
        <f t="shared" ca="1" si="19"/>
        <v>#REF!</v>
      </c>
      <c r="U13" s="74" t="e">
        <f t="shared" ca="1" si="19"/>
        <v>#REF!</v>
      </c>
      <c r="V13" s="74" t="e">
        <f t="shared" ca="1" si="19"/>
        <v>#REF!</v>
      </c>
      <c r="W13" s="74" t="e">
        <f t="shared" ca="1" si="19"/>
        <v>#REF!</v>
      </c>
      <c r="X13" s="74" t="e">
        <f t="shared" ca="1" si="19"/>
        <v>#REF!</v>
      </c>
      <c r="Y13" s="74" t="e">
        <f t="shared" ca="1" si="19"/>
        <v>#REF!</v>
      </c>
      <c r="Z13" s="74" t="e">
        <f t="shared" ca="1" si="19"/>
        <v>#REF!</v>
      </c>
      <c r="AA13" s="74" t="e">
        <f t="shared" ca="1" si="19"/>
        <v>#REF!</v>
      </c>
      <c r="AB13" s="74" t="e">
        <f t="shared" ca="1" si="19"/>
        <v>#REF!</v>
      </c>
    </row>
    <row r="14" spans="1:29" x14ac:dyDescent="0.35">
      <c r="C14" s="71" t="e">
        <f t="shared" ca="1" si="22"/>
        <v>#REF!</v>
      </c>
      <c r="D14" s="71" t="e">
        <f t="shared" ca="1" si="20"/>
        <v>#REF!</v>
      </c>
      <c r="E14" s="71" t="e">
        <f t="shared" ca="1" si="20"/>
        <v>#REF!</v>
      </c>
      <c r="F14" s="71" t="e">
        <f t="shared" ca="1" si="20"/>
        <v>#REF!</v>
      </c>
      <c r="G14" s="71" t="e">
        <f t="shared" ca="1" si="20"/>
        <v>#REF!</v>
      </c>
      <c r="H14" s="77">
        <f t="shared" ca="1" si="14"/>
        <v>0</v>
      </c>
      <c r="I14" s="71" t="e">
        <f t="shared" ca="1" si="15"/>
        <v>#REF!</v>
      </c>
      <c r="J14" s="71" t="e">
        <f t="shared" ca="1" si="16"/>
        <v>#REF!</v>
      </c>
      <c r="K14" s="71" t="e">
        <f t="shared" ca="1" si="16"/>
        <v>#REF!</v>
      </c>
      <c r="L14" s="71" t="e">
        <f t="shared" ca="1" si="16"/>
        <v>#REF!</v>
      </c>
      <c r="M14" s="71" t="e">
        <f t="shared" ca="1" si="16"/>
        <v>#REF!</v>
      </c>
      <c r="N14" s="77"/>
      <c r="O14" s="93">
        <f t="shared" ca="1" si="21"/>
        <v>0</v>
      </c>
      <c r="P14" s="93">
        <f t="shared" ca="1" si="17"/>
        <v>0</v>
      </c>
      <c r="Q14" s="93">
        <f t="shared" ca="1" si="17"/>
        <v>0</v>
      </c>
      <c r="R14" s="93">
        <f t="shared" ca="1" si="17"/>
        <v>0</v>
      </c>
      <c r="S14" s="74" t="e">
        <f t="shared" ca="1" si="18"/>
        <v>#REF!</v>
      </c>
      <c r="T14" s="74" t="e">
        <f t="shared" ca="1" si="19"/>
        <v>#REF!</v>
      </c>
      <c r="U14" s="74" t="e">
        <f t="shared" ca="1" si="19"/>
        <v>#REF!</v>
      </c>
      <c r="V14" s="74" t="e">
        <f t="shared" ca="1" si="19"/>
        <v>#REF!</v>
      </c>
      <c r="W14" s="74" t="e">
        <f t="shared" ca="1" si="19"/>
        <v>#REF!</v>
      </c>
      <c r="X14" s="74" t="e">
        <f t="shared" ca="1" si="19"/>
        <v>#REF!</v>
      </c>
      <c r="Y14" s="74" t="e">
        <f t="shared" ca="1" si="19"/>
        <v>#REF!</v>
      </c>
      <c r="Z14" s="74" t="e">
        <f t="shared" ca="1" si="19"/>
        <v>#REF!</v>
      </c>
      <c r="AA14" s="74" t="e">
        <f t="shared" ca="1" si="19"/>
        <v>#REF!</v>
      </c>
      <c r="AB14" s="74" t="e">
        <f t="shared" ca="1" si="19"/>
        <v>#REF!</v>
      </c>
    </row>
    <row r="15" spans="1:29" x14ac:dyDescent="0.35">
      <c r="C15" s="71" t="e">
        <f t="shared" ca="1" si="22"/>
        <v>#REF!</v>
      </c>
      <c r="D15" s="71" t="e">
        <f t="shared" ca="1" si="20"/>
        <v>#REF!</v>
      </c>
      <c r="E15" s="71" t="e">
        <f t="shared" ca="1" si="20"/>
        <v>#REF!</v>
      </c>
      <c r="F15" s="71" t="e">
        <f t="shared" ca="1" si="20"/>
        <v>#REF!</v>
      </c>
      <c r="G15" s="71" t="e">
        <f t="shared" ca="1" si="20"/>
        <v>#REF!</v>
      </c>
      <c r="H15" s="77">
        <f t="shared" ca="1" si="14"/>
        <v>0</v>
      </c>
      <c r="I15" s="71" t="e">
        <f t="shared" ca="1" si="15"/>
        <v>#REF!</v>
      </c>
      <c r="J15" s="71" t="e">
        <f t="shared" ca="1" si="16"/>
        <v>#REF!</v>
      </c>
      <c r="K15" s="71" t="e">
        <f t="shared" ca="1" si="16"/>
        <v>#REF!</v>
      </c>
      <c r="L15" s="71" t="e">
        <f t="shared" ca="1" si="16"/>
        <v>#REF!</v>
      </c>
      <c r="M15" s="71" t="e">
        <f t="shared" ca="1" si="16"/>
        <v>#REF!</v>
      </c>
      <c r="N15" s="77"/>
      <c r="O15" s="93">
        <f t="shared" ca="1" si="21"/>
        <v>0</v>
      </c>
      <c r="P15" s="93">
        <f t="shared" ca="1" si="17"/>
        <v>0</v>
      </c>
      <c r="Q15" s="93">
        <f t="shared" ca="1" si="17"/>
        <v>0</v>
      </c>
      <c r="R15" s="93">
        <f t="shared" ca="1" si="17"/>
        <v>0</v>
      </c>
      <c r="S15" s="74" t="e">
        <f t="shared" ca="1" si="18"/>
        <v>#REF!</v>
      </c>
      <c r="T15" s="74" t="e">
        <f t="shared" ca="1" si="19"/>
        <v>#REF!</v>
      </c>
      <c r="U15" s="74" t="e">
        <f t="shared" ca="1" si="19"/>
        <v>#REF!</v>
      </c>
      <c r="V15" s="74" t="e">
        <f t="shared" ca="1" si="19"/>
        <v>#REF!</v>
      </c>
      <c r="W15" s="74" t="e">
        <f t="shared" ca="1" si="19"/>
        <v>#REF!</v>
      </c>
      <c r="X15" s="74" t="e">
        <f t="shared" ca="1" si="19"/>
        <v>#REF!</v>
      </c>
      <c r="Y15" s="74" t="e">
        <f t="shared" ca="1" si="19"/>
        <v>#REF!</v>
      </c>
      <c r="Z15" s="74" t="e">
        <f t="shared" ca="1" si="19"/>
        <v>#REF!</v>
      </c>
      <c r="AA15" s="74" t="e">
        <f t="shared" ca="1" si="19"/>
        <v>#REF!</v>
      </c>
      <c r="AB15" s="74" t="e">
        <f t="shared" ca="1" si="19"/>
        <v>#REF!</v>
      </c>
    </row>
    <row r="16" spans="1:29" x14ac:dyDescent="0.35">
      <c r="C16" s="71" t="e">
        <f t="shared" ca="1" si="22"/>
        <v>#REF!</v>
      </c>
      <c r="D16" s="71" t="e">
        <f t="shared" ca="1" si="20"/>
        <v>#REF!</v>
      </c>
      <c r="E16" s="71" t="e">
        <f t="shared" ca="1" si="20"/>
        <v>#REF!</v>
      </c>
      <c r="F16" s="71" t="e">
        <f t="shared" ca="1" si="20"/>
        <v>#REF!</v>
      </c>
      <c r="G16" s="71" t="e">
        <f t="shared" ca="1" si="20"/>
        <v>#REF!</v>
      </c>
      <c r="H16" s="77">
        <f t="shared" ca="1" si="14"/>
        <v>0</v>
      </c>
      <c r="I16" s="71" t="e">
        <f t="shared" ca="1" si="15"/>
        <v>#REF!</v>
      </c>
      <c r="J16" s="71" t="e">
        <f t="shared" ca="1" si="16"/>
        <v>#REF!</v>
      </c>
      <c r="K16" s="71" t="e">
        <f t="shared" ca="1" si="16"/>
        <v>#REF!</v>
      </c>
      <c r="L16" s="71" t="e">
        <f t="shared" ca="1" si="16"/>
        <v>#REF!</v>
      </c>
      <c r="M16" s="71" t="e">
        <f t="shared" ca="1" si="16"/>
        <v>#REF!</v>
      </c>
      <c r="N16" s="77"/>
      <c r="O16" s="93">
        <f t="shared" ca="1" si="21"/>
        <v>0</v>
      </c>
      <c r="P16" s="93">
        <f t="shared" ca="1" si="17"/>
        <v>0</v>
      </c>
      <c r="Q16" s="93">
        <f t="shared" ca="1" si="17"/>
        <v>0</v>
      </c>
      <c r="R16" s="93">
        <f t="shared" ca="1" si="17"/>
        <v>0</v>
      </c>
      <c r="S16" s="74" t="e">
        <f t="shared" ca="1" si="18"/>
        <v>#REF!</v>
      </c>
      <c r="T16" s="74" t="e">
        <f t="shared" ca="1" si="19"/>
        <v>#REF!</v>
      </c>
      <c r="U16" s="74" t="e">
        <f t="shared" ca="1" si="19"/>
        <v>#REF!</v>
      </c>
      <c r="V16" s="74" t="e">
        <f t="shared" ca="1" si="19"/>
        <v>#REF!</v>
      </c>
      <c r="W16" s="74" t="e">
        <f t="shared" ca="1" si="19"/>
        <v>#REF!</v>
      </c>
      <c r="X16" s="74" t="e">
        <f t="shared" ca="1" si="19"/>
        <v>#REF!</v>
      </c>
      <c r="Y16" s="74" t="e">
        <f t="shared" ca="1" si="19"/>
        <v>#REF!</v>
      </c>
      <c r="Z16" s="74" t="e">
        <f t="shared" ca="1" si="19"/>
        <v>#REF!</v>
      </c>
      <c r="AA16" s="74" t="e">
        <f t="shared" ca="1" si="19"/>
        <v>#REF!</v>
      </c>
      <c r="AB16" s="74" t="e">
        <f t="shared" ca="1" si="19"/>
        <v>#REF!</v>
      </c>
    </row>
    <row r="17" spans="3:28" x14ac:dyDescent="0.35">
      <c r="C17" s="71" t="e">
        <f t="shared" ca="1" si="22"/>
        <v>#REF!</v>
      </c>
      <c r="D17" s="71" t="e">
        <f t="shared" ca="1" si="20"/>
        <v>#REF!</v>
      </c>
      <c r="E17" s="71" t="e">
        <f t="shared" ca="1" si="20"/>
        <v>#REF!</v>
      </c>
      <c r="F17" s="71" t="e">
        <f t="shared" ca="1" si="20"/>
        <v>#REF!</v>
      </c>
      <c r="G17" s="71" t="e">
        <f t="shared" ca="1" si="20"/>
        <v>#REF!</v>
      </c>
      <c r="H17" s="77">
        <f t="shared" ca="1" si="14"/>
        <v>0</v>
      </c>
      <c r="I17" s="71" t="e">
        <f t="shared" ca="1" si="15"/>
        <v>#REF!</v>
      </c>
      <c r="J17" s="71" t="e">
        <f t="shared" ca="1" si="16"/>
        <v>#REF!</v>
      </c>
      <c r="K17" s="71" t="e">
        <f t="shared" ca="1" si="16"/>
        <v>#REF!</v>
      </c>
      <c r="L17" s="71" t="e">
        <f t="shared" ca="1" si="16"/>
        <v>#REF!</v>
      </c>
      <c r="M17" s="71" t="e">
        <f t="shared" ca="1" si="16"/>
        <v>#REF!</v>
      </c>
      <c r="N17" s="77"/>
      <c r="O17" s="93">
        <f t="shared" ca="1" si="21"/>
        <v>0</v>
      </c>
      <c r="P17" s="93">
        <f t="shared" ca="1" si="17"/>
        <v>0</v>
      </c>
      <c r="Q17" s="93">
        <f t="shared" ca="1" si="17"/>
        <v>0</v>
      </c>
      <c r="R17" s="93">
        <f t="shared" ca="1" si="17"/>
        <v>0</v>
      </c>
      <c r="S17" s="74" t="e">
        <f t="shared" ca="1" si="18"/>
        <v>#REF!</v>
      </c>
      <c r="T17" s="74" t="e">
        <f t="shared" ca="1" si="19"/>
        <v>#REF!</v>
      </c>
      <c r="U17" s="74" t="e">
        <f t="shared" ca="1" si="19"/>
        <v>#REF!</v>
      </c>
      <c r="V17" s="74" t="e">
        <f t="shared" ca="1" si="19"/>
        <v>#REF!</v>
      </c>
      <c r="W17" s="74" t="e">
        <f t="shared" ca="1" si="19"/>
        <v>#REF!</v>
      </c>
      <c r="X17" s="74" t="e">
        <f t="shared" ca="1" si="19"/>
        <v>#REF!</v>
      </c>
      <c r="Y17" s="74" t="e">
        <f t="shared" ca="1" si="19"/>
        <v>#REF!</v>
      </c>
      <c r="Z17" s="74" t="e">
        <f t="shared" ca="1" si="19"/>
        <v>#REF!</v>
      </c>
      <c r="AA17" s="74" t="e">
        <f t="shared" ca="1" si="19"/>
        <v>#REF!</v>
      </c>
      <c r="AB17" s="74" t="e">
        <f t="shared" ca="1" si="19"/>
        <v>#REF!</v>
      </c>
    </row>
    <row r="18" spans="3:28" x14ac:dyDescent="0.35">
      <c r="C18" s="71" t="e">
        <f t="shared" ca="1" si="22"/>
        <v>#REF!</v>
      </c>
      <c r="D18" s="71" t="e">
        <f t="shared" ca="1" si="20"/>
        <v>#REF!</v>
      </c>
      <c r="E18" s="71" t="e">
        <f t="shared" ca="1" si="20"/>
        <v>#REF!</v>
      </c>
      <c r="F18" s="71" t="e">
        <f t="shared" ca="1" si="20"/>
        <v>#REF!</v>
      </c>
      <c r="G18" s="71" t="e">
        <f t="shared" ca="1" si="20"/>
        <v>#REF!</v>
      </c>
      <c r="H18" s="77">
        <f t="shared" ca="1" si="14"/>
        <v>0</v>
      </c>
      <c r="I18" s="71" t="e">
        <f t="shared" ca="1" si="15"/>
        <v>#REF!</v>
      </c>
      <c r="J18" s="71" t="e">
        <f t="shared" ca="1" si="16"/>
        <v>#REF!</v>
      </c>
      <c r="K18" s="71" t="e">
        <f t="shared" ca="1" si="16"/>
        <v>#REF!</v>
      </c>
      <c r="L18" s="71" t="e">
        <f t="shared" ca="1" si="16"/>
        <v>#REF!</v>
      </c>
      <c r="M18" s="71" t="e">
        <f t="shared" ca="1" si="16"/>
        <v>#REF!</v>
      </c>
      <c r="N18" s="77"/>
      <c r="O18" s="93">
        <f t="shared" ca="1" si="21"/>
        <v>0</v>
      </c>
      <c r="P18" s="93">
        <f t="shared" ca="1" si="17"/>
        <v>0</v>
      </c>
      <c r="Q18" s="93">
        <f t="shared" ca="1" si="17"/>
        <v>0</v>
      </c>
      <c r="R18" s="93">
        <f t="shared" ca="1" si="17"/>
        <v>0</v>
      </c>
      <c r="S18" s="74" t="e">
        <f t="shared" ca="1" si="18"/>
        <v>#REF!</v>
      </c>
      <c r="T18" s="74" t="e">
        <f t="shared" ca="1" si="19"/>
        <v>#REF!</v>
      </c>
      <c r="U18" s="74" t="e">
        <f t="shared" ca="1" si="19"/>
        <v>#REF!</v>
      </c>
      <c r="V18" s="74" t="e">
        <f t="shared" ca="1" si="19"/>
        <v>#REF!</v>
      </c>
      <c r="W18" s="74" t="e">
        <f t="shared" ca="1" si="19"/>
        <v>#REF!</v>
      </c>
      <c r="X18" s="74" t="e">
        <f t="shared" ca="1" si="19"/>
        <v>#REF!</v>
      </c>
      <c r="Y18" s="74" t="e">
        <f t="shared" ca="1" si="19"/>
        <v>#REF!</v>
      </c>
      <c r="Z18" s="74" t="e">
        <f t="shared" ca="1" si="19"/>
        <v>#REF!</v>
      </c>
      <c r="AA18" s="74" t="e">
        <f t="shared" ca="1" si="19"/>
        <v>#REF!</v>
      </c>
      <c r="AB18" s="74" t="e">
        <f t="shared" ca="1" si="19"/>
        <v>#REF!</v>
      </c>
    </row>
    <row r="19" spans="3:28" x14ac:dyDescent="0.35">
      <c r="C19" s="71" t="e">
        <f t="shared" ca="1" si="22"/>
        <v>#REF!</v>
      </c>
      <c r="D19" s="71" t="e">
        <f t="shared" ca="1" si="20"/>
        <v>#REF!</v>
      </c>
      <c r="E19" s="71" t="e">
        <f t="shared" ca="1" si="20"/>
        <v>#REF!</v>
      </c>
      <c r="F19" s="71" t="e">
        <f t="shared" ca="1" si="20"/>
        <v>#REF!</v>
      </c>
      <c r="G19" s="71" t="e">
        <f t="shared" ca="1" si="20"/>
        <v>#REF!</v>
      </c>
      <c r="H19" s="77">
        <f t="shared" ref="H19:H31" ca="1" si="23">IFERROR(AVERAGEIF(C19:G19,"&gt;0"),0)</f>
        <v>0</v>
      </c>
      <c r="I19" s="71" t="e">
        <f t="shared" ca="1" si="15"/>
        <v>#REF!</v>
      </c>
      <c r="J19" s="71" t="e">
        <f t="shared" ca="1" si="16"/>
        <v>#REF!</v>
      </c>
      <c r="K19" s="71" t="e">
        <f t="shared" ca="1" si="16"/>
        <v>#REF!</v>
      </c>
      <c r="L19" s="71" t="e">
        <f t="shared" ca="1" si="16"/>
        <v>#REF!</v>
      </c>
      <c r="M19" s="71" t="e">
        <f t="shared" ca="1" si="16"/>
        <v>#REF!</v>
      </c>
      <c r="N19" s="77"/>
      <c r="O19" s="93">
        <f t="shared" ref="O19:O31" ca="1" si="24">IF($H19&gt;0,I19/$H19,0)</f>
        <v>0</v>
      </c>
      <c r="P19" s="93">
        <f t="shared" ref="P19:P31" ca="1" si="25">IF($H19&gt;0,J19/$H19,0)</f>
        <v>0</v>
      </c>
      <c r="Q19" s="93">
        <f t="shared" ref="Q19:Q31" ca="1" si="26">IF($H19&gt;0,K19/$H19,0)</f>
        <v>0</v>
      </c>
      <c r="R19" s="93">
        <f t="shared" ref="R19:R31" ca="1" si="27">IF($H19&gt;0,L19/$H19,0)</f>
        <v>0</v>
      </c>
      <c r="S19" s="74" t="e">
        <f t="shared" ca="1" si="18"/>
        <v>#REF!</v>
      </c>
      <c r="T19" s="74" t="e">
        <f t="shared" ca="1" si="19"/>
        <v>#REF!</v>
      </c>
      <c r="U19" s="74" t="e">
        <f t="shared" ca="1" si="19"/>
        <v>#REF!</v>
      </c>
      <c r="V19" s="74" t="e">
        <f t="shared" ca="1" si="19"/>
        <v>#REF!</v>
      </c>
      <c r="W19" s="74" t="e">
        <f t="shared" ca="1" si="19"/>
        <v>#REF!</v>
      </c>
      <c r="X19" s="74" t="e">
        <f t="shared" ca="1" si="19"/>
        <v>#REF!</v>
      </c>
      <c r="Y19" s="74" t="e">
        <f t="shared" ca="1" si="19"/>
        <v>#REF!</v>
      </c>
      <c r="Z19" s="74" t="e">
        <f t="shared" ca="1" si="19"/>
        <v>#REF!</v>
      </c>
      <c r="AA19" s="74" t="e">
        <f t="shared" ca="1" si="19"/>
        <v>#REF!</v>
      </c>
      <c r="AB19" s="74" t="e">
        <f t="shared" ca="1" si="19"/>
        <v>#REF!</v>
      </c>
    </row>
    <row r="20" spans="3:28" x14ac:dyDescent="0.35">
      <c r="C20" s="71" t="e">
        <f t="shared" ca="1" si="22"/>
        <v>#REF!</v>
      </c>
      <c r="D20" s="71" t="e">
        <f t="shared" ca="1" si="20"/>
        <v>#REF!</v>
      </c>
      <c r="E20" s="71" t="e">
        <f t="shared" ca="1" si="20"/>
        <v>#REF!</v>
      </c>
      <c r="F20" s="71" t="e">
        <f t="shared" ca="1" si="20"/>
        <v>#REF!</v>
      </c>
      <c r="G20" s="71" t="e">
        <f t="shared" ca="1" si="20"/>
        <v>#REF!</v>
      </c>
      <c r="H20" s="77">
        <f t="shared" ca="1" si="23"/>
        <v>0</v>
      </c>
      <c r="I20" s="71" t="e">
        <f t="shared" ca="1" si="15"/>
        <v>#REF!</v>
      </c>
      <c r="J20" s="71" t="e">
        <f t="shared" ca="1" si="16"/>
        <v>#REF!</v>
      </c>
      <c r="K20" s="71" t="e">
        <f t="shared" ca="1" si="16"/>
        <v>#REF!</v>
      </c>
      <c r="L20" s="71" t="e">
        <f t="shared" ca="1" si="16"/>
        <v>#REF!</v>
      </c>
      <c r="M20" s="71" t="e">
        <f t="shared" ca="1" si="16"/>
        <v>#REF!</v>
      </c>
      <c r="N20" s="77"/>
      <c r="O20" s="93">
        <f t="shared" ca="1" si="24"/>
        <v>0</v>
      </c>
      <c r="P20" s="93">
        <f t="shared" ca="1" si="25"/>
        <v>0</v>
      </c>
      <c r="Q20" s="93">
        <f t="shared" ca="1" si="26"/>
        <v>0</v>
      </c>
      <c r="R20" s="93">
        <f t="shared" ca="1" si="27"/>
        <v>0</v>
      </c>
      <c r="S20" s="74" t="e">
        <f t="shared" ca="1" si="18"/>
        <v>#REF!</v>
      </c>
      <c r="T20" s="74" t="e">
        <f t="shared" ca="1" si="19"/>
        <v>#REF!</v>
      </c>
      <c r="U20" s="74" t="e">
        <f t="shared" ca="1" si="19"/>
        <v>#REF!</v>
      </c>
      <c r="V20" s="74" t="e">
        <f t="shared" ca="1" si="19"/>
        <v>#REF!</v>
      </c>
      <c r="W20" s="74" t="e">
        <f t="shared" ca="1" si="19"/>
        <v>#REF!</v>
      </c>
      <c r="X20" s="74" t="e">
        <f t="shared" ca="1" si="19"/>
        <v>#REF!</v>
      </c>
      <c r="Y20" s="74" t="e">
        <f t="shared" ca="1" si="19"/>
        <v>#REF!</v>
      </c>
      <c r="Z20" s="74" t="e">
        <f t="shared" ca="1" si="19"/>
        <v>#REF!</v>
      </c>
      <c r="AA20" s="74" t="e">
        <f t="shared" ca="1" si="19"/>
        <v>#REF!</v>
      </c>
      <c r="AB20" s="74" t="e">
        <f t="shared" ca="1" si="19"/>
        <v>#REF!</v>
      </c>
    </row>
    <row r="21" spans="3:28" x14ac:dyDescent="0.35">
      <c r="C21" s="71" t="e">
        <f t="shared" ca="1" si="22"/>
        <v>#REF!</v>
      </c>
      <c r="D21" s="71" t="e">
        <f t="shared" ca="1" si="20"/>
        <v>#REF!</v>
      </c>
      <c r="E21" s="71" t="e">
        <f t="shared" ca="1" si="20"/>
        <v>#REF!</v>
      </c>
      <c r="F21" s="71" t="e">
        <f t="shared" ca="1" si="20"/>
        <v>#REF!</v>
      </c>
      <c r="G21" s="71" t="e">
        <f t="shared" ca="1" si="20"/>
        <v>#REF!</v>
      </c>
      <c r="H21" s="77">
        <f t="shared" ca="1" si="23"/>
        <v>0</v>
      </c>
      <c r="I21" s="71" t="e">
        <f t="shared" ca="1" si="15"/>
        <v>#REF!</v>
      </c>
      <c r="J21" s="71" t="e">
        <f t="shared" ca="1" si="16"/>
        <v>#REF!</v>
      </c>
      <c r="K21" s="71" t="e">
        <f t="shared" ca="1" si="16"/>
        <v>#REF!</v>
      </c>
      <c r="L21" s="71" t="e">
        <f t="shared" ca="1" si="16"/>
        <v>#REF!</v>
      </c>
      <c r="M21" s="71" t="e">
        <f t="shared" ca="1" si="16"/>
        <v>#REF!</v>
      </c>
      <c r="N21" s="77"/>
      <c r="O21" s="93">
        <f t="shared" ca="1" si="24"/>
        <v>0</v>
      </c>
      <c r="P21" s="93">
        <f t="shared" ca="1" si="25"/>
        <v>0</v>
      </c>
      <c r="Q21" s="93">
        <f t="shared" ca="1" si="26"/>
        <v>0</v>
      </c>
      <c r="R21" s="93">
        <f t="shared" ca="1" si="27"/>
        <v>0</v>
      </c>
      <c r="S21" s="74" t="e">
        <f t="shared" ca="1" si="18"/>
        <v>#REF!</v>
      </c>
      <c r="T21" s="74" t="e">
        <f t="shared" ca="1" si="19"/>
        <v>#REF!</v>
      </c>
      <c r="U21" s="74" t="e">
        <f t="shared" ca="1" si="19"/>
        <v>#REF!</v>
      </c>
      <c r="V21" s="74" t="e">
        <f t="shared" ca="1" si="19"/>
        <v>#REF!</v>
      </c>
      <c r="W21" s="74" t="e">
        <f t="shared" ca="1" si="19"/>
        <v>#REF!</v>
      </c>
      <c r="X21" s="74" t="e">
        <f t="shared" ca="1" si="19"/>
        <v>#REF!</v>
      </c>
      <c r="Y21" s="74" t="e">
        <f t="shared" ca="1" si="19"/>
        <v>#REF!</v>
      </c>
      <c r="Z21" s="74" t="e">
        <f t="shared" ca="1" si="19"/>
        <v>#REF!</v>
      </c>
      <c r="AA21" s="74" t="e">
        <f t="shared" ca="1" si="19"/>
        <v>#REF!</v>
      </c>
      <c r="AB21" s="74" t="e">
        <f t="shared" ca="1" si="19"/>
        <v>#REF!</v>
      </c>
    </row>
    <row r="22" spans="3:28" x14ac:dyDescent="0.35">
      <c r="C22" s="71" t="e">
        <f t="shared" ca="1" si="22"/>
        <v>#REF!</v>
      </c>
      <c r="D22" s="71" t="e">
        <f t="shared" ca="1" si="20"/>
        <v>#REF!</v>
      </c>
      <c r="E22" s="71" t="e">
        <f t="shared" ca="1" si="20"/>
        <v>#REF!</v>
      </c>
      <c r="F22" s="71" t="e">
        <f t="shared" ca="1" si="20"/>
        <v>#REF!</v>
      </c>
      <c r="G22" s="71" t="e">
        <f t="shared" ca="1" si="20"/>
        <v>#REF!</v>
      </c>
      <c r="H22" s="77">
        <f t="shared" ca="1" si="23"/>
        <v>0</v>
      </c>
      <c r="I22" s="71" t="e">
        <f t="shared" ca="1" si="15"/>
        <v>#REF!</v>
      </c>
      <c r="J22" s="71" t="e">
        <f t="shared" ca="1" si="16"/>
        <v>#REF!</v>
      </c>
      <c r="K22" s="71" t="e">
        <f t="shared" ca="1" si="16"/>
        <v>#REF!</v>
      </c>
      <c r="L22" s="71" t="e">
        <f t="shared" ca="1" si="16"/>
        <v>#REF!</v>
      </c>
      <c r="M22" s="71" t="e">
        <f t="shared" ca="1" si="16"/>
        <v>#REF!</v>
      </c>
      <c r="N22" s="77"/>
      <c r="O22" s="93">
        <f t="shared" ca="1" si="24"/>
        <v>0</v>
      </c>
      <c r="P22" s="93">
        <f t="shared" ca="1" si="25"/>
        <v>0</v>
      </c>
      <c r="Q22" s="93">
        <f t="shared" ca="1" si="26"/>
        <v>0</v>
      </c>
      <c r="R22" s="93">
        <f t="shared" ca="1" si="27"/>
        <v>0</v>
      </c>
      <c r="S22" s="74" t="e">
        <f t="shared" ca="1" si="18"/>
        <v>#REF!</v>
      </c>
      <c r="T22" s="74" t="e">
        <f t="shared" ca="1" si="19"/>
        <v>#REF!</v>
      </c>
      <c r="U22" s="74" t="e">
        <f t="shared" ca="1" si="19"/>
        <v>#REF!</v>
      </c>
      <c r="V22" s="74" t="e">
        <f t="shared" ca="1" si="19"/>
        <v>#REF!</v>
      </c>
      <c r="W22" s="74" t="e">
        <f t="shared" ca="1" si="19"/>
        <v>#REF!</v>
      </c>
      <c r="X22" s="74" t="e">
        <f t="shared" ca="1" si="19"/>
        <v>#REF!</v>
      </c>
      <c r="Y22" s="74" t="e">
        <f t="shared" ca="1" si="19"/>
        <v>#REF!</v>
      </c>
      <c r="Z22" s="74" t="e">
        <f t="shared" ca="1" si="19"/>
        <v>#REF!</v>
      </c>
      <c r="AA22" s="74" t="e">
        <f t="shared" ca="1" si="19"/>
        <v>#REF!</v>
      </c>
      <c r="AB22" s="74" t="e">
        <f t="shared" ca="1" si="19"/>
        <v>#REF!</v>
      </c>
    </row>
    <row r="23" spans="3:28" x14ac:dyDescent="0.35">
      <c r="C23" s="71" t="e">
        <f t="shared" ca="1" si="22"/>
        <v>#REF!</v>
      </c>
      <c r="D23" s="71" t="e">
        <f t="shared" ca="1" si="20"/>
        <v>#REF!</v>
      </c>
      <c r="E23" s="71" t="e">
        <f t="shared" ca="1" si="20"/>
        <v>#REF!</v>
      </c>
      <c r="F23" s="71" t="e">
        <f t="shared" ca="1" si="20"/>
        <v>#REF!</v>
      </c>
      <c r="G23" s="71" t="e">
        <f t="shared" ca="1" si="20"/>
        <v>#REF!</v>
      </c>
      <c r="H23" s="77">
        <f t="shared" ca="1" si="23"/>
        <v>0</v>
      </c>
      <c r="I23" s="71" t="e">
        <f t="shared" ca="1" si="15"/>
        <v>#REF!</v>
      </c>
      <c r="J23" s="71" t="e">
        <f t="shared" ca="1" si="15"/>
        <v>#REF!</v>
      </c>
      <c r="K23" s="71" t="e">
        <f t="shared" ca="1" si="15"/>
        <v>#REF!</v>
      </c>
      <c r="L23" s="71" t="e">
        <f t="shared" ca="1" si="15"/>
        <v>#REF!</v>
      </c>
      <c r="M23" s="71" t="e">
        <f t="shared" ca="1" si="15"/>
        <v>#REF!</v>
      </c>
      <c r="N23" s="77"/>
      <c r="O23" s="93">
        <f t="shared" ca="1" si="24"/>
        <v>0</v>
      </c>
      <c r="P23" s="93">
        <f t="shared" ca="1" si="25"/>
        <v>0</v>
      </c>
      <c r="Q23" s="93">
        <f t="shared" ca="1" si="26"/>
        <v>0</v>
      </c>
      <c r="R23" s="93">
        <f t="shared" ca="1" si="27"/>
        <v>0</v>
      </c>
      <c r="S23" s="74" t="e">
        <f t="shared" ca="1" si="18"/>
        <v>#REF!</v>
      </c>
      <c r="T23" s="74" t="e">
        <f t="shared" ca="1" si="18"/>
        <v>#REF!</v>
      </c>
      <c r="U23" s="74" t="e">
        <f t="shared" ca="1" si="18"/>
        <v>#REF!</v>
      </c>
      <c r="V23" s="74" t="e">
        <f t="shared" ca="1" si="18"/>
        <v>#REF!</v>
      </c>
      <c r="W23" s="74" t="e">
        <f t="shared" ca="1" si="18"/>
        <v>#REF!</v>
      </c>
      <c r="X23" s="74" t="e">
        <f t="shared" ca="1" si="18"/>
        <v>#REF!</v>
      </c>
      <c r="Y23" s="74" t="e">
        <f t="shared" ca="1" si="18"/>
        <v>#REF!</v>
      </c>
      <c r="Z23" s="74" t="e">
        <f t="shared" ca="1" si="18"/>
        <v>#REF!</v>
      </c>
      <c r="AA23" s="74" t="e">
        <f t="shared" ca="1" si="18"/>
        <v>#REF!</v>
      </c>
      <c r="AB23" s="74" t="e">
        <f t="shared" ca="1" si="18"/>
        <v>#REF!</v>
      </c>
    </row>
    <row r="24" spans="3:28" x14ac:dyDescent="0.35">
      <c r="C24" s="71" t="e">
        <f t="shared" ca="1" si="22"/>
        <v>#REF!</v>
      </c>
      <c r="D24" s="71" t="e">
        <f t="shared" ca="1" si="22"/>
        <v>#REF!</v>
      </c>
      <c r="E24" s="71" t="e">
        <f t="shared" ca="1" si="22"/>
        <v>#REF!</v>
      </c>
      <c r="F24" s="71" t="e">
        <f t="shared" ca="1" si="22"/>
        <v>#REF!</v>
      </c>
      <c r="G24" s="71" t="e">
        <f t="shared" ca="1" si="22"/>
        <v>#REF!</v>
      </c>
      <c r="H24" s="77">
        <f t="shared" ca="1" si="23"/>
        <v>0</v>
      </c>
      <c r="I24" s="71" t="e">
        <f t="shared" ref="I24:M31" ca="1" si="28">SUMPRODUCT(SUMIF(INDIRECT("'"&amp;$B24:$B24&amp;"'!$H$43:$h$48"),I$2,INDIRECT("'"&amp;$B24:$B24&amp;"'!$L$43:$l$48")))</f>
        <v>#REF!</v>
      </c>
      <c r="J24" s="71" t="e">
        <f t="shared" ca="1" si="28"/>
        <v>#REF!</v>
      </c>
      <c r="K24" s="71" t="e">
        <f t="shared" ca="1" si="28"/>
        <v>#REF!</v>
      </c>
      <c r="L24" s="71" t="e">
        <f t="shared" ca="1" si="28"/>
        <v>#REF!</v>
      </c>
      <c r="M24" s="71" t="e">
        <f t="shared" ca="1" si="28"/>
        <v>#REF!</v>
      </c>
      <c r="N24" s="77"/>
      <c r="O24" s="93">
        <f t="shared" ca="1" si="24"/>
        <v>0</v>
      </c>
      <c r="P24" s="93">
        <f t="shared" ca="1" si="25"/>
        <v>0</v>
      </c>
      <c r="Q24" s="93">
        <f t="shared" ca="1" si="26"/>
        <v>0</v>
      </c>
      <c r="R24" s="93">
        <f t="shared" ca="1" si="27"/>
        <v>0</v>
      </c>
      <c r="S24" s="74" t="e">
        <f t="shared" ref="S24:AB31" ca="1" si="29">SUMPRODUCT(SUMIF(INDIRECT("'"&amp;$B24:$B24&amp;"'!$b$87:$b$96"),S$2,INDIRECT("'"&amp;$B24:$B24&amp;"'!$i$87:$i$96")))</f>
        <v>#REF!</v>
      </c>
      <c r="T24" s="74" t="e">
        <f t="shared" ca="1" si="29"/>
        <v>#REF!</v>
      </c>
      <c r="U24" s="74" t="e">
        <f t="shared" ca="1" si="29"/>
        <v>#REF!</v>
      </c>
      <c r="V24" s="74" t="e">
        <f t="shared" ca="1" si="29"/>
        <v>#REF!</v>
      </c>
      <c r="W24" s="74" t="e">
        <f t="shared" ca="1" si="29"/>
        <v>#REF!</v>
      </c>
      <c r="X24" s="74" t="e">
        <f t="shared" ca="1" si="29"/>
        <v>#REF!</v>
      </c>
      <c r="Y24" s="74" t="e">
        <f t="shared" ca="1" si="29"/>
        <v>#REF!</v>
      </c>
      <c r="Z24" s="74" t="e">
        <f t="shared" ca="1" si="29"/>
        <v>#REF!</v>
      </c>
      <c r="AA24" s="74" t="e">
        <f t="shared" ca="1" si="29"/>
        <v>#REF!</v>
      </c>
      <c r="AB24" s="74" t="e">
        <f t="shared" ca="1" si="29"/>
        <v>#REF!</v>
      </c>
    </row>
    <row r="25" spans="3:28" x14ac:dyDescent="0.35">
      <c r="C25" s="71" t="e">
        <f t="shared" ref="C25:G31" ca="1" si="30">SUMPRODUCT(SUMIF(INDIRECT("'"&amp;$B25:$B25&amp;"'!$H$6:$h$10"),C$2,INDIRECT("'"&amp;$B25:$B25&amp;"'!$L$6:$l$10")))</f>
        <v>#REF!</v>
      </c>
      <c r="D25" s="71" t="e">
        <f t="shared" ca="1" si="30"/>
        <v>#REF!</v>
      </c>
      <c r="E25" s="71" t="e">
        <f t="shared" ca="1" si="30"/>
        <v>#REF!</v>
      </c>
      <c r="F25" s="71" t="e">
        <f t="shared" ca="1" si="30"/>
        <v>#REF!</v>
      </c>
      <c r="G25" s="71" t="e">
        <f t="shared" ca="1" si="30"/>
        <v>#REF!</v>
      </c>
      <c r="H25" s="77">
        <f t="shared" ca="1" si="23"/>
        <v>0</v>
      </c>
      <c r="I25" s="71" t="e">
        <f t="shared" ca="1" si="28"/>
        <v>#REF!</v>
      </c>
      <c r="J25" s="71" t="e">
        <f t="shared" ca="1" si="28"/>
        <v>#REF!</v>
      </c>
      <c r="K25" s="71" t="e">
        <f t="shared" ca="1" si="28"/>
        <v>#REF!</v>
      </c>
      <c r="L25" s="71" t="e">
        <f t="shared" ca="1" si="28"/>
        <v>#REF!</v>
      </c>
      <c r="M25" s="71" t="e">
        <f t="shared" ca="1" si="28"/>
        <v>#REF!</v>
      </c>
      <c r="N25" s="77"/>
      <c r="O25" s="93">
        <f t="shared" ca="1" si="24"/>
        <v>0</v>
      </c>
      <c r="P25" s="93">
        <f t="shared" ca="1" si="25"/>
        <v>0</v>
      </c>
      <c r="Q25" s="93">
        <f t="shared" ca="1" si="26"/>
        <v>0</v>
      </c>
      <c r="R25" s="93">
        <f t="shared" ca="1" si="27"/>
        <v>0</v>
      </c>
      <c r="S25" s="74" t="e">
        <f t="shared" ca="1" si="29"/>
        <v>#REF!</v>
      </c>
      <c r="T25" s="74" t="e">
        <f t="shared" ca="1" si="29"/>
        <v>#REF!</v>
      </c>
      <c r="U25" s="74" t="e">
        <f t="shared" ca="1" si="29"/>
        <v>#REF!</v>
      </c>
      <c r="V25" s="74" t="e">
        <f t="shared" ca="1" si="29"/>
        <v>#REF!</v>
      </c>
      <c r="W25" s="74" t="e">
        <f t="shared" ca="1" si="29"/>
        <v>#REF!</v>
      </c>
      <c r="X25" s="74" t="e">
        <f t="shared" ca="1" si="29"/>
        <v>#REF!</v>
      </c>
      <c r="Y25" s="74" t="e">
        <f t="shared" ca="1" si="29"/>
        <v>#REF!</v>
      </c>
      <c r="Z25" s="74" t="e">
        <f t="shared" ca="1" si="29"/>
        <v>#REF!</v>
      </c>
      <c r="AA25" s="74" t="e">
        <f t="shared" ca="1" si="29"/>
        <v>#REF!</v>
      </c>
      <c r="AB25" s="74" t="e">
        <f t="shared" ca="1" si="29"/>
        <v>#REF!</v>
      </c>
    </row>
    <row r="26" spans="3:28" x14ac:dyDescent="0.35">
      <c r="C26" s="71" t="e">
        <f t="shared" ca="1" si="30"/>
        <v>#REF!</v>
      </c>
      <c r="D26" s="71" t="e">
        <f t="shared" ca="1" si="30"/>
        <v>#REF!</v>
      </c>
      <c r="E26" s="71" t="e">
        <f t="shared" ca="1" si="30"/>
        <v>#REF!</v>
      </c>
      <c r="F26" s="71" t="e">
        <f t="shared" ca="1" si="30"/>
        <v>#REF!</v>
      </c>
      <c r="G26" s="71" t="e">
        <f t="shared" ca="1" si="30"/>
        <v>#REF!</v>
      </c>
      <c r="H26" s="77">
        <f t="shared" ca="1" si="23"/>
        <v>0</v>
      </c>
      <c r="I26" s="71" t="e">
        <f t="shared" ca="1" si="28"/>
        <v>#REF!</v>
      </c>
      <c r="J26" s="71" t="e">
        <f t="shared" ca="1" si="28"/>
        <v>#REF!</v>
      </c>
      <c r="K26" s="71" t="e">
        <f t="shared" ca="1" si="28"/>
        <v>#REF!</v>
      </c>
      <c r="L26" s="71" t="e">
        <f t="shared" ca="1" si="28"/>
        <v>#REF!</v>
      </c>
      <c r="M26" s="71" t="e">
        <f t="shared" ca="1" si="28"/>
        <v>#REF!</v>
      </c>
      <c r="N26" s="77"/>
      <c r="O26" s="93">
        <f t="shared" ca="1" si="24"/>
        <v>0</v>
      </c>
      <c r="P26" s="93">
        <f t="shared" ca="1" si="25"/>
        <v>0</v>
      </c>
      <c r="Q26" s="93">
        <f t="shared" ca="1" si="26"/>
        <v>0</v>
      </c>
      <c r="R26" s="93">
        <f t="shared" ca="1" si="27"/>
        <v>0</v>
      </c>
      <c r="S26" s="74" t="e">
        <f t="shared" ca="1" si="29"/>
        <v>#REF!</v>
      </c>
      <c r="T26" s="74" t="e">
        <f t="shared" ca="1" si="29"/>
        <v>#REF!</v>
      </c>
      <c r="U26" s="74" t="e">
        <f t="shared" ca="1" si="29"/>
        <v>#REF!</v>
      </c>
      <c r="V26" s="74" t="e">
        <f t="shared" ca="1" si="29"/>
        <v>#REF!</v>
      </c>
      <c r="W26" s="74" t="e">
        <f t="shared" ca="1" si="29"/>
        <v>#REF!</v>
      </c>
      <c r="X26" s="74" t="e">
        <f t="shared" ca="1" si="29"/>
        <v>#REF!</v>
      </c>
      <c r="Y26" s="74" t="e">
        <f t="shared" ca="1" si="29"/>
        <v>#REF!</v>
      </c>
      <c r="Z26" s="74" t="e">
        <f t="shared" ca="1" si="29"/>
        <v>#REF!</v>
      </c>
      <c r="AA26" s="74" t="e">
        <f t="shared" ca="1" si="29"/>
        <v>#REF!</v>
      </c>
      <c r="AB26" s="74" t="e">
        <f t="shared" ca="1" si="29"/>
        <v>#REF!</v>
      </c>
    </row>
    <row r="27" spans="3:28" x14ac:dyDescent="0.35">
      <c r="C27" s="71" t="e">
        <f t="shared" ca="1" si="30"/>
        <v>#REF!</v>
      </c>
      <c r="D27" s="71" t="e">
        <f t="shared" ca="1" si="30"/>
        <v>#REF!</v>
      </c>
      <c r="E27" s="71" t="e">
        <f t="shared" ca="1" si="30"/>
        <v>#REF!</v>
      </c>
      <c r="F27" s="71" t="e">
        <f t="shared" ca="1" si="30"/>
        <v>#REF!</v>
      </c>
      <c r="G27" s="71" t="e">
        <f t="shared" ca="1" si="30"/>
        <v>#REF!</v>
      </c>
      <c r="H27" s="77">
        <f t="shared" ca="1" si="23"/>
        <v>0</v>
      </c>
      <c r="I27" s="71" t="e">
        <f t="shared" ca="1" si="28"/>
        <v>#REF!</v>
      </c>
      <c r="J27" s="71" t="e">
        <f t="shared" ca="1" si="28"/>
        <v>#REF!</v>
      </c>
      <c r="K27" s="71" t="e">
        <f t="shared" ca="1" si="28"/>
        <v>#REF!</v>
      </c>
      <c r="L27" s="71" t="e">
        <f t="shared" ca="1" si="28"/>
        <v>#REF!</v>
      </c>
      <c r="M27" s="71" t="e">
        <f t="shared" ca="1" si="28"/>
        <v>#REF!</v>
      </c>
      <c r="N27" s="77"/>
      <c r="O27" s="93">
        <f t="shared" ca="1" si="24"/>
        <v>0</v>
      </c>
      <c r="P27" s="93">
        <f t="shared" ca="1" si="25"/>
        <v>0</v>
      </c>
      <c r="Q27" s="93">
        <f t="shared" ca="1" si="26"/>
        <v>0</v>
      </c>
      <c r="R27" s="93">
        <f t="shared" ca="1" si="27"/>
        <v>0</v>
      </c>
      <c r="S27" s="74" t="e">
        <f t="shared" ca="1" si="29"/>
        <v>#REF!</v>
      </c>
      <c r="T27" s="74" t="e">
        <f t="shared" ca="1" si="29"/>
        <v>#REF!</v>
      </c>
      <c r="U27" s="74" t="e">
        <f t="shared" ca="1" si="29"/>
        <v>#REF!</v>
      </c>
      <c r="V27" s="74" t="e">
        <f t="shared" ca="1" si="29"/>
        <v>#REF!</v>
      </c>
      <c r="W27" s="74" t="e">
        <f t="shared" ca="1" si="29"/>
        <v>#REF!</v>
      </c>
      <c r="X27" s="74" t="e">
        <f t="shared" ca="1" si="29"/>
        <v>#REF!</v>
      </c>
      <c r="Y27" s="74" t="e">
        <f t="shared" ca="1" si="29"/>
        <v>#REF!</v>
      </c>
      <c r="Z27" s="74" t="e">
        <f t="shared" ca="1" si="29"/>
        <v>#REF!</v>
      </c>
      <c r="AA27" s="74" t="e">
        <f t="shared" ca="1" si="29"/>
        <v>#REF!</v>
      </c>
      <c r="AB27" s="74" t="e">
        <f t="shared" ca="1" si="29"/>
        <v>#REF!</v>
      </c>
    </row>
    <row r="28" spans="3:28" x14ac:dyDescent="0.35">
      <c r="C28" s="71" t="e">
        <f t="shared" ca="1" si="30"/>
        <v>#REF!</v>
      </c>
      <c r="D28" s="71" t="e">
        <f t="shared" ca="1" si="30"/>
        <v>#REF!</v>
      </c>
      <c r="E28" s="71" t="e">
        <f t="shared" ca="1" si="30"/>
        <v>#REF!</v>
      </c>
      <c r="F28" s="71" t="e">
        <f t="shared" ca="1" si="30"/>
        <v>#REF!</v>
      </c>
      <c r="G28" s="71" t="e">
        <f t="shared" ca="1" si="30"/>
        <v>#REF!</v>
      </c>
      <c r="H28" s="77">
        <f t="shared" ca="1" si="23"/>
        <v>0</v>
      </c>
      <c r="I28" s="71" t="e">
        <f t="shared" ca="1" si="28"/>
        <v>#REF!</v>
      </c>
      <c r="J28" s="71" t="e">
        <f t="shared" ca="1" si="28"/>
        <v>#REF!</v>
      </c>
      <c r="K28" s="71" t="e">
        <f t="shared" ca="1" si="28"/>
        <v>#REF!</v>
      </c>
      <c r="L28" s="71" t="e">
        <f t="shared" ca="1" si="28"/>
        <v>#REF!</v>
      </c>
      <c r="M28" s="71" t="e">
        <f t="shared" ca="1" si="28"/>
        <v>#REF!</v>
      </c>
      <c r="N28" s="77"/>
      <c r="O28" s="93">
        <f t="shared" ca="1" si="24"/>
        <v>0</v>
      </c>
      <c r="P28" s="93">
        <f t="shared" ca="1" si="25"/>
        <v>0</v>
      </c>
      <c r="Q28" s="93">
        <f t="shared" ca="1" si="26"/>
        <v>0</v>
      </c>
      <c r="R28" s="93">
        <f t="shared" ca="1" si="27"/>
        <v>0</v>
      </c>
      <c r="S28" s="74" t="e">
        <f t="shared" ca="1" si="29"/>
        <v>#REF!</v>
      </c>
      <c r="T28" s="74" t="e">
        <f t="shared" ca="1" si="29"/>
        <v>#REF!</v>
      </c>
      <c r="U28" s="74" t="e">
        <f t="shared" ca="1" si="29"/>
        <v>#REF!</v>
      </c>
      <c r="V28" s="74" t="e">
        <f t="shared" ca="1" si="29"/>
        <v>#REF!</v>
      </c>
      <c r="W28" s="74" t="e">
        <f t="shared" ca="1" si="29"/>
        <v>#REF!</v>
      </c>
      <c r="X28" s="74" t="e">
        <f t="shared" ca="1" si="29"/>
        <v>#REF!</v>
      </c>
      <c r="Y28" s="74" t="e">
        <f t="shared" ca="1" si="29"/>
        <v>#REF!</v>
      </c>
      <c r="Z28" s="74" t="e">
        <f t="shared" ca="1" si="29"/>
        <v>#REF!</v>
      </c>
      <c r="AA28" s="74" t="e">
        <f t="shared" ca="1" si="29"/>
        <v>#REF!</v>
      </c>
      <c r="AB28" s="74" t="e">
        <f t="shared" ca="1" si="29"/>
        <v>#REF!</v>
      </c>
    </row>
    <row r="29" spans="3:28" x14ac:dyDescent="0.35">
      <c r="C29" s="71" t="e">
        <f t="shared" ca="1" si="30"/>
        <v>#REF!</v>
      </c>
      <c r="D29" s="71" t="e">
        <f t="shared" ca="1" si="30"/>
        <v>#REF!</v>
      </c>
      <c r="E29" s="71" t="e">
        <f t="shared" ca="1" si="30"/>
        <v>#REF!</v>
      </c>
      <c r="F29" s="71" t="e">
        <f t="shared" ca="1" si="30"/>
        <v>#REF!</v>
      </c>
      <c r="G29" s="71" t="e">
        <f t="shared" ca="1" si="30"/>
        <v>#REF!</v>
      </c>
      <c r="H29" s="77">
        <f t="shared" ca="1" si="23"/>
        <v>0</v>
      </c>
      <c r="I29" s="71" t="e">
        <f t="shared" ca="1" si="28"/>
        <v>#REF!</v>
      </c>
      <c r="J29" s="71" t="e">
        <f t="shared" ca="1" si="28"/>
        <v>#REF!</v>
      </c>
      <c r="K29" s="71" t="e">
        <f t="shared" ca="1" si="28"/>
        <v>#REF!</v>
      </c>
      <c r="L29" s="71" t="e">
        <f t="shared" ca="1" si="28"/>
        <v>#REF!</v>
      </c>
      <c r="M29" s="71" t="e">
        <f t="shared" ca="1" si="28"/>
        <v>#REF!</v>
      </c>
      <c r="N29" s="77"/>
      <c r="O29" s="93">
        <f t="shared" ca="1" si="24"/>
        <v>0</v>
      </c>
      <c r="P29" s="93">
        <f t="shared" ca="1" si="25"/>
        <v>0</v>
      </c>
      <c r="Q29" s="93">
        <f t="shared" ca="1" si="26"/>
        <v>0</v>
      </c>
      <c r="R29" s="93">
        <f t="shared" ca="1" si="27"/>
        <v>0</v>
      </c>
      <c r="S29" s="74" t="e">
        <f t="shared" ca="1" si="29"/>
        <v>#REF!</v>
      </c>
      <c r="T29" s="74" t="e">
        <f t="shared" ca="1" si="29"/>
        <v>#REF!</v>
      </c>
      <c r="U29" s="74" t="e">
        <f t="shared" ca="1" si="29"/>
        <v>#REF!</v>
      </c>
      <c r="V29" s="74" t="e">
        <f t="shared" ca="1" si="29"/>
        <v>#REF!</v>
      </c>
      <c r="W29" s="74" t="e">
        <f t="shared" ca="1" si="29"/>
        <v>#REF!</v>
      </c>
      <c r="X29" s="74" t="e">
        <f t="shared" ca="1" si="29"/>
        <v>#REF!</v>
      </c>
      <c r="Y29" s="74" t="e">
        <f t="shared" ca="1" si="29"/>
        <v>#REF!</v>
      </c>
      <c r="Z29" s="74" t="e">
        <f t="shared" ca="1" si="29"/>
        <v>#REF!</v>
      </c>
      <c r="AA29" s="74" t="e">
        <f t="shared" ca="1" si="29"/>
        <v>#REF!</v>
      </c>
      <c r="AB29" s="74" t="e">
        <f t="shared" ca="1" si="29"/>
        <v>#REF!</v>
      </c>
    </row>
    <row r="30" spans="3:28" x14ac:dyDescent="0.35">
      <c r="C30" s="71" t="e">
        <f t="shared" ca="1" si="30"/>
        <v>#REF!</v>
      </c>
      <c r="D30" s="71" t="e">
        <f t="shared" ca="1" si="30"/>
        <v>#REF!</v>
      </c>
      <c r="E30" s="71" t="e">
        <f t="shared" ca="1" si="30"/>
        <v>#REF!</v>
      </c>
      <c r="F30" s="71" t="e">
        <f t="shared" ca="1" si="30"/>
        <v>#REF!</v>
      </c>
      <c r="G30" s="71" t="e">
        <f t="shared" ca="1" si="30"/>
        <v>#REF!</v>
      </c>
      <c r="H30" s="77">
        <f t="shared" ca="1" si="23"/>
        <v>0</v>
      </c>
      <c r="I30" s="71" t="e">
        <f t="shared" ca="1" si="28"/>
        <v>#REF!</v>
      </c>
      <c r="J30" s="71" t="e">
        <f t="shared" ca="1" si="28"/>
        <v>#REF!</v>
      </c>
      <c r="K30" s="71" t="e">
        <f t="shared" ca="1" si="28"/>
        <v>#REF!</v>
      </c>
      <c r="L30" s="71" t="e">
        <f t="shared" ca="1" si="28"/>
        <v>#REF!</v>
      </c>
      <c r="M30" s="71" t="e">
        <f t="shared" ca="1" si="28"/>
        <v>#REF!</v>
      </c>
      <c r="N30" s="77"/>
      <c r="O30" s="93">
        <f t="shared" ca="1" si="24"/>
        <v>0</v>
      </c>
      <c r="P30" s="93">
        <f t="shared" ca="1" si="25"/>
        <v>0</v>
      </c>
      <c r="Q30" s="93">
        <f t="shared" ca="1" si="26"/>
        <v>0</v>
      </c>
      <c r="R30" s="93">
        <f t="shared" ca="1" si="27"/>
        <v>0</v>
      </c>
      <c r="S30" s="74" t="e">
        <f t="shared" ca="1" si="29"/>
        <v>#REF!</v>
      </c>
      <c r="T30" s="74" t="e">
        <f t="shared" ca="1" si="29"/>
        <v>#REF!</v>
      </c>
      <c r="U30" s="74" t="e">
        <f t="shared" ca="1" si="29"/>
        <v>#REF!</v>
      </c>
      <c r="V30" s="74" t="e">
        <f t="shared" ca="1" si="29"/>
        <v>#REF!</v>
      </c>
      <c r="W30" s="74" t="e">
        <f t="shared" ca="1" si="29"/>
        <v>#REF!</v>
      </c>
      <c r="X30" s="74" t="e">
        <f t="shared" ca="1" si="29"/>
        <v>#REF!</v>
      </c>
      <c r="Y30" s="74" t="e">
        <f t="shared" ca="1" si="29"/>
        <v>#REF!</v>
      </c>
      <c r="Z30" s="74" t="e">
        <f t="shared" ca="1" si="29"/>
        <v>#REF!</v>
      </c>
      <c r="AA30" s="74" t="e">
        <f t="shared" ca="1" si="29"/>
        <v>#REF!</v>
      </c>
      <c r="AB30" s="74" t="e">
        <f t="shared" ca="1" si="29"/>
        <v>#REF!</v>
      </c>
    </row>
    <row r="31" spans="3:28" x14ac:dyDescent="0.35">
      <c r="C31" s="71" t="e">
        <f t="shared" ca="1" si="30"/>
        <v>#REF!</v>
      </c>
      <c r="D31" s="71" t="e">
        <f t="shared" ca="1" si="30"/>
        <v>#REF!</v>
      </c>
      <c r="E31" s="71" t="e">
        <f t="shared" ca="1" si="30"/>
        <v>#REF!</v>
      </c>
      <c r="F31" s="71" t="e">
        <f t="shared" ca="1" si="30"/>
        <v>#REF!</v>
      </c>
      <c r="G31" s="71" t="e">
        <f t="shared" ca="1" si="30"/>
        <v>#REF!</v>
      </c>
      <c r="H31" s="77">
        <f t="shared" ca="1" si="23"/>
        <v>0</v>
      </c>
      <c r="I31" s="71" t="e">
        <f t="shared" ca="1" si="28"/>
        <v>#REF!</v>
      </c>
      <c r="J31" s="71" t="e">
        <f t="shared" ca="1" si="28"/>
        <v>#REF!</v>
      </c>
      <c r="K31" s="71" t="e">
        <f t="shared" ca="1" si="28"/>
        <v>#REF!</v>
      </c>
      <c r="L31" s="71" t="e">
        <f t="shared" ca="1" si="28"/>
        <v>#REF!</v>
      </c>
      <c r="M31" s="71" t="e">
        <f t="shared" ca="1" si="28"/>
        <v>#REF!</v>
      </c>
      <c r="N31" s="77"/>
      <c r="O31" s="93">
        <f t="shared" ca="1" si="24"/>
        <v>0</v>
      </c>
      <c r="P31" s="93">
        <f t="shared" ca="1" si="25"/>
        <v>0</v>
      </c>
      <c r="Q31" s="93">
        <f t="shared" ca="1" si="26"/>
        <v>0</v>
      </c>
      <c r="R31" s="93">
        <f t="shared" ca="1" si="27"/>
        <v>0</v>
      </c>
      <c r="S31" s="74" t="e">
        <f t="shared" ca="1" si="29"/>
        <v>#REF!</v>
      </c>
      <c r="T31" s="74" t="e">
        <f t="shared" ca="1" si="29"/>
        <v>#REF!</v>
      </c>
      <c r="U31" s="74" t="e">
        <f t="shared" ca="1" si="29"/>
        <v>#REF!</v>
      </c>
      <c r="V31" s="74" t="e">
        <f t="shared" ca="1" si="29"/>
        <v>#REF!</v>
      </c>
      <c r="W31" s="74" t="e">
        <f t="shared" ca="1" si="29"/>
        <v>#REF!</v>
      </c>
      <c r="X31" s="74" t="e">
        <f t="shared" ca="1" si="29"/>
        <v>#REF!</v>
      </c>
      <c r="Y31" s="74" t="e">
        <f t="shared" ca="1" si="29"/>
        <v>#REF!</v>
      </c>
      <c r="Z31" s="74" t="e">
        <f t="shared" ca="1" si="29"/>
        <v>#REF!</v>
      </c>
      <c r="AA31" s="74" t="e">
        <f t="shared" ca="1" si="29"/>
        <v>#REF!</v>
      </c>
      <c r="AB31" s="74" t="e">
        <f t="shared" ca="1" si="29"/>
        <v>#REF!</v>
      </c>
    </row>
  </sheetData>
  <mergeCells count="2">
    <mergeCell ref="C1:G1"/>
    <mergeCell ref="S1:AB1"/>
  </mergeCells>
  <dataValidations count="1">
    <dataValidation type="list" allowBlank="1" showInputMessage="1" showErrorMessage="1" sqref="A3:A7">
      <formula1>country_group</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_extra_sheet">
                <anchor moveWithCells="1" sizeWithCells="1">
                  <from>
                    <xdr:col>0</xdr:col>
                    <xdr:colOff>685800</xdr:colOff>
                    <xdr:row>1</xdr:row>
                    <xdr:rowOff>28575</xdr:rowOff>
                  </from>
                  <to>
                    <xdr:col>0</xdr:col>
                    <xdr:colOff>1504950</xdr:colOff>
                    <xdr:row>2</xdr:row>
                    <xdr:rowOff>47625</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Menu!S3:AB3</xm:f>
              <xm:sqref>AC3</xm:sqref>
            </x14:sparkline>
          </x14:sparklines>
        </x14:sparklineGroup>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Menu!H3:L3</xm:f>
              <xm:sqref>N3</xm:sqref>
            </x14:sparkline>
            <x14:sparkline>
              <xm:f>Menu!H4:L4</xm:f>
              <xm:sqref>N4</xm:sqref>
            </x14:sparkline>
            <x14:sparkline>
              <xm:f>Menu!H5:L5</xm:f>
              <xm:sqref>N5</xm:sqref>
            </x14:sparkline>
            <x14:sparkline>
              <xm:f>Menu!H6:L6</xm:f>
              <xm:sqref>N6</xm:sqref>
            </x14:sparkline>
            <x14:sparkline>
              <xm:f>Menu!H7:L7</xm:f>
              <xm:sqref>N7</xm:sqref>
            </x14:sparkline>
            <x14:sparkline>
              <xm:f>Menu!H8:L8</xm:f>
              <xm:sqref>N8</xm:sqref>
            </x14:sparkline>
            <x14:sparkline>
              <xm:f>Menu!H9:L9</xm:f>
              <xm:sqref>N9</xm:sqref>
            </x14:sparkline>
            <x14:sparkline>
              <xm:f>Menu!H10:L10</xm:f>
              <xm:sqref>N10</xm:sqref>
            </x14:sparkline>
            <x14:sparkline>
              <xm:f>Menu!H11:L11</xm:f>
              <xm:sqref>N11</xm:sqref>
            </x14:sparkline>
            <x14:sparkline>
              <xm:f>Menu!H12:L12</xm:f>
              <xm:sqref>N12</xm:sqref>
            </x14:sparkline>
            <x14:sparkline>
              <xm:f>Menu!H13:L13</xm:f>
              <xm:sqref>N13</xm:sqref>
            </x14:sparkline>
            <x14:sparkline>
              <xm:f>Menu!H14:L14</xm:f>
              <xm:sqref>N14</xm:sqref>
            </x14:sparkline>
            <x14:sparkline>
              <xm:f>Menu!H15:L15</xm:f>
              <xm:sqref>N15</xm:sqref>
            </x14:sparkline>
            <x14:sparkline>
              <xm:f>Menu!H16:L16</xm:f>
              <xm:sqref>N16</xm:sqref>
            </x14:sparkline>
            <x14:sparkline>
              <xm:f>Menu!H17:L17</xm:f>
              <xm:sqref>N17</xm:sqref>
            </x14:sparkline>
            <x14:sparkline>
              <xm:f>Menu!H18:L18</xm:f>
              <xm:sqref>N18</xm:sqref>
            </x14:sparkline>
            <x14:sparkline>
              <xm:f>Menu!H19:L19</xm:f>
              <xm:sqref>N19</xm:sqref>
            </x14:sparkline>
            <x14:sparkline>
              <xm:f>Menu!H20:L20</xm:f>
              <xm:sqref>N20</xm:sqref>
            </x14:sparkline>
            <x14:sparkline>
              <xm:f>Menu!H21:L21</xm:f>
              <xm:sqref>N21</xm:sqref>
            </x14:sparkline>
            <x14:sparkline>
              <xm:f>Menu!H22:L22</xm:f>
              <xm:sqref>N22</xm:sqref>
            </x14:sparkline>
            <x14:sparkline>
              <xm:f>Menu!H23:L23</xm:f>
              <xm:sqref>N23</xm:sqref>
            </x14:sparkline>
            <x14:sparkline>
              <xm:f>Menu!H24:L24</xm:f>
              <xm:sqref>N24</xm:sqref>
            </x14:sparkline>
            <x14:sparkline>
              <xm:f>Menu!H25:L25</xm:f>
              <xm:sqref>N25</xm:sqref>
            </x14:sparkline>
            <x14:sparkline>
              <xm:f>Menu!H26:L26</xm:f>
              <xm:sqref>N26</xm:sqref>
            </x14:sparkline>
            <x14:sparkline>
              <xm:f>Menu!H27:L27</xm:f>
              <xm:sqref>N27</xm:sqref>
            </x14:sparkline>
            <x14:sparkline>
              <xm:f>Menu!H28:L28</xm:f>
              <xm:sqref>N28</xm:sqref>
            </x14:sparkline>
            <x14:sparkline>
              <xm:f>Menu!H29:L29</xm:f>
              <xm:sqref>N29</xm:sqref>
            </x14:sparkline>
            <x14:sparkline>
              <xm:f>Menu!H30:L30</xm:f>
              <xm:sqref>N30</xm:sqref>
            </x14:sparkline>
            <x14:sparkline>
              <xm:f>Menu!H31:L31</xm:f>
              <xm:sqref>N31</xm:sqref>
            </x14:sparkline>
          </x14:sparklines>
        </x14:sparklineGroup>
        <x14:sparklineGroup displayEmptyCellsAs="gap">
          <x14:colorSeries rgb="FF376092"/>
          <x14:colorNegative rgb="FFD00000"/>
          <x14:colorAxis rgb="FF000000"/>
          <x14:colorMarkers rgb="FFD00000"/>
          <x14:colorFirst rgb="FFD00000"/>
          <x14:colorLast rgb="FFD00000"/>
          <x14:colorHigh rgb="FFD00000"/>
          <x14:colorLow rgb="FFD00000"/>
          <x14:sparklines>
            <x14:sparkline>
              <xm:f>Menu!S4:AB4</xm:f>
              <xm:sqref>AC4</xm:sqref>
            </x14:sparkline>
            <x14:sparkline>
              <xm:f>Menu!S5:AB5</xm:f>
              <xm:sqref>AC5</xm:sqref>
            </x14:sparkline>
            <x14:sparkline>
              <xm:f>Menu!S6:AB6</xm:f>
              <xm:sqref>AC6</xm:sqref>
            </x14:sparkline>
            <x14:sparkline>
              <xm:f>Menu!S7:AB7</xm:f>
              <xm:sqref>AC7</xm:sqref>
            </x14:sparkline>
            <x14:sparkline>
              <xm:f>Menu!S8:AB8</xm:f>
              <xm:sqref>AC8</xm:sqref>
            </x14:sparkline>
            <x14:sparkline>
              <xm:f>Menu!S9:AB9</xm:f>
              <xm:sqref>AC9</xm:sqref>
            </x14:sparkline>
            <x14:sparkline>
              <xm:f>Menu!S10:AB10</xm:f>
              <xm:sqref>AC10</xm:sqref>
            </x14:sparkline>
            <x14:sparkline>
              <xm:f>Menu!S11:AB11</xm:f>
              <xm:sqref>AC11</xm:sqref>
            </x14:sparkline>
            <x14:sparkline>
              <xm:f>Menu!S12:AB12</xm:f>
              <xm:sqref>AC12</xm:sqref>
            </x14:sparkline>
            <x14:sparkline>
              <xm:f>Menu!S13:AB13</xm:f>
              <xm:sqref>AC13</xm:sqref>
            </x14:sparkline>
            <x14:sparkline>
              <xm:f>Menu!S14:AB14</xm:f>
              <xm:sqref>AC14</xm:sqref>
            </x14:sparkline>
            <x14:sparkline>
              <xm:f>Menu!S15:AB15</xm:f>
              <xm:sqref>AC15</xm:sqref>
            </x14:sparkline>
            <x14:sparkline>
              <xm:f>Menu!S16:AB16</xm:f>
              <xm:sqref>AC16</xm:sqref>
            </x14:sparkline>
            <x14:sparkline>
              <xm:f>Menu!S17:AB17</xm:f>
              <xm:sqref>AC17</xm:sqref>
            </x14:sparkline>
            <x14:sparkline>
              <xm:f>Menu!S18:AB18</xm:f>
              <xm:sqref>AC18</xm:sqref>
            </x14:sparkline>
            <x14:sparkline>
              <xm:f>Menu!S19:AB19</xm:f>
              <xm:sqref>AC19</xm:sqref>
            </x14:sparkline>
            <x14:sparkline>
              <xm:f>Menu!S20:AB20</xm:f>
              <xm:sqref>AC20</xm:sqref>
            </x14:sparkline>
            <x14:sparkline>
              <xm:f>Menu!S21:AB21</xm:f>
              <xm:sqref>AC21</xm:sqref>
            </x14:sparkline>
            <x14:sparkline>
              <xm:f>Menu!S22:AB22</xm:f>
              <xm:sqref>AC22</xm:sqref>
            </x14:sparkline>
            <x14:sparkline>
              <xm:f>Menu!S23:AB23</xm:f>
              <xm:sqref>AC23</xm:sqref>
            </x14:sparkline>
            <x14:sparkline>
              <xm:f>Menu!S24:AB24</xm:f>
              <xm:sqref>AC24</xm:sqref>
            </x14:sparkline>
            <x14:sparkline>
              <xm:f>Menu!S25:AB25</xm:f>
              <xm:sqref>AC25</xm:sqref>
            </x14:sparkline>
            <x14:sparkline>
              <xm:f>Menu!S26:AB26</xm:f>
              <xm:sqref>AC26</xm:sqref>
            </x14:sparkline>
            <x14:sparkline>
              <xm:f>Menu!S27:AB27</xm:f>
              <xm:sqref>AC27</xm:sqref>
            </x14:sparkline>
            <x14:sparkline>
              <xm:f>Menu!S28:AB28</xm:f>
              <xm:sqref>AC28</xm:sqref>
            </x14:sparkline>
            <x14:sparkline>
              <xm:f>Menu!S29:AB29</xm:f>
              <xm:sqref>AC29</xm:sqref>
            </x14:sparkline>
            <x14:sparkline>
              <xm:f>Menu!S30:AB30</xm:f>
              <xm:sqref>AC30</xm:sqref>
            </x14:sparkline>
            <x14:sparkline>
              <xm:f>Menu!S31:AB31</xm:f>
              <xm:sqref>AC31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S153"/>
  <sheetViews>
    <sheetView topLeftCell="I73" workbookViewId="0">
      <selection activeCell="I87" sqref="I87:I97"/>
    </sheetView>
  </sheetViews>
  <sheetFormatPr defaultColWidth="8.7109375" defaultRowHeight="12.75" customHeight="1" x14ac:dyDescent="0.25"/>
  <cols>
    <col min="1" max="1" width="35.7109375" style="2" customWidth="1"/>
    <col min="2" max="2" width="12.85546875" style="2" customWidth="1"/>
    <col min="3" max="3" width="16.5703125" style="2" customWidth="1"/>
    <col min="4" max="4" width="20.5703125" style="2" customWidth="1"/>
    <col min="5" max="5" width="18.42578125" style="2" customWidth="1"/>
    <col min="6" max="6" width="16.5703125" style="2" customWidth="1"/>
    <col min="7" max="7" width="14.140625" style="2" customWidth="1"/>
    <col min="8" max="8" width="11.85546875" customWidth="1"/>
    <col min="9" max="12" width="19.140625" style="2" customWidth="1"/>
    <col min="13" max="16384" width="8.7109375" style="2"/>
  </cols>
  <sheetData>
    <row r="1" spans="1:19" ht="12.75" customHeight="1" thickBot="1" x14ac:dyDescent="0.5">
      <c r="A1" s="99" t="s">
        <v>42</v>
      </c>
      <c r="B1" s="100"/>
      <c r="E1" s="79" t="s">
        <v>207</v>
      </c>
      <c r="F1" s="70"/>
      <c r="H1" s="103" t="s">
        <v>924</v>
      </c>
      <c r="I1" s="104"/>
      <c r="J1" s="104"/>
      <c r="K1" s="104"/>
      <c r="L1" s="105"/>
      <c r="O1" s="2">
        <v>4</v>
      </c>
      <c r="P1" t="s">
        <v>286</v>
      </c>
      <c r="Q1" t="s">
        <v>289</v>
      </c>
      <c r="R1" s="2" t="s">
        <v>920</v>
      </c>
      <c r="S1" s="2">
        <v>2</v>
      </c>
    </row>
    <row r="2" spans="1:19" ht="12.75" customHeight="1" x14ac:dyDescent="0.35">
      <c r="A2" s="7" t="s">
        <v>0</v>
      </c>
      <c r="R2" s="2" t="s">
        <v>922</v>
      </c>
      <c r="S2" s="2">
        <v>3</v>
      </c>
    </row>
    <row r="3" spans="1:19" ht="12.75" customHeight="1" x14ac:dyDescent="0.35">
      <c r="A3" s="53" t="s">
        <v>927</v>
      </c>
      <c r="B3" s="2" t="s">
        <v>1109</v>
      </c>
      <c r="H3" s="47" t="s">
        <v>925</v>
      </c>
      <c r="I3" s="48"/>
      <c r="J3" s="48"/>
      <c r="R3" s="2" t="s">
        <v>921</v>
      </c>
      <c r="S3" s="2">
        <v>4</v>
      </c>
    </row>
    <row r="4" spans="1:19" ht="12.75" customHeight="1" x14ac:dyDescent="0.3">
      <c r="A4" s="46" t="s">
        <v>1108</v>
      </c>
      <c r="H4" s="2"/>
    </row>
    <row r="5" spans="1:19" ht="12.75" customHeight="1" x14ac:dyDescent="0.3">
      <c r="B5" s="13" t="s">
        <v>1</v>
      </c>
      <c r="C5" s="13" t="s">
        <v>2</v>
      </c>
      <c r="D5" s="13" t="s">
        <v>3</v>
      </c>
      <c r="E5" s="13" t="s">
        <v>4</v>
      </c>
      <c r="F5" s="13" t="s">
        <v>5</v>
      </c>
      <c r="H5" s="13" t="s">
        <v>1</v>
      </c>
      <c r="I5" s="13" t="s">
        <v>2</v>
      </c>
      <c r="J5" s="13" t="s">
        <v>3</v>
      </c>
      <c r="K5" s="13" t="s">
        <v>4</v>
      </c>
      <c r="L5" s="13" t="s">
        <v>5</v>
      </c>
    </row>
    <row r="6" spans="1:19" ht="12.75" customHeight="1" x14ac:dyDescent="0.35">
      <c r="B6" s="14">
        <v>2006</v>
      </c>
      <c r="C6" s="68"/>
      <c r="D6" s="68"/>
      <c r="E6" s="68"/>
      <c r="F6" s="49">
        <f>SUM(C6:E6)</f>
        <v>0</v>
      </c>
      <c r="H6" s="14">
        <v>2006</v>
      </c>
      <c r="I6" s="58">
        <f>IF($A$4=$R$1,IF($C$3="United States Dollar (USD)",C6,(C6*(SUMIFS(IMF!AJ:AJ,IMF!$D:$D,$E$1,IMF!$C:$C,$Q$1)/SUMIFS(IMF!AJ:AJ,IMF!$D:$D,$E$1,IMF!$C:$C,$P$1))))/1000,IF($A$4=$R$3,IF($C$3="United States Dollar (USD)",C6,(C6*(SUMIFS(IMF!AJ:AJ,IMF!$D:$D,$E$1,IMF!$C:$C,$Q$1)/SUMIFS(IMF!AJ:AJ,IMF!$D:$D,$E$1,IMF!$C:$C,$P$1))))*1000,IF($C$3="United States Dollar (USD)",C6,(C6*(SUMIFS(IMF!AJ:AJ,IMF!$D:$D,$E$1,IMF!$C:$C,$Q$1)/SUMIFS(IMF!AJ:AJ,IMF!$D:$D,$E$1,IMF!$C:$C,$P$1))))))</f>
        <v>0</v>
      </c>
      <c r="J6" s="58">
        <f>IF($A$4=$R$1,IF($C$3="United States Dollar (USD)",D6,(D6*(SUMIFS(IMF!AJ:AJ,IMF!$D:$D,$E$1,IMF!$C:$C,$Q$1)/SUMIFS(IMF!AJ:AJ,IMF!$D:$D,$E$1,IMF!$C:$C,$P$1))))/1000,IF($A$4=$R$3,IF($C$3="United States Dollar (USD)",D6,(D6*(SUMIFS(IMF!AJ:AJ,IMF!$D:$D,$E$1,IMF!$C:$C,$Q$1)/SUMIFS(IMF!AJ:AJ,IMF!$D:$D,$E$1,IMF!$C:$C,$P$1))))*1000,IF($C$3="United States Dollar (USD)",D6,(D6*(SUMIFS(IMF!AJ:AJ,IMF!$D:$D,$E$1,IMF!$C:$C,$Q$1)/SUMIFS(IMF!AJ:AJ,IMF!$D:$D,$E$1,IMF!$C:$C,$P$1))))))</f>
        <v>0</v>
      </c>
      <c r="K6" s="58">
        <f>IF($A$4=$R$1,IF($C$3="United States Dollar (USD)",E6,(E6*(SUMIFS(IMF!AJ:AJ,IMF!$D:$D,$E$1,IMF!$C:$C,$Q$1)/SUMIFS(IMF!AJ:AJ,IMF!$D:$D,$E$1,IMF!$C:$C,$P$1))))/1000,IF($A$4=$R$3,IF($C$3="United States Dollar (USD)",E6,(E6*(SUMIFS(IMF!AJ:AJ,IMF!$D:$D,$E$1,IMF!$C:$C,$Q$1)/SUMIFS(IMF!AJ:AJ,IMF!$D:$D,$E$1,IMF!$C:$C,$P$1))))*1000,IF($C$3="United States Dollar (USD)",E6,(E6*(SUMIFS(IMF!AJ:AJ,IMF!$D:$D,$E$1,IMF!$C:$C,$Q$1)/SUMIFS(IMF!AJ:AJ,IMF!$D:$D,$E$1,IMF!$C:$C,$P$1))))))</f>
        <v>0</v>
      </c>
      <c r="L6" s="59">
        <f>SUM(I6:K6)</f>
        <v>0</v>
      </c>
    </row>
    <row r="7" spans="1:19" ht="12.75" customHeight="1" x14ac:dyDescent="0.35">
      <c r="B7" s="14">
        <v>2007</v>
      </c>
      <c r="C7" s="68"/>
      <c r="D7" s="68"/>
      <c r="E7" s="68"/>
      <c r="F7" s="49">
        <f>SUM(C7:E7)</f>
        <v>0</v>
      </c>
      <c r="H7" s="14">
        <v>2007</v>
      </c>
      <c r="I7" s="58">
        <f>IF($A$4=$R$1,IF($C$3="United States Dollar (USD)",C7,(C7*(SUMIFS(IMF!AK:AK,IMF!$D:$D,$E$1,IMF!$C:$C,$Q$1)/SUMIFS(IMF!AK:AK,IMF!$D:$D,$E$1,IMF!$C:$C,$P$1))))/1000,IF($A$4=$R$3,IF($C$3="United States Dollar (USD)",C7,(C7*(SUMIFS(IMF!AK:AK,IMF!$D:$D,$E$1,IMF!$C:$C,$Q$1)/SUMIFS(IMF!AK:AK,IMF!$D:$D,$E$1,IMF!$C:$C,$P$1))))*1000,IF($C$3="United States Dollar (USD)",C7,(C7*(SUMIFS(IMF!AK:AK,IMF!$D:$D,$E$1,IMF!$C:$C,$Q$1)/SUMIFS(IMF!AK:AK,IMF!$D:$D,$E$1,IMF!$C:$C,$P$1))))))</f>
        <v>0</v>
      </c>
      <c r="J7" s="58">
        <f>IF($A$4=$R$1,IF($C$3="United States Dollar (USD)",D7,(D7*(SUMIFS(IMF!AK:AK,IMF!$D:$D,$E$1,IMF!$C:$C,$Q$1)/SUMIFS(IMF!AK:AK,IMF!$D:$D,$E$1,IMF!$C:$C,$P$1))))/1000,IF($A$4=$R$3,IF($C$3="United States Dollar (USD)",D7,(D7*(SUMIFS(IMF!AK:AK,IMF!$D:$D,$E$1,IMF!$C:$C,$Q$1)/SUMIFS(IMF!AK:AK,IMF!$D:$D,$E$1,IMF!$C:$C,$P$1))))*1000,IF($C$3="United States Dollar (USD)",D7,(D7*(SUMIFS(IMF!AK:AK,IMF!$D:$D,$E$1,IMF!$C:$C,$Q$1)/SUMIFS(IMF!AK:AK,IMF!$D:$D,$E$1,IMF!$C:$C,$P$1))))))</f>
        <v>0</v>
      </c>
      <c r="K7" s="58">
        <f>IF($A$4=$R$1,IF($C$3="United States Dollar (USD)",E7,(E7*(SUMIFS(IMF!AK:AK,IMF!$D:$D,$E$1,IMF!$C:$C,$Q$1)/SUMIFS(IMF!AK:AK,IMF!$D:$D,$E$1,IMF!$C:$C,$P$1))))/1000,IF($A$4=$R$3,IF($C$3="United States Dollar (USD)",E7,(E7*(SUMIFS(IMF!AK:AK,IMF!$D:$D,$E$1,IMF!$C:$C,$Q$1)/SUMIFS(IMF!AK:AK,IMF!$D:$D,$E$1,IMF!$C:$C,$P$1))))*1000,IF($C$3="United States Dollar (USD)",E7,(E7*(SUMIFS(IMF!AK:AK,IMF!$D:$D,$E$1,IMF!$C:$C,$Q$1)/SUMIFS(IMF!AK:AK,IMF!$D:$D,$E$1,IMF!$C:$C,$P$1))))))</f>
        <v>0</v>
      </c>
      <c r="L7" s="59">
        <f>SUM(I7:K7)</f>
        <v>0</v>
      </c>
    </row>
    <row r="8" spans="1:19" ht="12.75" customHeight="1" x14ac:dyDescent="0.35">
      <c r="B8" s="14">
        <v>2008</v>
      </c>
      <c r="C8" s="68"/>
      <c r="D8" s="68"/>
      <c r="E8" s="68"/>
      <c r="F8" s="49">
        <f>SUM(C8:E8)</f>
        <v>0</v>
      </c>
      <c r="G8" s="4"/>
      <c r="H8" s="14">
        <v>2008</v>
      </c>
      <c r="I8" s="58">
        <f>IF($A$4=$R$1,IF($C$3="United States Dollar (USD)",C8,(C8*(SUMIFS(IMF!AL:AL,IMF!$D:$D,$E$1,IMF!$C:$C,$Q$1)/SUMIFS(IMF!AL:AL,IMF!$D:$D,$E$1,IMF!$C:$C,$P$1))))/1000,IF($A$4=$R$3,IF($C$3="United States Dollar (USD)",C8,(C8*(SUMIFS(IMF!AL:AL,IMF!$D:$D,$E$1,IMF!$C:$C,$Q$1)/SUMIFS(IMF!AL:AL,IMF!$D:$D,$E$1,IMF!$C:$C,$P$1))))*1000,IF($C$3="United States Dollar (USD)",C8,(C8*(SUMIFS(IMF!AL:AL,IMF!$D:$D,$E$1,IMF!$C:$C,$Q$1)/SUMIFS(IMF!AL:AL,IMF!$D:$D,$E$1,IMF!$C:$C,$P$1))))))</f>
        <v>0</v>
      </c>
      <c r="J8" s="58">
        <f>IF($A$4=$R$1,IF($C$3="United States Dollar (USD)",D8,(D8*(SUMIFS(IMF!AL:AL,IMF!$D:$D,$E$1,IMF!$C:$C,$Q$1)/SUMIFS(IMF!AL:AL,IMF!$D:$D,$E$1,IMF!$C:$C,$P$1))))/1000,IF($A$4=$R$3,IF($C$3="United States Dollar (USD)",D8,(D8*(SUMIFS(IMF!AL:AL,IMF!$D:$D,$E$1,IMF!$C:$C,$Q$1)/SUMIFS(IMF!AL:AL,IMF!$D:$D,$E$1,IMF!$C:$C,$P$1))))*1000,IF($C$3="United States Dollar (USD)",D8,(D8*(SUMIFS(IMF!AL:AL,IMF!$D:$D,$E$1,IMF!$C:$C,$Q$1)/SUMIFS(IMF!AL:AL,IMF!$D:$D,$E$1,IMF!$C:$C,$P$1))))))</f>
        <v>0</v>
      </c>
      <c r="K8" s="58">
        <f>IF($A$4=$R$1,IF($C$3="United States Dollar (USD)",E8,(E8*(SUMIFS(IMF!AL:AL,IMF!$D:$D,$E$1,IMF!$C:$C,$Q$1)/SUMIFS(IMF!AL:AL,IMF!$D:$D,$E$1,IMF!$C:$C,$P$1))))/1000,IF($A$4=$R$3,IF($C$3="United States Dollar (USD)",E8,(E8*(SUMIFS(IMF!AL:AL,IMF!$D:$D,$E$1,IMF!$C:$C,$Q$1)/SUMIFS(IMF!AL:AL,IMF!$D:$D,$E$1,IMF!$C:$C,$P$1))))*1000,IF($C$3="United States Dollar (USD)",E8,(E8*(SUMIFS(IMF!AL:AL,IMF!$D:$D,$E$1,IMF!$C:$C,$Q$1)/SUMIFS(IMF!AL:AL,IMF!$D:$D,$E$1,IMF!$C:$C,$P$1))))))</f>
        <v>0</v>
      </c>
      <c r="L8" s="59">
        <f>SUM(I8:K8)</f>
        <v>0</v>
      </c>
    </row>
    <row r="9" spans="1:19" ht="12.75" customHeight="1" x14ac:dyDescent="0.35">
      <c r="B9" s="14">
        <v>2009</v>
      </c>
      <c r="C9" s="68"/>
      <c r="D9" s="68"/>
      <c r="E9" s="68"/>
      <c r="F9" s="49">
        <f>SUM(C9:E9)</f>
        <v>0</v>
      </c>
      <c r="G9" s="5"/>
      <c r="H9" s="14">
        <v>2009</v>
      </c>
      <c r="I9" s="58">
        <f>IF($A$4=$R$1,IF($C$3="United States Dollar (USD)",C9,(C9*(SUMIFS(IMF!AM:AM,IMF!$D:$D,$E$1,IMF!$C:$C,$Q$1)/SUMIFS(IMF!AM:AM,IMF!$D:$D,$E$1,IMF!$C:$C,$P$1))))/1000,IF($A$4=$R$3,IF($C$3="United States Dollar (USD)",C9,(C9*(SUMIFS(IMF!AM:AM,IMF!$D:$D,$E$1,IMF!$C:$C,$Q$1)/SUMIFS(IMF!AM:AM,IMF!$D:$D,$E$1,IMF!$C:$C,$P$1))))*1000,IF($C$3="United States Dollar (USD)",C9,(C9*(SUMIFS(IMF!AM:AM,IMF!$D:$D,$E$1,IMF!$C:$C,$Q$1)/SUMIFS(IMF!AM:AM,IMF!$D:$D,$E$1,IMF!$C:$C,$P$1))))))</f>
        <v>0</v>
      </c>
      <c r="J9" s="58">
        <f>IF($A$4=$R$1,IF($C$3="United States Dollar (USD)",D9,(D9*(SUMIFS(IMF!AM:AM,IMF!$D:$D,$E$1,IMF!$C:$C,$Q$1)/SUMIFS(IMF!AM:AM,IMF!$D:$D,$E$1,IMF!$C:$C,$P$1))))/1000,IF($A$4=$R$3,IF($C$3="United States Dollar (USD)",D9,(D9*(SUMIFS(IMF!AM:AM,IMF!$D:$D,$E$1,IMF!$C:$C,$Q$1)/SUMIFS(IMF!AM:AM,IMF!$D:$D,$E$1,IMF!$C:$C,$P$1))))*1000,IF($C$3="United States Dollar (USD)",D9,(D9*(SUMIFS(IMF!AM:AM,IMF!$D:$D,$E$1,IMF!$C:$C,$Q$1)/SUMIFS(IMF!AM:AM,IMF!$D:$D,$E$1,IMF!$C:$C,$P$1))))))</f>
        <v>0</v>
      </c>
      <c r="K9" s="58">
        <f>IF($A$4=$R$1,IF($C$3="United States Dollar (USD)",E9,(E9*(SUMIFS(IMF!AM:AM,IMF!$D:$D,$E$1,IMF!$C:$C,$Q$1)/SUMIFS(IMF!AM:AM,IMF!$D:$D,$E$1,IMF!$C:$C,$P$1))))/1000,IF($A$4=$R$3,IF($C$3="United States Dollar (USD)",E9,(E9*(SUMIFS(IMF!AM:AM,IMF!$D:$D,$E$1,IMF!$C:$C,$Q$1)/SUMIFS(IMF!AM:AM,IMF!$D:$D,$E$1,IMF!$C:$C,$P$1))))*1000,IF($C$3="United States Dollar (USD)",E9,(E9*(SUMIFS(IMF!AM:AM,IMF!$D:$D,$E$1,IMF!$C:$C,$Q$1)/SUMIFS(IMF!AM:AM,IMF!$D:$D,$E$1,IMF!$C:$C,$P$1))))))</f>
        <v>0</v>
      </c>
      <c r="L9" s="59">
        <f>SUM(I9:K9)</f>
        <v>0</v>
      </c>
    </row>
    <row r="10" spans="1:19" ht="12.75" customHeight="1" x14ac:dyDescent="0.35">
      <c r="B10" s="14">
        <v>2010</v>
      </c>
      <c r="C10" s="68"/>
      <c r="D10" s="68"/>
      <c r="E10" s="68"/>
      <c r="F10" s="49">
        <f>SUM(C10:E10)</f>
        <v>0</v>
      </c>
      <c r="H10" s="14">
        <v>2010</v>
      </c>
      <c r="I10" s="58">
        <f>IF($A$4=$R$1,IF($C$3="United States Dollar (USD)",C10,(C10*(SUMIFS(IMF!AN:AN,IMF!$D:$D,$E$1,IMF!$C:$C,$Q$1)/SUMIFS(IMF!AN:AN,IMF!$D:$D,$E$1,IMF!$C:$C,$P$1))))/1000,IF($A$4=$R$3,IF($C$3="United States Dollar (USD)",C10,(C10*(SUMIFS(IMF!AN:AN,IMF!$D:$D,$E$1,IMF!$C:$C,$Q$1)/SUMIFS(IMF!AN:AN,IMF!$D:$D,$E$1,IMF!$C:$C,$P$1))))*1000,IF($C$3="United States Dollar (USD)",C10,(C10*(SUMIFS(IMF!AN:AN,IMF!$D:$D,$E$1,IMF!$C:$C,$Q$1)/SUMIFS(IMF!AN:AN,IMF!$D:$D,$E$1,IMF!$C:$C,$P$1))))))</f>
        <v>0</v>
      </c>
      <c r="J10" s="58">
        <f>IF($A$4=$R$1,IF($C$3="United States Dollar (USD)",D10,(D10*(SUMIFS(IMF!AN:AN,IMF!$D:$D,$E$1,IMF!$C:$C,$Q$1)/SUMIFS(IMF!AN:AN,IMF!$D:$D,$E$1,IMF!$C:$C,$P$1))))/1000,IF($A$4=$R$3,IF($C$3="United States Dollar (USD)",D10,(D10*(SUMIFS(IMF!AN:AN,IMF!$D:$D,$E$1,IMF!$C:$C,$Q$1)/SUMIFS(IMF!AN:AN,IMF!$D:$D,$E$1,IMF!$C:$C,$P$1))))*1000,IF($C$3="United States Dollar (USD)",D10,(D10*(SUMIFS(IMF!AN:AN,IMF!$D:$D,$E$1,IMF!$C:$C,$Q$1)/SUMIFS(IMF!AN:AN,IMF!$D:$D,$E$1,IMF!$C:$C,$P$1))))))</f>
        <v>0</v>
      </c>
      <c r="K10" s="58">
        <f>IF($A$4=$R$1,IF($C$3="United States Dollar (USD)",E10,(E10*(SUMIFS(IMF!AN:AN,IMF!$D:$D,$E$1,IMF!$C:$C,$Q$1)/SUMIFS(IMF!AN:AN,IMF!$D:$D,$E$1,IMF!$C:$C,$P$1))))/1000,IF($A$4=$R$3,IF($C$3="United States Dollar (USD)",E10,(E10*(SUMIFS(IMF!AN:AN,IMF!$D:$D,$E$1,IMF!$C:$C,$Q$1)/SUMIFS(IMF!AN:AN,IMF!$D:$D,$E$1,IMF!$C:$C,$P$1))))*1000,IF($C$3="United States Dollar (USD)",E10,(E10*(SUMIFS(IMF!AN:AN,IMF!$D:$D,$E$1,IMF!$C:$C,$Q$1)/SUMIFS(IMF!AN:AN,IMF!$D:$D,$E$1,IMF!$C:$C,$P$1))))))</f>
        <v>0</v>
      </c>
      <c r="L10" s="59">
        <f>SUM(I10:K10)</f>
        <v>0</v>
      </c>
    </row>
    <row r="11" spans="1:19" ht="12.75" customHeight="1" x14ac:dyDescent="0.3">
      <c r="B11" s="15" t="s">
        <v>6</v>
      </c>
      <c r="C11" s="49" t="e">
        <f>AVERAGE(C6:C10)</f>
        <v>#DIV/0!</v>
      </c>
      <c r="D11" s="49" t="e">
        <f>AVERAGE(D6:D10)</f>
        <v>#DIV/0!</v>
      </c>
      <c r="E11" s="49" t="e">
        <f>AVERAGE(E6:E10)</f>
        <v>#DIV/0!</v>
      </c>
      <c r="F11" s="49">
        <f>AVERAGE(F6:F10)</f>
        <v>0</v>
      </c>
      <c r="H11" s="15" t="s">
        <v>6</v>
      </c>
      <c r="I11" s="59">
        <f>AVERAGE(I6:I10)</f>
        <v>0</v>
      </c>
      <c r="J11" s="59">
        <f>AVERAGE(J6:J10)</f>
        <v>0</v>
      </c>
      <c r="K11" s="59">
        <f>AVERAGE(K6:K10)</f>
        <v>0</v>
      </c>
      <c r="L11" s="59">
        <f>AVERAGE(L6:L10)</f>
        <v>0</v>
      </c>
    </row>
    <row r="12" spans="1:19" ht="12.75" customHeight="1" x14ac:dyDescent="0.35">
      <c r="A12" s="3" t="s">
        <v>8</v>
      </c>
    </row>
    <row r="13" spans="1:19" ht="12.75" customHeight="1" x14ac:dyDescent="0.35">
      <c r="A13" s="7" t="s">
        <v>9</v>
      </c>
    </row>
    <row r="14" spans="1:19" ht="12.75" customHeight="1" x14ac:dyDescent="0.35">
      <c r="A14" s="63" t="s">
        <v>10</v>
      </c>
      <c r="B14" s="64"/>
      <c r="C14" s="64"/>
      <c r="D14" s="64"/>
      <c r="E14" s="64"/>
    </row>
    <row r="15" spans="1:19" ht="12.75" customHeight="1" x14ac:dyDescent="0.35">
      <c r="A15" s="63" t="s">
        <v>11</v>
      </c>
      <c r="B15" s="64"/>
      <c r="C15" s="64"/>
      <c r="D15" s="64"/>
      <c r="E15" s="64"/>
    </row>
    <row r="16" spans="1:19" ht="12.75" customHeight="1" x14ac:dyDescent="0.35">
      <c r="A16" s="65" t="s">
        <v>12</v>
      </c>
      <c r="B16" s="64"/>
      <c r="C16" s="64"/>
      <c r="D16" s="64"/>
      <c r="E16" s="64"/>
    </row>
    <row r="17" spans="1:5" ht="12.75" customHeight="1" x14ac:dyDescent="0.35">
      <c r="A17" s="66" t="s">
        <v>236</v>
      </c>
      <c r="B17" s="64"/>
      <c r="C17" s="64"/>
      <c r="D17" s="64"/>
      <c r="E17" s="64"/>
    </row>
    <row r="18" spans="1:5" ht="12.75" customHeight="1" x14ac:dyDescent="0.35">
      <c r="A18" s="66" t="s">
        <v>237</v>
      </c>
      <c r="B18" s="64"/>
      <c r="C18" s="64"/>
      <c r="D18" s="64"/>
      <c r="E18" s="64"/>
    </row>
    <row r="19" spans="1:5" ht="12.75" customHeight="1" x14ac:dyDescent="0.35">
      <c r="A19" s="65" t="s">
        <v>12</v>
      </c>
      <c r="B19" s="64"/>
      <c r="C19" s="64"/>
      <c r="D19" s="64"/>
      <c r="E19" s="64"/>
    </row>
    <row r="20" spans="1:5" ht="12.75" customHeight="1" x14ac:dyDescent="0.35">
      <c r="A20" s="63" t="s">
        <v>13</v>
      </c>
      <c r="B20" s="64"/>
      <c r="C20" s="64"/>
      <c r="D20" s="64"/>
      <c r="E20" s="64"/>
    </row>
    <row r="21" spans="1:5" ht="12.75" customHeight="1" x14ac:dyDescent="0.35">
      <c r="A21" s="63" t="s">
        <v>14</v>
      </c>
      <c r="B21" s="64"/>
      <c r="C21" s="64"/>
      <c r="D21" s="64"/>
      <c r="E21" s="64"/>
    </row>
    <row r="22" spans="1:5" ht="12.75" customHeight="1" x14ac:dyDescent="0.35">
      <c r="A22" s="65" t="s">
        <v>15</v>
      </c>
      <c r="B22" s="64"/>
      <c r="C22" s="64"/>
      <c r="D22" s="64"/>
      <c r="E22" s="64"/>
    </row>
    <row r="23" spans="1:5" ht="12.75" customHeight="1" x14ac:dyDescent="0.35">
      <c r="A23" s="63" t="s">
        <v>13</v>
      </c>
      <c r="B23" s="64"/>
      <c r="C23" s="64"/>
      <c r="D23" s="64"/>
      <c r="E23" s="64"/>
    </row>
    <row r="24" spans="1:5" ht="12.75" customHeight="1" x14ac:dyDescent="0.35">
      <c r="A24" s="63" t="s">
        <v>14</v>
      </c>
      <c r="B24" s="64"/>
      <c r="C24" s="64"/>
      <c r="D24" s="64"/>
      <c r="E24" s="64"/>
    </row>
    <row r="25" spans="1:5" ht="12.75" customHeight="1" x14ac:dyDescent="0.35">
      <c r="A25" s="65" t="s">
        <v>16</v>
      </c>
      <c r="B25" s="64"/>
      <c r="C25" s="64"/>
      <c r="D25" s="64"/>
      <c r="E25" s="64"/>
    </row>
    <row r="26" spans="1:5" ht="12.75" customHeight="1" x14ac:dyDescent="0.35">
      <c r="A26" s="3" t="s">
        <v>17</v>
      </c>
    </row>
    <row r="27" spans="1:5" ht="12.75" customHeight="1" thickBot="1" x14ac:dyDescent="0.4">
      <c r="A27" s="7" t="s">
        <v>18</v>
      </c>
    </row>
    <row r="28" spans="1:5" ht="12.75" customHeight="1" thickBot="1" x14ac:dyDescent="0.4">
      <c r="A28" s="43"/>
    </row>
    <row r="29" spans="1:5" ht="12.75" customHeight="1" x14ac:dyDescent="0.35">
      <c r="A29" s="7" t="s">
        <v>19</v>
      </c>
    </row>
    <row r="30" spans="1:5" ht="12.75" customHeight="1" x14ac:dyDescent="0.35">
      <c r="A30" s="7" t="s">
        <v>238</v>
      </c>
    </row>
    <row r="31" spans="1:5" ht="12.75" customHeight="1" x14ac:dyDescent="0.35">
      <c r="A31" s="2" t="s">
        <v>239</v>
      </c>
    </row>
    <row r="32" spans="1:5" ht="12.75" customHeight="1" x14ac:dyDescent="0.35">
      <c r="A32" s="2" t="s">
        <v>32</v>
      </c>
    </row>
    <row r="33" spans="1:12" ht="12.75" customHeight="1" x14ac:dyDescent="0.35">
      <c r="A33" s="2" t="s">
        <v>240</v>
      </c>
    </row>
    <row r="34" spans="1:12" ht="12.75" customHeight="1" x14ac:dyDescent="0.35">
      <c r="A34" s="7" t="s">
        <v>241</v>
      </c>
    </row>
    <row r="35" spans="1:12" ht="12.75" customHeight="1" x14ac:dyDescent="0.35">
      <c r="A35" s="2" t="s">
        <v>239</v>
      </c>
    </row>
    <row r="36" spans="1:12" ht="12.75" customHeight="1" x14ac:dyDescent="0.35">
      <c r="A36" s="2" t="s">
        <v>32</v>
      </c>
    </row>
    <row r="37" spans="1:12" ht="12.75" customHeight="1" x14ac:dyDescent="0.35">
      <c r="A37" s="2" t="s">
        <v>240</v>
      </c>
    </row>
    <row r="38" spans="1:12" ht="12.75" customHeight="1" x14ac:dyDescent="0.35">
      <c r="A38" s="7" t="s">
        <v>242</v>
      </c>
    </row>
    <row r="39" spans="1:12" ht="12.75" customHeight="1" x14ac:dyDescent="0.35">
      <c r="A39" s="2" t="s">
        <v>239</v>
      </c>
    </row>
    <row r="40" spans="1:12" ht="12.75" customHeight="1" x14ac:dyDescent="0.35">
      <c r="A40" s="2" t="s">
        <v>32</v>
      </c>
    </row>
    <row r="41" spans="1:12" ht="12.75" customHeight="1" x14ac:dyDescent="0.35">
      <c r="A41" s="2" t="s">
        <v>240</v>
      </c>
    </row>
    <row r="42" spans="1:12" ht="12.75" customHeight="1" x14ac:dyDescent="0.35">
      <c r="A42" s="7" t="s">
        <v>20</v>
      </c>
    </row>
    <row r="43" spans="1:12" ht="12.75" customHeight="1" x14ac:dyDescent="0.3">
      <c r="B43" s="13" t="s">
        <v>1</v>
      </c>
      <c r="C43" s="13" t="s">
        <v>2</v>
      </c>
      <c r="D43" s="13" t="s">
        <v>3</v>
      </c>
      <c r="E43" s="13" t="s">
        <v>4</v>
      </c>
      <c r="F43" s="13" t="s">
        <v>5</v>
      </c>
      <c r="H43" s="13" t="s">
        <v>1</v>
      </c>
      <c r="I43" s="13" t="s">
        <v>2</v>
      </c>
      <c r="J43" s="13" t="s">
        <v>3</v>
      </c>
      <c r="K43" s="13" t="s">
        <v>4</v>
      </c>
      <c r="L43" s="13" t="s">
        <v>5</v>
      </c>
    </row>
    <row r="44" spans="1:12" ht="12.75" customHeight="1" x14ac:dyDescent="0.35">
      <c r="B44" s="14">
        <v>2011</v>
      </c>
      <c r="C44" s="67"/>
      <c r="D44" s="67"/>
      <c r="E44" s="67"/>
      <c r="F44" s="50">
        <f>SUM(C44:E44)</f>
        <v>0</v>
      </c>
      <c r="H44" s="14">
        <v>2011</v>
      </c>
      <c r="I44" s="58">
        <f>IF($A$4=$R$1,IF($C$3="United States Dollar (USD)",C44,(C44*(SUMIFS(IMF!AO:AO,IMF!$D:$D,$E$1,IMF!$C:$C,$Q$1)/SUMIFS(IMF!AO:AO,IMF!$D:$D,$E$1,IMF!$C:$C,$P$1))))/1000,IF($A$4=$R$3,IF($C$3="United States Dollar (USD)",C44,(C44*(SUMIFS(IMF!AO:AO,IMF!$D:$D,$E$1,IMF!$C:$C,$Q$1)/SUMIFS(IMF!AO:AO,IMF!$D:$D,$E$1,IMF!$C:$C,$P$1))))*1000,IF($C$3="United States Dollar (USD)",C44,(C44*(SUMIFS(IMF!AO:AO,IMF!$D:$D,$E$1,IMF!$C:$C,$Q$1)/SUMIFS(IMF!AO:AO,IMF!$D:$D,$E$1,IMF!$C:$C,$P$1))))))</f>
        <v>0</v>
      </c>
      <c r="J44" s="58">
        <f>IF($A$4=$R$1,IF($C$3="United States Dollar (USD)",D44,(D44*(SUMIFS(IMF!AO:AO,IMF!$D:$D,$E$1,IMF!$C:$C,$Q$1)/SUMIFS(IMF!AO:AO,IMF!$D:$D,$E$1,IMF!$C:$C,$P$1))))/1000,IF($A$4=$R$3,IF($C$3="United States Dollar (USD)",D44,(D44*(SUMIFS(IMF!AO:AO,IMF!$D:$D,$E$1,IMF!$C:$C,$Q$1)/SUMIFS(IMF!AO:AO,IMF!$D:$D,$E$1,IMF!$C:$C,$P$1))))*1000,IF($C$3="United States Dollar (USD)",D44,(D44*(SUMIFS(IMF!AO:AO,IMF!$D:$D,$E$1,IMF!$C:$C,$Q$1)/SUMIFS(IMF!AO:AO,IMF!$D:$D,$E$1,IMF!$C:$C,$P$1))))))</f>
        <v>0</v>
      </c>
      <c r="K44" s="58">
        <f>IF($A$4=$R$1,IF($C$3="United States Dollar (USD)",E44,(E44*(SUMIFS(IMF!AO:AO,IMF!$D:$D,$E$1,IMF!$C:$C,$Q$1)/SUMIFS(IMF!AO:AO,IMF!$D:$D,$E$1,IMF!$C:$C,$P$1))))/1000,IF($A$4=$R$3,IF($C$3="United States Dollar (USD)",E44,(E44*(SUMIFS(IMF!AO:AO,IMF!$D:$D,$E$1,IMF!$C:$C,$Q$1)/SUMIFS(IMF!AO:AO,IMF!$D:$D,$E$1,IMF!$C:$C,$P$1))))*1000,IF($C$3="United States Dollar (USD)",E44,(E44*(SUMIFS(IMF!AO:AO,IMF!$D:$D,$E$1,IMF!$C:$C,$Q$1)/SUMIFS(IMF!AO:AO,IMF!$D:$D,$E$1,IMF!$C:$C,$P$1))))))</f>
        <v>0</v>
      </c>
      <c r="L44" s="59">
        <f>SUM(I44:K44)</f>
        <v>0</v>
      </c>
    </row>
    <row r="45" spans="1:12" ht="12.75" customHeight="1" x14ac:dyDescent="0.35">
      <c r="B45" s="14">
        <v>2012</v>
      </c>
      <c r="C45" s="67"/>
      <c r="D45" s="67"/>
      <c r="E45" s="67"/>
      <c r="F45" s="50">
        <f>SUM(C45:E45)</f>
        <v>0</v>
      </c>
      <c r="H45" s="14">
        <v>2012</v>
      </c>
      <c r="I45" s="58">
        <f>IF($A$4=$R$1,IF($C$3="United States Dollar (USD)",C45,(C45*(SUMIFS(IMF!AP:AP,IMF!$D:$D,$E$1,IMF!$C:$C,$Q$1)/SUMIFS(IMF!AP:AP,IMF!$D:$D,$E$1,IMF!$C:$C,$P$1))))/1000,IF($A$4=$R$3,IF($C$3="United States Dollar (USD)",C45,(C45*(SUMIFS(IMF!AP:AP,IMF!$D:$D,$E$1,IMF!$C:$C,$Q$1)/SUMIFS(IMF!AP:AP,IMF!$D:$D,$E$1,IMF!$C:$C,$P$1))))*1000,IF($C$3="United States Dollar (USD)",C45,(C45*(SUMIFS(IMF!AP:AP,IMF!$D:$D,$E$1,IMF!$C:$C,$Q$1)/SUMIFS(IMF!AP:AP,IMF!$D:$D,$E$1,IMF!$C:$C,$P$1))))))</f>
        <v>0</v>
      </c>
      <c r="J45" s="58">
        <f>IF($A$4=$R$1,IF($C$3="United States Dollar (USD)",D45,(D45*(SUMIFS(IMF!AP:AP,IMF!$D:$D,$E$1,IMF!$C:$C,$Q$1)/SUMIFS(IMF!AP:AP,IMF!$D:$D,$E$1,IMF!$C:$C,$P$1))))/1000,IF($A$4=$R$3,IF($C$3="United States Dollar (USD)",D45,(D45*(SUMIFS(IMF!AP:AP,IMF!$D:$D,$E$1,IMF!$C:$C,$Q$1)/SUMIFS(IMF!AP:AP,IMF!$D:$D,$E$1,IMF!$C:$C,$P$1))))*1000,IF($C$3="United States Dollar (USD)",D45,(D45*(SUMIFS(IMF!AP:AP,IMF!$D:$D,$E$1,IMF!$C:$C,$Q$1)/SUMIFS(IMF!AP:AP,IMF!$D:$D,$E$1,IMF!$C:$C,$P$1))))))</f>
        <v>0</v>
      </c>
      <c r="K45" s="58">
        <f>IF($A$4=$R$1,IF($C$3="United States Dollar (USD)",E45,(E45*(SUMIFS(IMF!AP:AP,IMF!$D:$D,$E$1,IMF!$C:$C,$Q$1)/SUMIFS(IMF!AP:AP,IMF!$D:$D,$E$1,IMF!$C:$C,$P$1))))/1000,IF($A$4=$R$3,IF($C$3="United States Dollar (USD)",E45,(E45*(SUMIFS(IMF!AP:AP,IMF!$D:$D,$E$1,IMF!$C:$C,$Q$1)/SUMIFS(IMF!AP:AP,IMF!$D:$D,$E$1,IMF!$C:$C,$P$1))))*1000,IF($C$3="United States Dollar (USD)",E45,(E45*(SUMIFS(IMF!AP:AP,IMF!$D:$D,$E$1,IMF!$C:$C,$Q$1)/SUMIFS(IMF!AP:AP,IMF!$D:$D,$E$1,IMF!$C:$C,$P$1))))))</f>
        <v>0</v>
      </c>
      <c r="L45" s="59">
        <f>SUM(I45:K45)</f>
        <v>0</v>
      </c>
    </row>
    <row r="46" spans="1:12" ht="12.75" customHeight="1" x14ac:dyDescent="0.35">
      <c r="B46" s="14">
        <v>2013</v>
      </c>
      <c r="C46" s="67"/>
      <c r="D46" s="67"/>
      <c r="E46" s="67"/>
      <c r="F46" s="50">
        <f>SUM(C46:E46)</f>
        <v>0</v>
      </c>
      <c r="H46" s="14">
        <v>2013</v>
      </c>
      <c r="I46" s="58">
        <f>IF($A$4=$R$1,IF($C$3="United States Dollar (USD)",C46,(C46*(SUMIFS(IMF!AQ:AQ,IMF!$D:$D,$E$1,IMF!$C:$C,$Q$1)/SUMIFS(IMF!AQ:AQ,IMF!$D:$D,$E$1,IMF!$C:$C,$P$1))))/1000,IF($A$4=$R$3,IF($C$3="United States Dollar (USD)",C46,(C46*(SUMIFS(IMF!AQ:AQ,IMF!$D:$D,$E$1,IMF!$C:$C,$Q$1)/SUMIFS(IMF!AQ:AQ,IMF!$D:$D,$E$1,IMF!$C:$C,$P$1))))*1000,IF($C$3="United States Dollar (USD)",C46,(C46*(SUMIFS(IMF!AQ:AQ,IMF!$D:$D,$E$1,IMF!$C:$C,$Q$1)/SUMIFS(IMF!AQ:AQ,IMF!$D:$D,$E$1,IMF!$C:$C,$P$1))))))</f>
        <v>0</v>
      </c>
      <c r="J46" s="58">
        <f>IF($A$4=$R$1,IF($C$3="United States Dollar (USD)",D46,(D46*(SUMIFS(IMF!AQ:AQ,IMF!$D:$D,$E$1,IMF!$C:$C,$Q$1)/SUMIFS(IMF!AQ:AQ,IMF!$D:$D,$E$1,IMF!$C:$C,$P$1))))/1000,IF($A$4=$R$3,IF($C$3="United States Dollar (USD)",D46,(D46*(SUMIFS(IMF!AQ:AQ,IMF!$D:$D,$E$1,IMF!$C:$C,$Q$1)/SUMIFS(IMF!AQ:AQ,IMF!$D:$D,$E$1,IMF!$C:$C,$P$1))))*1000,IF($C$3="United States Dollar (USD)",D46,(D46*(SUMIFS(IMF!AQ:AQ,IMF!$D:$D,$E$1,IMF!$C:$C,$Q$1)/SUMIFS(IMF!AQ:AQ,IMF!$D:$D,$E$1,IMF!$C:$C,$P$1))))))</f>
        <v>0</v>
      </c>
      <c r="K46" s="58">
        <f>IF($A$4=$R$1,IF($C$3="United States Dollar (USD)",E46,(E46*(SUMIFS(IMF!AQ:AQ,IMF!$D:$D,$E$1,IMF!$C:$C,$Q$1)/SUMIFS(IMF!AQ:AQ,IMF!$D:$D,$E$1,IMF!$C:$C,$P$1))))/1000,IF($A$4=$R$3,IF($C$3="United States Dollar (USD)",E46,(E46*(SUMIFS(IMF!AQ:AQ,IMF!$D:$D,$E$1,IMF!$C:$C,$Q$1)/SUMIFS(IMF!AQ:AQ,IMF!$D:$D,$E$1,IMF!$C:$C,$P$1))))*1000,IF($C$3="United States Dollar (USD)",E46,(E46*(SUMIFS(IMF!AQ:AQ,IMF!$D:$D,$E$1,IMF!$C:$C,$Q$1)/SUMIFS(IMF!AQ:AQ,IMF!$D:$D,$E$1,IMF!$C:$C,$P$1))))))</f>
        <v>0</v>
      </c>
      <c r="L46" s="59">
        <f>SUM(I46:K46)</f>
        <v>0</v>
      </c>
    </row>
    <row r="47" spans="1:12" ht="12.75" customHeight="1" x14ac:dyDescent="0.35">
      <c r="B47" s="14">
        <v>2014</v>
      </c>
      <c r="C47" s="67"/>
      <c r="D47" s="67"/>
      <c r="E47" s="67"/>
      <c r="F47" s="50">
        <f>SUM(C47:E47)</f>
        <v>0</v>
      </c>
      <c r="H47" s="14">
        <v>2014</v>
      </c>
      <c r="I47" s="58">
        <f>IF($A$4=$R$1,IF($C$3="United States Dollar (USD)",C47,(C47*(SUMIFS(IMF!AR:AR,IMF!$D:$D,$E$1,IMF!$C:$C,$Q$1)/SUMIFS(IMF!AR:AR,IMF!$D:$D,$E$1,IMF!$C:$C,$P$1))))/1000,IF($A$4=$R$3,IF($C$3="United States Dollar (USD)",C47,(C47*(SUMIFS(IMF!AR:AR,IMF!$D:$D,$E$1,IMF!$C:$C,$Q$1)/SUMIFS(IMF!AR:AR,IMF!$D:$D,$E$1,IMF!$C:$C,$P$1))))*1000,IF($C$3="United States Dollar (USD)",C47,(C47*(SUMIFS(IMF!AR:AR,IMF!$D:$D,$E$1,IMF!$C:$C,$Q$1)/SUMIFS(IMF!AR:AR,IMF!$D:$D,$E$1,IMF!$C:$C,$P$1))))))</f>
        <v>0</v>
      </c>
      <c r="J47" s="58">
        <f>IF($A$4=$R$1,IF($C$3="United States Dollar (USD)",D47,(D47*(SUMIFS(IMF!AR:AR,IMF!$D:$D,$E$1,IMF!$C:$C,$Q$1)/SUMIFS(IMF!AR:AR,IMF!$D:$D,$E$1,IMF!$C:$C,$P$1))))/1000,IF($A$4=$R$3,IF($C$3="United States Dollar (USD)",D47,(D47*(SUMIFS(IMF!AR:AR,IMF!$D:$D,$E$1,IMF!$C:$C,$Q$1)/SUMIFS(IMF!AR:AR,IMF!$D:$D,$E$1,IMF!$C:$C,$P$1))))*1000,IF($C$3="United States Dollar (USD)",D47,(D47*(SUMIFS(IMF!AR:AR,IMF!$D:$D,$E$1,IMF!$C:$C,$Q$1)/SUMIFS(IMF!AR:AR,IMF!$D:$D,$E$1,IMF!$C:$C,$P$1))))))</f>
        <v>0</v>
      </c>
      <c r="K47" s="58">
        <f>IF($A$4=$R$1,IF($C$3="United States Dollar (USD)",E47,(E47*(SUMIFS(IMF!AR:AR,IMF!$D:$D,$E$1,IMF!$C:$C,$Q$1)/SUMIFS(IMF!AR:AR,IMF!$D:$D,$E$1,IMF!$C:$C,$P$1))))/1000,IF($A$4=$R$3,IF($C$3="United States Dollar (USD)",E47,(E47*(SUMIFS(IMF!AR:AR,IMF!$D:$D,$E$1,IMF!$C:$C,$Q$1)/SUMIFS(IMF!AR:AR,IMF!$D:$D,$E$1,IMF!$C:$C,$P$1))))*1000,IF($C$3="United States Dollar (USD)",E47,(E47*(SUMIFS(IMF!AR:AR,IMF!$D:$D,$E$1,IMF!$C:$C,$Q$1)/SUMIFS(IMF!AR:AR,IMF!$D:$D,$E$1,IMF!$C:$C,$P$1))))))</f>
        <v>0</v>
      </c>
      <c r="L47" s="59">
        <f>SUM(I47:K47)</f>
        <v>0</v>
      </c>
    </row>
    <row r="48" spans="1:12" ht="12.75" customHeight="1" x14ac:dyDescent="0.35">
      <c r="B48" s="14">
        <v>2015</v>
      </c>
      <c r="C48" s="67"/>
      <c r="D48" s="67"/>
      <c r="E48" s="67"/>
      <c r="F48" s="50">
        <f>SUM(C48:E48)</f>
        <v>0</v>
      </c>
      <c r="H48" s="14">
        <v>2015</v>
      </c>
      <c r="I48" s="58">
        <f>IF($A$4=$R$1,IF($C$3="United States Dollar (USD)",C48,(C48*(SUMIFS(IMF!AS:AS,IMF!$D:$D,$E$1,IMF!$C:$C,$Q$1)/SUMIFS(IMF!AS:AS,IMF!$D:$D,$E$1,IMF!$C:$C,$P$1))))/1000,IF($A$4=$R$3,IF($C$3="United States Dollar (USD)",C48,(C48*(SUMIFS(IMF!AS:AS,IMF!$D:$D,$E$1,IMF!$C:$C,$Q$1)/SUMIFS(IMF!AS:AS,IMF!$D:$D,$E$1,IMF!$C:$C,$P$1))))*1000,IF($C$3="United States Dollar (USD)",C48,(C48*(SUMIFS(IMF!AS:AS,IMF!$D:$D,$E$1,IMF!$C:$C,$Q$1)/SUMIFS(IMF!AS:AS,IMF!$D:$D,$E$1,IMF!$C:$C,$P$1))))))</f>
        <v>0</v>
      </c>
      <c r="J48" s="58">
        <f>IF($A$4=$R$1,IF($C$3="United States Dollar (USD)",D48,(D48*(SUMIFS(IMF!AS:AS,IMF!$D:$D,$E$1,IMF!$C:$C,$Q$1)/SUMIFS(IMF!AS:AS,IMF!$D:$D,$E$1,IMF!$C:$C,$P$1))))/1000,IF($A$4=$R$3,IF($C$3="United States Dollar (USD)",D48,(D48*(SUMIFS(IMF!AS:AS,IMF!$D:$D,$E$1,IMF!$C:$C,$Q$1)/SUMIFS(IMF!AS:AS,IMF!$D:$D,$E$1,IMF!$C:$C,$P$1))))*1000,IF($C$3="United States Dollar (USD)",D48,(D48*(SUMIFS(IMF!AS:AS,IMF!$D:$D,$E$1,IMF!$C:$C,$Q$1)/SUMIFS(IMF!AS:AS,IMF!$D:$D,$E$1,IMF!$C:$C,$P$1))))))</f>
        <v>0</v>
      </c>
      <c r="K48" s="58">
        <f>IF($A$4=$R$1,IF($C$3="United States Dollar (USD)",E48,(E48*(SUMIFS(IMF!AS:AS,IMF!$D:$D,$E$1,IMF!$C:$C,$Q$1)/SUMIFS(IMF!AS:AS,IMF!$D:$D,$E$1,IMF!$C:$C,$P$1))))/1000,IF($A$4=$R$3,IF($C$3="United States Dollar (USD)",E48,(E48*(SUMIFS(IMF!AS:AS,IMF!$D:$D,$E$1,IMF!$C:$C,$Q$1)/SUMIFS(IMF!AS:AS,IMF!$D:$D,$E$1,IMF!$C:$C,$P$1))))*1000,IF($C$3="United States Dollar (USD)",E48,(E48*(SUMIFS(IMF!AS:AS,IMF!$D:$D,$E$1,IMF!$C:$C,$Q$1)/SUMIFS(IMF!AS:AS,IMF!$D:$D,$E$1,IMF!$C:$C,$P$1))))))</f>
        <v>0</v>
      </c>
      <c r="L48" s="59">
        <f>SUM(I48:K48)</f>
        <v>0</v>
      </c>
    </row>
    <row r="49" spans="1:2" ht="12.75" customHeight="1" x14ac:dyDescent="0.35">
      <c r="A49" s="7" t="s">
        <v>8</v>
      </c>
    </row>
    <row r="50" spans="1:2" ht="12.75" customHeight="1" x14ac:dyDescent="0.35">
      <c r="A50" s="3" t="s">
        <v>19</v>
      </c>
    </row>
    <row r="51" spans="1:2" ht="12.75" customHeight="1" x14ac:dyDescent="0.35">
      <c r="A51" s="7" t="s">
        <v>238</v>
      </c>
    </row>
    <row r="52" spans="1:2" ht="12.75" customHeight="1" x14ac:dyDescent="0.35">
      <c r="A52" s="2" t="s">
        <v>239</v>
      </c>
    </row>
    <row r="53" spans="1:2" ht="12.75" customHeight="1" x14ac:dyDescent="0.35">
      <c r="A53" s="2" t="s">
        <v>32</v>
      </c>
    </row>
    <row r="54" spans="1:2" ht="12.75" customHeight="1" x14ac:dyDescent="0.35">
      <c r="A54" s="2" t="s">
        <v>240</v>
      </c>
    </row>
    <row r="55" spans="1:2" ht="12.75" customHeight="1" x14ac:dyDescent="0.35">
      <c r="A55" s="7" t="s">
        <v>241</v>
      </c>
    </row>
    <row r="56" spans="1:2" ht="12.75" customHeight="1" x14ac:dyDescent="0.35">
      <c r="A56" s="2" t="s">
        <v>239</v>
      </c>
    </row>
    <row r="57" spans="1:2" ht="12.75" customHeight="1" x14ac:dyDescent="0.35">
      <c r="A57" s="2" t="s">
        <v>32</v>
      </c>
    </row>
    <row r="58" spans="1:2" ht="12.75" customHeight="1" x14ac:dyDescent="0.35">
      <c r="A58" s="2" t="s">
        <v>240</v>
      </c>
    </row>
    <row r="59" spans="1:2" ht="12.75" customHeight="1" x14ac:dyDescent="0.35">
      <c r="A59" s="7" t="s">
        <v>242</v>
      </c>
    </row>
    <row r="60" spans="1:2" ht="12.75" customHeight="1" x14ac:dyDescent="0.35">
      <c r="A60" s="2" t="s">
        <v>239</v>
      </c>
    </row>
    <row r="61" spans="1:2" ht="12.75" customHeight="1" x14ac:dyDescent="0.35">
      <c r="A61" s="2" t="s">
        <v>32</v>
      </c>
    </row>
    <row r="62" spans="1:2" ht="12.75" customHeight="1" x14ac:dyDescent="0.35">
      <c r="A62" s="2" t="s">
        <v>240</v>
      </c>
    </row>
    <row r="63" spans="1:2" ht="12.75" customHeight="1" x14ac:dyDescent="0.35">
      <c r="A63" s="11" t="s">
        <v>931</v>
      </c>
    </row>
    <row r="64" spans="1:2" ht="12.75" customHeight="1" x14ac:dyDescent="0.35">
      <c r="A64" s="2" t="s">
        <v>39</v>
      </c>
      <c r="B64" s="2">
        <v>1</v>
      </c>
    </row>
    <row r="65" spans="1:2" ht="12.75" customHeight="1" x14ac:dyDescent="0.35">
      <c r="A65" s="2" t="s">
        <v>932</v>
      </c>
    </row>
    <row r="66" spans="1:2" ht="12.75" customHeight="1" x14ac:dyDescent="0.35">
      <c r="A66" s="2" t="s">
        <v>262</v>
      </c>
    </row>
    <row r="67" spans="1:2" ht="12.75" customHeight="1" thickBot="1" x14ac:dyDescent="0.4">
      <c r="A67" s="11" t="s">
        <v>933</v>
      </c>
    </row>
    <row r="68" spans="1:2" ht="12.75" customHeight="1" thickBot="1" x14ac:dyDescent="0.4">
      <c r="A68" s="11"/>
      <c r="B68" s="57"/>
    </row>
    <row r="69" spans="1:2" ht="12.75" customHeight="1" x14ac:dyDescent="0.35">
      <c r="A69" s="11"/>
    </row>
    <row r="70" spans="1:2" ht="12.75" customHeight="1" x14ac:dyDescent="0.35">
      <c r="A70" s="11" t="s">
        <v>21</v>
      </c>
    </row>
    <row r="71" spans="1:2" ht="12.75" customHeight="1" x14ac:dyDescent="0.35">
      <c r="A71" s="2" t="s">
        <v>22</v>
      </c>
    </row>
    <row r="72" spans="1:2" ht="12.75" customHeight="1" x14ac:dyDescent="0.35">
      <c r="A72" s="2" t="s">
        <v>23</v>
      </c>
      <c r="B72" s="2">
        <v>1</v>
      </c>
    </row>
    <row r="73" spans="1:2" ht="12.75" customHeight="1" x14ac:dyDescent="0.35">
      <c r="A73" s="2" t="s">
        <v>24</v>
      </c>
      <c r="B73" s="2">
        <v>1</v>
      </c>
    </row>
    <row r="74" spans="1:2" ht="12.75" customHeight="1" thickBot="1" x14ac:dyDescent="0.4">
      <c r="A74" s="11" t="s">
        <v>933</v>
      </c>
    </row>
    <row r="75" spans="1:2" ht="12.75" customHeight="1" thickBot="1" x14ac:dyDescent="0.4">
      <c r="A75" s="11"/>
      <c r="B75" s="57"/>
    </row>
    <row r="76" spans="1:2" ht="12.75" customHeight="1" x14ac:dyDescent="0.35">
      <c r="A76" s="12" t="s">
        <v>25</v>
      </c>
    </row>
    <row r="77" spans="1:2" ht="12.75" customHeight="1" x14ac:dyDescent="0.35">
      <c r="A77" s="5" t="s">
        <v>26</v>
      </c>
    </row>
    <row r="78" spans="1:2" ht="12.75" customHeight="1" x14ac:dyDescent="0.35">
      <c r="A78" s="2" t="s">
        <v>22</v>
      </c>
    </row>
    <row r="79" spans="1:2" ht="12.75" customHeight="1" x14ac:dyDescent="0.35">
      <c r="A79" s="2" t="s">
        <v>27</v>
      </c>
      <c r="B79" s="2">
        <v>1</v>
      </c>
    </row>
    <row r="80" spans="1:2" ht="12.75" customHeight="1" x14ac:dyDescent="0.35">
      <c r="A80" s="2" t="s">
        <v>28</v>
      </c>
    </row>
    <row r="81" spans="1:9" ht="12.75" customHeight="1" x14ac:dyDescent="0.25">
      <c r="A81" s="11" t="s">
        <v>933</v>
      </c>
      <c r="B81" s="80" t="s">
        <v>1110</v>
      </c>
    </row>
    <row r="82" spans="1:9" ht="12.75" customHeight="1" x14ac:dyDescent="0.35">
      <c r="A82" s="11"/>
    </row>
    <row r="83" spans="1:9" ht="12.75" customHeight="1" x14ac:dyDescent="0.35">
      <c r="A83" s="7" t="s">
        <v>29</v>
      </c>
    </row>
    <row r="84" spans="1:9" ht="12.75" customHeight="1" x14ac:dyDescent="0.35">
      <c r="A84" s="53" t="s">
        <v>927</v>
      </c>
    </row>
    <row r="85" spans="1:9" ht="12.75" customHeight="1" x14ac:dyDescent="0.35">
      <c r="A85" s="46" t="s">
        <v>921</v>
      </c>
      <c r="B85" s="2" t="s">
        <v>1109</v>
      </c>
      <c r="C85" s="2" t="s">
        <v>925</v>
      </c>
    </row>
    <row r="86" spans="1:9" ht="12.75" customHeight="1" x14ac:dyDescent="0.3">
      <c r="B86" s="13" t="s">
        <v>1</v>
      </c>
      <c r="C86" s="13" t="s">
        <v>30</v>
      </c>
      <c r="D86" s="13" t="s">
        <v>31</v>
      </c>
      <c r="E86" s="44" t="s">
        <v>239</v>
      </c>
      <c r="F86" s="44" t="s">
        <v>32</v>
      </c>
      <c r="G86" s="44" t="s">
        <v>240</v>
      </c>
      <c r="H86" s="13" t="s">
        <v>1</v>
      </c>
      <c r="I86" s="13" t="s">
        <v>30</v>
      </c>
    </row>
    <row r="87" spans="1:9" ht="12.75" customHeight="1" x14ac:dyDescent="0.35">
      <c r="B87" s="14">
        <v>2006</v>
      </c>
      <c r="C87" s="69"/>
      <c r="D87" s="13"/>
      <c r="E87" s="45" t="str">
        <f>IF($D87=E$86,1,"")</f>
        <v/>
      </c>
      <c r="F87" s="45" t="str">
        <f t="shared" ref="F87:G96" si="0">IF($D87=F$86,1,"")</f>
        <v/>
      </c>
      <c r="G87" s="45" t="str">
        <f t="shared" si="0"/>
        <v/>
      </c>
      <c r="H87" s="14">
        <v>2006</v>
      </c>
      <c r="I87" s="58" t="str">
        <f>IF(C87="","",IF($A$85=$R$1,IF($C$85="United States Dollar (USD)",C87,(C87*(SUMIFS(IMF!AJ:AJ,IMF!$D:$D,$E$1,IMF!$C:$C,$Q$1)/SUMIFS(IMF!AJ:AJ,IMF!$D:$D,$E$1,IMF!$C:$C,$P$1))))/1000,IF($A$85=$R$3,IF($C$85="United States Dollar (USD)",C87,(C87*(SUMIFS(IMF!AJ:AJ,IMF!$D:$D,$E$1,IMF!$C:$C,$Q$1)/SUMIFS(IMF!AJ:AJ,IMF!$D:$D,$E$1,IMF!$C:$C,$P$1))))*1000,IF($C$85="United States Dollar (USD)",C87,(C87*(SUMIFS(IMF!AJ:AJ,IMF!$D:$D,$E$1,IMF!$C:$C,$Q$1)/SUMIFS(IMF!AJ:AJ,IMF!$D:$D,$E$1,IMF!$C:$C,$P$1)))))))</f>
        <v/>
      </c>
    </row>
    <row r="88" spans="1:9" ht="12.75" customHeight="1" x14ac:dyDescent="0.35">
      <c r="B88" s="14">
        <v>2007</v>
      </c>
      <c r="C88" s="69"/>
      <c r="D88" s="13"/>
      <c r="E88" s="45" t="str">
        <f t="shared" ref="E88:E96" si="1">IF($D88=E$86,1,"")</f>
        <v/>
      </c>
      <c r="F88" s="45" t="str">
        <f t="shared" si="0"/>
        <v/>
      </c>
      <c r="G88" s="45" t="str">
        <f t="shared" si="0"/>
        <v/>
      </c>
      <c r="H88" s="14">
        <v>2007</v>
      </c>
      <c r="I88" s="58" t="str">
        <f>IF(C88="","",IF($A$85=$R$1,IF($C$85="United States Dollar (USD)",C88,(C88*(SUMIFS(IMF!AK:AK,IMF!$D:$D,$E$1,IMF!$C:$C,$Q$1)/SUMIFS(IMF!AK:AK,IMF!$D:$D,$E$1,IMF!$C:$C,$P$1))))/1000,IF($A$85=$R$3,IF($C$85="United States Dollar (USD)",C88,(C88*(SUMIFS(IMF!AK:AK,IMF!$D:$D,$E$1,IMF!$C:$C,$Q$1)/SUMIFS(IMF!AK:AK,IMF!$D:$D,$E$1,IMF!$C:$C,$P$1))))*1000,IF($C$85="United States Dollar (USD)",C88,(C88*(SUMIFS(IMF!AK:AK,IMF!$D:$D,$E$1,IMF!$C:$C,$Q$1)/SUMIFS(IMF!AK:AK,IMF!$D:$D,$E$1,IMF!$C:$C,$P$1)))))))</f>
        <v/>
      </c>
    </row>
    <row r="89" spans="1:9" ht="12.75" customHeight="1" x14ac:dyDescent="0.35">
      <c r="B89" s="14">
        <v>2008</v>
      </c>
      <c r="C89" s="69"/>
      <c r="D89" s="13"/>
      <c r="E89" s="45" t="str">
        <f t="shared" si="1"/>
        <v/>
      </c>
      <c r="F89" s="45" t="str">
        <f t="shared" si="0"/>
        <v/>
      </c>
      <c r="G89" s="45" t="str">
        <f t="shared" si="0"/>
        <v/>
      </c>
      <c r="H89" s="14">
        <v>2008</v>
      </c>
      <c r="I89" s="58" t="str">
        <f>IF(C89="","",IF($A$85=$R$1,IF($C$85="United States Dollar (USD)",C89,(C89*(SUMIFS(IMF!AL:AL,IMF!$D:$D,$E$1,IMF!$C:$C,$Q$1)/SUMIFS(IMF!AL:AL,IMF!$D:$D,$E$1,IMF!$C:$C,$P$1))))/1000,IF($A$85=$R$3,IF($C$85="United States Dollar (USD)",C89,(C89*(SUMIFS(IMF!AL:AL,IMF!$D:$D,$E$1,IMF!$C:$C,$Q$1)/SUMIFS(IMF!AL:AL,IMF!$D:$D,$E$1,IMF!$C:$C,$P$1))))*1000,IF($C$85="United States Dollar (USD)",C89,(C89*(SUMIFS(IMF!AL:AL,IMF!$D:$D,$E$1,IMF!$C:$C,$Q$1)/SUMIFS(IMF!AL:AL,IMF!$D:$D,$E$1,IMF!$C:$C,$P$1)))))))</f>
        <v/>
      </c>
    </row>
    <row r="90" spans="1:9" ht="12.75" customHeight="1" x14ac:dyDescent="0.35">
      <c r="B90" s="14">
        <v>2009</v>
      </c>
      <c r="C90" s="69"/>
      <c r="D90" s="13"/>
      <c r="E90" s="45" t="str">
        <f t="shared" si="1"/>
        <v/>
      </c>
      <c r="F90" s="45" t="str">
        <f t="shared" si="0"/>
        <v/>
      </c>
      <c r="G90" s="45" t="str">
        <f t="shared" si="0"/>
        <v/>
      </c>
      <c r="H90" s="14">
        <v>2009</v>
      </c>
      <c r="I90" s="58" t="str">
        <f>IF(C90="","",IF($A$85=$R$1,IF($C$85="United States Dollar (USD)",C90,(C90*(SUMIFS(IMF!AM:AM,IMF!$D:$D,$E$1,IMF!$C:$C,$Q$1)/SUMIFS(IMF!AM:AM,IMF!$D:$D,$E$1,IMF!$C:$C,$P$1))))/1000,IF($A$85=$R$3,IF($C$85="United States Dollar (USD)",C90,(C90*(SUMIFS(IMF!AM:AM,IMF!$D:$D,$E$1,IMF!$C:$C,$Q$1)/SUMIFS(IMF!AM:AM,IMF!$D:$D,$E$1,IMF!$C:$C,$P$1))))*1000,IF($C$85="United States Dollar (USD)",C90,(C90*(SUMIFS(IMF!AM:AM,IMF!$D:$D,$E$1,IMF!$C:$C,$Q$1)/SUMIFS(IMF!AM:AM,IMF!$D:$D,$E$1,IMF!$C:$C,$P$1)))))))</f>
        <v/>
      </c>
    </row>
    <row r="91" spans="1:9" ht="12.75" customHeight="1" x14ac:dyDescent="0.35">
      <c r="B91" s="14">
        <v>2010</v>
      </c>
      <c r="C91" s="69"/>
      <c r="D91" s="13"/>
      <c r="E91" s="45" t="str">
        <f t="shared" si="1"/>
        <v/>
      </c>
      <c r="F91" s="45" t="str">
        <f t="shared" si="0"/>
        <v/>
      </c>
      <c r="G91" s="45" t="str">
        <f t="shared" si="0"/>
        <v/>
      </c>
      <c r="H91" s="14">
        <v>2010</v>
      </c>
      <c r="I91" s="58" t="str">
        <f>IF(C91="","",IF($A$85=$R$1,IF($C$85="United States Dollar (USD)",C91,(C91*(SUMIFS(IMF!AN:AN,IMF!$D:$D,$E$1,IMF!$C:$C,$Q$1)/SUMIFS(IMF!AN:AN,IMF!$D:$D,$E$1,IMF!$C:$C,$P$1))))/1000,IF($A$85=$R$3,IF($C$85="United States Dollar (USD)",C91,(C91*(SUMIFS(IMF!AN:AN,IMF!$D:$D,$E$1,IMF!$C:$C,$Q$1)/SUMIFS(IMF!AN:AN,IMF!$D:$D,$E$1,IMF!$C:$C,$P$1))))*1000,IF($C$85="United States Dollar (USD)",C91,(C91*(SUMIFS(IMF!AN:AN,IMF!$D:$D,$E$1,IMF!$C:$C,$Q$1)/SUMIFS(IMF!AN:AN,IMF!$D:$D,$E$1,IMF!$C:$C,$P$1)))))))</f>
        <v/>
      </c>
    </row>
    <row r="92" spans="1:9" ht="12.75" customHeight="1" x14ac:dyDescent="0.35">
      <c r="B92" s="14">
        <v>2011</v>
      </c>
      <c r="C92" s="69"/>
      <c r="D92" s="13"/>
      <c r="E92" s="45" t="str">
        <f t="shared" si="1"/>
        <v/>
      </c>
      <c r="F92" s="45" t="str">
        <f t="shared" si="0"/>
        <v/>
      </c>
      <c r="G92" s="45" t="str">
        <f t="shared" si="0"/>
        <v/>
      </c>
      <c r="H92" s="14">
        <v>2011</v>
      </c>
      <c r="I92" s="58" t="str">
        <f>IF(C92="","",IF($A$85=$R$1,IF($C$85="United States Dollar (USD)",C92,(C92*(SUMIFS(IMF!AO:AO,IMF!$D:$D,$E$1,IMF!$C:$C,$Q$1)/SUMIFS(IMF!AO:AO,IMF!$D:$D,$E$1,IMF!$C:$C,$P$1))))/1000,IF($A$85=$R$3,IF($C$85="United States Dollar (USD)",C92,(C92*(SUMIFS(IMF!AO:AO,IMF!$D:$D,$E$1,IMF!$C:$C,$Q$1)/SUMIFS(IMF!AO:AO,IMF!$D:$D,$E$1,IMF!$C:$C,$P$1))))*1000,IF($C$85="United States Dollar (USD)",C92,(C92*(SUMIFS(IMF!AO:AO,IMF!$D:$D,$E$1,IMF!$C:$C,$Q$1)/SUMIFS(IMF!AO:AO,IMF!$D:$D,$E$1,IMF!$C:$C,$P$1)))))))</f>
        <v/>
      </c>
    </row>
    <row r="93" spans="1:9" ht="12.75" customHeight="1" x14ac:dyDescent="0.35">
      <c r="B93" s="14">
        <v>2012</v>
      </c>
      <c r="C93" s="69"/>
      <c r="D93" s="13"/>
      <c r="E93" s="45" t="str">
        <f t="shared" si="1"/>
        <v/>
      </c>
      <c r="F93" s="45" t="str">
        <f t="shared" si="0"/>
        <v/>
      </c>
      <c r="G93" s="45" t="str">
        <f t="shared" si="0"/>
        <v/>
      </c>
      <c r="H93" s="14">
        <v>2012</v>
      </c>
      <c r="I93" s="58" t="str">
        <f>IF(C93="","",IF($A$85=$R$1,IF($C$85="United States Dollar (USD)",C93,(C93*(SUMIFS(IMF!AP:AP,IMF!$D:$D,$E$1,IMF!$C:$C,$Q$1)/SUMIFS(IMF!AP:AP,IMF!$D:$D,$E$1,IMF!$C:$C,$P$1))))/1000,IF($A$85=$R$3,IF($C$85="United States Dollar (USD)",C93,(C93*(SUMIFS(IMF!AP:AP,IMF!$D:$D,$E$1,IMF!$C:$C,$Q$1)/SUMIFS(IMF!AP:AP,IMF!$D:$D,$E$1,IMF!$C:$C,$P$1))))*1000,IF($C$85="United States Dollar (USD)",C93,(C93*(SUMIFS(IMF!AP:AP,IMF!$D:$D,$E$1,IMF!$C:$C,$Q$1)/SUMIFS(IMF!AP:AP,IMF!$D:$D,$E$1,IMF!$C:$C,$P$1)))))))</f>
        <v/>
      </c>
    </row>
    <row r="94" spans="1:9" ht="12.75" customHeight="1" x14ac:dyDescent="0.35">
      <c r="B94" s="14">
        <v>2013</v>
      </c>
      <c r="C94" s="69"/>
      <c r="D94" s="13"/>
      <c r="E94" s="45" t="str">
        <f t="shared" si="1"/>
        <v/>
      </c>
      <c r="F94" s="45" t="str">
        <f t="shared" si="0"/>
        <v/>
      </c>
      <c r="G94" s="45" t="str">
        <f t="shared" si="0"/>
        <v/>
      </c>
      <c r="H94" s="14">
        <v>2013</v>
      </c>
      <c r="I94" s="58" t="str">
        <f>IF(C94="","",IF($A$85=$R$1,IF($C$85="United States Dollar (USD)",C94,(C94*(SUMIFS(IMF!AQ:AQ,IMF!$D:$D,$E$1,IMF!$C:$C,$Q$1)/SUMIFS(IMF!AQ:AQ,IMF!$D:$D,$E$1,IMF!$C:$C,$P$1))))/1000,IF($A$85=$R$3,IF($C$85="United States Dollar (USD)",C94,(C94*(SUMIFS(IMF!AQ:AQ,IMF!$D:$D,$E$1,IMF!$C:$C,$Q$1)/SUMIFS(IMF!AQ:AQ,IMF!$D:$D,$E$1,IMF!$C:$C,$P$1))))*1000,IF($C$85="United States Dollar (USD)",C94,(C94*(SUMIFS(IMF!AQ:AQ,IMF!$D:$D,$E$1,IMF!$C:$C,$Q$1)/SUMIFS(IMF!AQ:AQ,IMF!$D:$D,$E$1,IMF!$C:$C,$P$1)))))))</f>
        <v/>
      </c>
    </row>
    <row r="95" spans="1:9" ht="12.75" customHeight="1" x14ac:dyDescent="0.35">
      <c r="B95" s="14">
        <v>2014</v>
      </c>
      <c r="C95" s="69"/>
      <c r="D95" s="13"/>
      <c r="E95" s="45" t="str">
        <f t="shared" si="1"/>
        <v/>
      </c>
      <c r="F95" s="45" t="str">
        <f t="shared" si="0"/>
        <v/>
      </c>
      <c r="G95" s="45" t="str">
        <f t="shared" si="0"/>
        <v/>
      </c>
      <c r="H95" s="14">
        <v>2014</v>
      </c>
      <c r="I95" s="58" t="str">
        <f>IF(C95="","",IF($A$85=$R$1,IF($C$85="United States Dollar (USD)",C95,(C95*(SUMIFS(IMF!AR:AR,IMF!$D:$D,$E$1,IMF!$C:$C,$Q$1)/SUMIFS(IMF!AR:AR,IMF!$D:$D,$E$1,IMF!$C:$C,$P$1))))/1000,IF($A$85=$R$3,IF($C$85="United States Dollar (USD)",C95,(C95*(SUMIFS(IMF!AR:AR,IMF!$D:$D,$E$1,IMF!$C:$C,$Q$1)/SUMIFS(IMF!AR:AR,IMF!$D:$D,$E$1,IMF!$C:$C,$P$1))))*1000,IF($C$85="United States Dollar (USD)",C95,(C95*(SUMIFS(IMF!AR:AR,IMF!$D:$D,$E$1,IMF!$C:$C,$Q$1)/SUMIFS(IMF!AR:AR,IMF!$D:$D,$E$1,IMF!$C:$C,$P$1)))))))</f>
        <v/>
      </c>
    </row>
    <row r="96" spans="1:9" ht="12.75" customHeight="1" x14ac:dyDescent="0.35">
      <c r="B96" s="14">
        <v>2015</v>
      </c>
      <c r="C96" s="69"/>
      <c r="D96" s="13"/>
      <c r="E96" s="45" t="str">
        <f t="shared" si="1"/>
        <v/>
      </c>
      <c r="F96" s="45" t="str">
        <f t="shared" si="0"/>
        <v/>
      </c>
      <c r="G96" s="45" t="str">
        <f t="shared" si="0"/>
        <v/>
      </c>
      <c r="H96" s="14">
        <v>2015</v>
      </c>
      <c r="I96" s="58" t="str">
        <f>IF(C96="","",IF($A$85=$R$1,IF($C$85="United States Dollar (USD)",C96,(C96*(SUMIFS(IMF!AS:AS,IMF!$D:$D,$E$1,IMF!$C:$C,$Q$1)/SUMIFS(IMF!AS:AS,IMF!$D:$D,$E$1,IMF!$C:$C,$P$1))))/1000,IF($A$85=$R$3,IF($C$85="United States Dollar (USD)",C96,(C96*(SUMIFS(IMF!AS:AS,IMF!$D:$D,$E$1,IMF!$C:$C,$Q$1)/SUMIFS(IMF!AS:AS,IMF!$D:$D,$E$1,IMF!$C:$C,$P$1))))*1000,IF($C$85="United States Dollar (USD)",C96,(C96*(SUMIFS(IMF!AS:AS,IMF!$D:$D,$E$1,IMF!$C:$C,$Q$1)/SUMIFS(IMF!AS:AS,IMF!$D:$D,$E$1,IMF!$C:$C,$P$1)))))))</f>
        <v/>
      </c>
    </row>
    <row r="97" spans="1:9" ht="12.75" customHeight="1" x14ac:dyDescent="0.3">
      <c r="B97" s="15" t="s">
        <v>33</v>
      </c>
      <c r="C97" s="49"/>
      <c r="D97" s="14"/>
      <c r="H97" s="15" t="s">
        <v>33</v>
      </c>
      <c r="I97" s="59" t="e">
        <f>AVERAGE(I87:I96)</f>
        <v>#DIV/0!</v>
      </c>
    </row>
    <row r="98" spans="1:9" ht="12.75" customHeight="1" x14ac:dyDescent="0.35">
      <c r="A98" s="7" t="s">
        <v>34</v>
      </c>
    </row>
    <row r="99" spans="1:9" ht="12.75" customHeight="1" x14ac:dyDescent="0.35">
      <c r="A99" s="1" t="s">
        <v>35</v>
      </c>
      <c r="B99" s="1" t="s">
        <v>36</v>
      </c>
      <c r="C99" s="1" t="s">
        <v>37</v>
      </c>
    </row>
    <row r="100" spans="1:9" ht="12.75" customHeight="1" x14ac:dyDescent="0.25">
      <c r="A100" s="16" t="s">
        <v>38</v>
      </c>
    </row>
    <row r="101" spans="1:9" ht="12.75" customHeight="1" x14ac:dyDescent="0.25">
      <c r="A101" s="16" t="s">
        <v>40</v>
      </c>
    </row>
    <row r="102" spans="1:9" ht="12.75" customHeight="1" x14ac:dyDescent="0.25">
      <c r="A102" s="16" t="s">
        <v>243</v>
      </c>
    </row>
    <row r="103" spans="1:9" ht="12.75" customHeight="1" x14ac:dyDescent="0.35">
      <c r="A103" s="16" t="s">
        <v>244</v>
      </c>
    </row>
    <row r="104" spans="1:9" ht="12.75" customHeight="1" x14ac:dyDescent="0.35">
      <c r="A104" s="16" t="s">
        <v>245</v>
      </c>
    </row>
    <row r="105" spans="1:9" ht="12.75" customHeight="1" x14ac:dyDescent="0.35">
      <c r="A105" s="16" t="s">
        <v>246</v>
      </c>
    </row>
    <row r="106" spans="1:9" ht="12.75" customHeight="1" x14ac:dyDescent="0.35">
      <c r="A106" s="16" t="s">
        <v>247</v>
      </c>
    </row>
    <row r="108" spans="1:9" ht="12.75" customHeight="1" x14ac:dyDescent="0.35">
      <c r="A108" s="7" t="s">
        <v>248</v>
      </c>
    </row>
    <row r="109" spans="1:9" ht="12.75" customHeight="1" x14ac:dyDescent="0.35">
      <c r="A109" s="7" t="s">
        <v>249</v>
      </c>
    </row>
    <row r="110" spans="1:9" ht="12.75" customHeight="1" x14ac:dyDescent="0.35">
      <c r="A110" s="16" t="s">
        <v>26</v>
      </c>
    </row>
    <row r="111" spans="1:9" ht="12.75" customHeight="1" x14ac:dyDescent="0.35">
      <c r="A111" s="16" t="s">
        <v>22</v>
      </c>
      <c r="B111" s="2">
        <v>1</v>
      </c>
    </row>
    <row r="112" spans="1:9" ht="12.75" customHeight="1" x14ac:dyDescent="0.35">
      <c r="A112" s="16" t="s">
        <v>27</v>
      </c>
    </row>
    <row r="113" spans="1:6" ht="12.75" customHeight="1" x14ac:dyDescent="0.35">
      <c r="A113" s="16" t="s">
        <v>28</v>
      </c>
    </row>
    <row r="114" spans="1:6" ht="12.75" customHeight="1" thickBot="1" x14ac:dyDescent="0.4">
      <c r="A114" s="11" t="s">
        <v>933</v>
      </c>
    </row>
    <row r="115" spans="1:6" ht="12.75" customHeight="1" thickBot="1" x14ac:dyDescent="0.4">
      <c r="A115" s="11"/>
      <c r="B115" s="57"/>
    </row>
    <row r="116" spans="1:6" ht="12.75" customHeight="1" x14ac:dyDescent="0.35">
      <c r="A116" s="7" t="s">
        <v>250</v>
      </c>
      <c r="B116" s="2" t="s">
        <v>1109</v>
      </c>
      <c r="C116" s="2" t="s">
        <v>925</v>
      </c>
    </row>
    <row r="117" spans="1:6" ht="26.1" x14ac:dyDescent="0.35">
      <c r="A117" s="16" t="str">
        <f>A84</f>
        <v>Local currency</v>
      </c>
      <c r="B117" s="13" t="s">
        <v>1</v>
      </c>
      <c r="C117" s="13" t="s">
        <v>251</v>
      </c>
      <c r="D117" s="13" t="s">
        <v>252</v>
      </c>
      <c r="E117" s="13" t="s">
        <v>253</v>
      </c>
      <c r="F117" s="13" t="s">
        <v>254</v>
      </c>
    </row>
    <row r="118" spans="1:6" ht="12.75" customHeight="1" x14ac:dyDescent="0.35">
      <c r="A118" s="46" t="s">
        <v>920</v>
      </c>
      <c r="B118" s="14">
        <v>2014</v>
      </c>
      <c r="C118" s="81"/>
      <c r="D118" s="81"/>
      <c r="E118" s="81">
        <f>C118-D118</f>
        <v>0</v>
      </c>
      <c r="F118" s="14"/>
    </row>
    <row r="119" spans="1:6" ht="12.75" customHeight="1" x14ac:dyDescent="0.35">
      <c r="B119" s="14">
        <v>2015</v>
      </c>
      <c r="C119" s="81"/>
      <c r="D119" s="81"/>
      <c r="E119" s="81">
        <f t="shared" ref="E119:E124" si="2">C119-D119</f>
        <v>0</v>
      </c>
      <c r="F119" s="14"/>
    </row>
    <row r="120" spans="1:6" ht="12.75" customHeight="1" x14ac:dyDescent="0.35">
      <c r="B120" s="14">
        <v>2016</v>
      </c>
      <c r="C120" s="81">
        <v>250000</v>
      </c>
      <c r="D120" s="81">
        <v>75000</v>
      </c>
      <c r="E120" s="81">
        <f t="shared" si="2"/>
        <v>175000</v>
      </c>
      <c r="F120" s="14" t="s">
        <v>1111</v>
      </c>
    </row>
    <row r="121" spans="1:6" ht="12.75" customHeight="1" x14ac:dyDescent="0.35">
      <c r="B121" s="14">
        <v>2017</v>
      </c>
      <c r="C121" s="81">
        <v>250000</v>
      </c>
      <c r="D121" s="81">
        <v>75000</v>
      </c>
      <c r="E121" s="81">
        <f t="shared" si="2"/>
        <v>175000</v>
      </c>
      <c r="F121" s="14" t="s">
        <v>1112</v>
      </c>
    </row>
    <row r="122" spans="1:6" ht="12.75" customHeight="1" x14ac:dyDescent="0.35">
      <c r="B122" s="14">
        <v>2018</v>
      </c>
      <c r="C122" s="81">
        <v>250000</v>
      </c>
      <c r="D122" s="81">
        <v>75000</v>
      </c>
      <c r="E122" s="81">
        <f t="shared" si="2"/>
        <v>175000</v>
      </c>
      <c r="F122" s="82" t="s">
        <v>1113</v>
      </c>
    </row>
    <row r="123" spans="1:6" ht="12.75" customHeight="1" x14ac:dyDescent="0.35">
      <c r="B123" s="14">
        <v>2019</v>
      </c>
      <c r="C123" s="81">
        <v>250000</v>
      </c>
      <c r="D123" s="81">
        <v>75000</v>
      </c>
      <c r="E123" s="81">
        <f t="shared" si="2"/>
        <v>175000</v>
      </c>
      <c r="F123" s="82" t="s">
        <v>1113</v>
      </c>
    </row>
    <row r="124" spans="1:6" ht="12.75" customHeight="1" x14ac:dyDescent="0.35">
      <c r="B124" s="14">
        <v>2020</v>
      </c>
      <c r="C124" s="81">
        <v>250000</v>
      </c>
      <c r="D124" s="81">
        <v>75000</v>
      </c>
      <c r="E124" s="81">
        <f t="shared" si="2"/>
        <v>175000</v>
      </c>
      <c r="F124" s="82" t="s">
        <v>1113</v>
      </c>
    </row>
    <row r="126" spans="1:6" ht="12.75" customHeight="1" x14ac:dyDescent="0.35">
      <c r="A126" s="7" t="s">
        <v>255</v>
      </c>
    </row>
    <row r="127" spans="1:6" ht="12.75" customHeight="1" x14ac:dyDescent="0.35">
      <c r="A127" s="14" t="str">
        <f>A84</f>
        <v>Local currency</v>
      </c>
    </row>
    <row r="128" spans="1:6" ht="12.75" customHeight="1" x14ac:dyDescent="0.25">
      <c r="A128" s="46" t="s">
        <v>1108</v>
      </c>
      <c r="B128" s="2" t="s">
        <v>1109</v>
      </c>
      <c r="C128" s="2" t="s">
        <v>925</v>
      </c>
    </row>
    <row r="129" spans="1:8" ht="12.75" customHeight="1" x14ac:dyDescent="0.2">
      <c r="A129" s="17"/>
      <c r="B129" s="18">
        <v>2014</v>
      </c>
      <c r="C129" s="18">
        <v>2015</v>
      </c>
      <c r="D129" s="18">
        <v>2016</v>
      </c>
      <c r="E129" s="18">
        <v>2017</v>
      </c>
      <c r="F129" s="18">
        <v>2018</v>
      </c>
      <c r="G129" s="18">
        <v>2019</v>
      </c>
      <c r="H129" s="18">
        <v>2020</v>
      </c>
    </row>
    <row r="130" spans="1:8" ht="12.75" customHeight="1" x14ac:dyDescent="0.2">
      <c r="A130" s="14" t="s">
        <v>256</v>
      </c>
      <c r="B130" s="14">
        <v>0</v>
      </c>
      <c r="C130" s="14">
        <v>0</v>
      </c>
      <c r="D130" s="14">
        <v>0</v>
      </c>
      <c r="E130" s="14">
        <v>0</v>
      </c>
      <c r="F130" s="14">
        <v>0</v>
      </c>
      <c r="G130" s="14">
        <v>0</v>
      </c>
      <c r="H130" s="14">
        <v>0</v>
      </c>
    </row>
    <row r="131" spans="1:8" ht="12.75" customHeight="1" x14ac:dyDescent="0.2">
      <c r="A131" s="14" t="s">
        <v>257</v>
      </c>
      <c r="B131" s="14">
        <v>0</v>
      </c>
      <c r="C131" s="14">
        <v>0</v>
      </c>
      <c r="D131" s="14">
        <v>0</v>
      </c>
      <c r="E131" s="14">
        <v>0</v>
      </c>
      <c r="F131" s="14">
        <v>0</v>
      </c>
      <c r="G131" s="14">
        <v>0</v>
      </c>
      <c r="H131" s="14">
        <v>0</v>
      </c>
    </row>
    <row r="132" spans="1:8" ht="12.75" customHeight="1" x14ac:dyDescent="0.2">
      <c r="A132" s="14"/>
      <c r="B132" s="14">
        <v>0</v>
      </c>
      <c r="C132" s="14">
        <v>0</v>
      </c>
      <c r="D132" s="14"/>
      <c r="E132" s="14"/>
      <c r="F132" s="14"/>
      <c r="G132" s="14"/>
      <c r="H132" s="14"/>
    </row>
    <row r="133" spans="1:8" ht="12.75" customHeight="1" x14ac:dyDescent="0.2">
      <c r="A133" s="14" t="s">
        <v>258</v>
      </c>
      <c r="B133" s="14">
        <v>0</v>
      </c>
      <c r="C133" s="14">
        <v>0</v>
      </c>
      <c r="D133" s="14">
        <v>0</v>
      </c>
      <c r="E133" s="14">
        <v>0</v>
      </c>
      <c r="F133" s="14">
        <v>0</v>
      </c>
      <c r="G133" s="14">
        <v>0</v>
      </c>
      <c r="H133" s="14">
        <v>0</v>
      </c>
    </row>
    <row r="134" spans="1:8" ht="12.75" customHeight="1" x14ac:dyDescent="0.2">
      <c r="A134" s="14"/>
      <c r="B134" s="14">
        <v>0</v>
      </c>
      <c r="C134" s="14">
        <v>0</v>
      </c>
      <c r="D134" s="14"/>
      <c r="E134" s="14"/>
      <c r="F134" s="14"/>
      <c r="G134" s="14"/>
      <c r="H134" s="14"/>
    </row>
    <row r="135" spans="1:8" ht="12.75" customHeight="1" x14ac:dyDescent="0.2">
      <c r="A135" s="14" t="s">
        <v>259</v>
      </c>
      <c r="B135" s="14">
        <v>0</v>
      </c>
      <c r="C135" s="14">
        <v>0</v>
      </c>
      <c r="D135" s="14">
        <v>0</v>
      </c>
      <c r="E135" s="14">
        <v>0</v>
      </c>
      <c r="F135" s="14">
        <v>0</v>
      </c>
      <c r="G135" s="14">
        <v>0</v>
      </c>
      <c r="H135" s="14">
        <v>0</v>
      </c>
    </row>
    <row r="137" spans="1:8" ht="12.75" customHeight="1" x14ac:dyDescent="0.25">
      <c r="A137" s="7" t="s">
        <v>260</v>
      </c>
    </row>
    <row r="138" spans="1:8" ht="12.75" customHeight="1" x14ac:dyDescent="0.25">
      <c r="A138" s="16" t="s">
        <v>39</v>
      </c>
    </row>
    <row r="139" spans="1:8" ht="12.75" customHeight="1" x14ac:dyDescent="0.25">
      <c r="A139" s="16" t="s">
        <v>261</v>
      </c>
      <c r="B139" s="2">
        <v>1</v>
      </c>
    </row>
    <row r="140" spans="1:8" ht="12.75" customHeight="1" x14ac:dyDescent="0.25">
      <c r="A140" s="16" t="s">
        <v>262</v>
      </c>
    </row>
    <row r="141" spans="1:8" ht="12.75" customHeight="1" thickBot="1" x14ac:dyDescent="0.3">
      <c r="A141" s="11" t="s">
        <v>933</v>
      </c>
    </row>
    <row r="142" spans="1:8" ht="12.75" customHeight="1" thickBot="1" x14ac:dyDescent="0.3">
      <c r="A142" s="11"/>
      <c r="B142" s="57"/>
    </row>
    <row r="143" spans="1:8" ht="12.75" customHeight="1" x14ac:dyDescent="0.25">
      <c r="A143" s="7" t="s">
        <v>263</v>
      </c>
    </row>
    <row r="144" spans="1:8" ht="12.75" customHeight="1" x14ac:dyDescent="0.25">
      <c r="A144" s="3" t="s">
        <v>264</v>
      </c>
    </row>
    <row r="145" spans="1:2" ht="12.75" customHeight="1" x14ac:dyDescent="0.25">
      <c r="A145" s="3" t="s">
        <v>265</v>
      </c>
    </row>
    <row r="146" spans="1:2" ht="12.75" customHeight="1" x14ac:dyDescent="0.25">
      <c r="A146" s="3" t="s">
        <v>41</v>
      </c>
    </row>
    <row r="147" spans="1:2" ht="12.75" customHeight="1" x14ac:dyDescent="0.25">
      <c r="A147" s="3" t="s">
        <v>39</v>
      </c>
      <c r="B147" s="2">
        <v>1</v>
      </c>
    </row>
    <row r="148" spans="1:2" ht="12.75" customHeight="1" x14ac:dyDescent="0.25">
      <c r="A148" s="3" t="s">
        <v>266</v>
      </c>
    </row>
    <row r="149" spans="1:2" ht="12.75" customHeight="1" x14ac:dyDescent="0.25">
      <c r="A149" s="3" t="s">
        <v>41</v>
      </c>
      <c r="B149" s="2">
        <v>1</v>
      </c>
    </row>
    <row r="150" spans="1:2" ht="12.75" customHeight="1" x14ac:dyDescent="0.25">
      <c r="A150" s="3" t="s">
        <v>39</v>
      </c>
    </row>
    <row r="151" spans="1:2" ht="12.75" customHeight="1" x14ac:dyDescent="0.25">
      <c r="A151" s="3" t="s">
        <v>267</v>
      </c>
    </row>
    <row r="152" spans="1:2" ht="12.75" customHeight="1" x14ac:dyDescent="0.25">
      <c r="A152" s="3" t="s">
        <v>41</v>
      </c>
    </row>
    <row r="153" spans="1:2" ht="12.75" customHeight="1" x14ac:dyDescent="0.25">
      <c r="A153" s="3" t="s">
        <v>39</v>
      </c>
      <c r="B153" s="2">
        <v>1</v>
      </c>
    </row>
  </sheetData>
  <mergeCells count="2">
    <mergeCell ref="A1:B1"/>
    <mergeCell ref="H1:L1"/>
  </mergeCells>
  <conditionalFormatting sqref="B18">
    <cfRule type="expression" dxfId="8" priority="3">
      <formula>IF(B17=1,B18=0)</formula>
    </cfRule>
  </conditionalFormatting>
  <conditionalFormatting sqref="B14:B15">
    <cfRule type="expression" dxfId="7" priority="2">
      <formula>IF(B13=1,B14=0)</formula>
    </cfRule>
  </conditionalFormatting>
  <conditionalFormatting sqref="B17">
    <cfRule type="expression" dxfId="6" priority="1">
      <formula>IF(B16=1,B17=0)</formula>
    </cfRule>
  </conditionalFormatting>
  <dataValidations count="5">
    <dataValidation type="list" showErrorMessage="1" error="Only values from the list can be accepted" promptTitle="Note:" prompt="Please click on the down arrow on the right side of the cell and select a value from the list below" sqref="E1">
      <formula1>Countries</formula1>
    </dataValidation>
    <dataValidation type="list" allowBlank="1" showInputMessage="1" showErrorMessage="1" sqref="A4 A85 A118 A128">
      <formula1>values</formula1>
    </dataValidation>
    <dataValidation type="whole" operator="equal" allowBlank="1" showInputMessage="1" showErrorMessage="1" error="Only 1 can be entered if applicable" promptTitle="Enter 1 for selection" sqref="B138:B142 B31:B33 B20:B21 C110:C114 B23:B24 B35:B37 B39:B41 B52:B54 B56:B58 B60:B69 B152:B153 B71:B75 B100:C106 B17:B18 B110:B115 B146:B147 B149:B150 B77:B80">
      <formula1>1</formula1>
    </dataValidation>
    <dataValidation type="list" allowBlank="1" showInputMessage="1" showErrorMessage="1" sqref="D87:D96">
      <formula1>confidence</formula1>
    </dataValidation>
    <dataValidation type="list" allowBlank="1" showInputMessage="1" showErrorMessage="1" sqref="A3 A84">
      <formula1>Currency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Drop Down 1">
              <controlPr defaultSize="0" autoLine="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2" r:id="rId5" name="Drop Down 2">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3" r:id="rId6" name="Drop Down 3">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4" r:id="rId7" name="Drop Down 4">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5" r:id="rId8" name="Drop Down 5">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6" r:id="rId9" name="Drop Down 6">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7" r:id="rId10" name="Drop Down 7">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8" r:id="rId11" name="Drop Down 8">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09" r:id="rId12" name="Drop Down 9">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1210" r:id="rId13" name="Drop Down 10">
              <controlPr defaultSize="0" autoFill="0" autoPict="0">
                <anchor moveWithCells="1">
                  <from>
                    <xdr:col>7</xdr:col>
                    <xdr:colOff>285750</xdr:colOff>
                    <xdr:row>3</xdr:row>
                    <xdr:rowOff>0</xdr:rowOff>
                  </from>
                  <to>
                    <xdr:col>8</xdr:col>
                    <xdr:colOff>304800</xdr:colOff>
                    <xdr:row>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153"/>
  <sheetViews>
    <sheetView tabSelected="1" topLeftCell="A103" workbookViewId="0">
      <selection activeCell="F147" sqref="F147"/>
    </sheetView>
  </sheetViews>
  <sheetFormatPr defaultColWidth="8.7109375" defaultRowHeight="12.75" customHeight="1" x14ac:dyDescent="0.25"/>
  <cols>
    <col min="1" max="1" width="35.7109375" style="2" customWidth="1"/>
    <col min="2" max="2" width="12.85546875" style="2" customWidth="1"/>
    <col min="3" max="3" width="16.5703125" style="2" customWidth="1"/>
    <col min="4" max="4" width="20.5703125" style="2" customWidth="1"/>
    <col min="5" max="5" width="18.42578125" style="2" customWidth="1"/>
    <col min="6" max="6" width="16.5703125" style="2" customWidth="1"/>
    <col min="7" max="7" width="14.140625" style="2" customWidth="1"/>
    <col min="8" max="8" width="11.85546875" customWidth="1"/>
    <col min="9" max="12" width="19.140625" style="2" customWidth="1"/>
    <col min="13" max="16384" width="8.7109375" style="2"/>
  </cols>
  <sheetData>
    <row r="1" spans="1:19" ht="12.75" customHeight="1" thickBot="1" x14ac:dyDescent="0.5">
      <c r="A1" s="99" t="s">
        <v>42</v>
      </c>
      <c r="B1" s="100"/>
      <c r="E1" s="62" t="s">
        <v>1070</v>
      </c>
      <c r="F1" s="70"/>
      <c r="H1" s="103" t="s">
        <v>924</v>
      </c>
      <c r="I1" s="104"/>
      <c r="J1" s="104"/>
      <c r="K1" s="104"/>
      <c r="L1" s="105"/>
      <c r="O1" s="2">
        <v>4</v>
      </c>
      <c r="P1" t="s">
        <v>286</v>
      </c>
      <c r="Q1" t="s">
        <v>289</v>
      </c>
      <c r="R1" s="2" t="s">
        <v>1106</v>
      </c>
      <c r="S1" s="2">
        <v>2</v>
      </c>
    </row>
    <row r="2" spans="1:19" ht="12.75" customHeight="1" x14ac:dyDescent="0.35">
      <c r="A2" s="7" t="s">
        <v>0</v>
      </c>
      <c r="R2" s="2" t="s">
        <v>1107</v>
      </c>
      <c r="S2" s="2">
        <v>3</v>
      </c>
    </row>
    <row r="3" spans="1:19" ht="12.75" customHeight="1" x14ac:dyDescent="0.35">
      <c r="A3" s="53" t="s">
        <v>927</v>
      </c>
      <c r="B3" s="2" t="s">
        <v>967</v>
      </c>
      <c r="C3" s="2" t="s">
        <v>966</v>
      </c>
      <c r="H3" s="47" t="s">
        <v>925</v>
      </c>
      <c r="I3" s="48"/>
      <c r="J3" s="48"/>
      <c r="R3" s="2" t="s">
        <v>1108</v>
      </c>
      <c r="S3" s="2">
        <v>4</v>
      </c>
    </row>
    <row r="4" spans="1:19" ht="12.75" customHeight="1" x14ac:dyDescent="0.3">
      <c r="A4" s="46" t="s">
        <v>1105</v>
      </c>
      <c r="H4" s="2"/>
    </row>
    <row r="5" spans="1:19" ht="12.75" customHeight="1" x14ac:dyDescent="0.3">
      <c r="B5" s="13" t="s">
        <v>1</v>
      </c>
      <c r="C5" s="13" t="s">
        <v>2</v>
      </c>
      <c r="D5" s="13" t="s">
        <v>3</v>
      </c>
      <c r="E5" s="13" t="s">
        <v>4</v>
      </c>
      <c r="F5" s="13" t="s">
        <v>5</v>
      </c>
      <c r="H5" s="13" t="s">
        <v>1</v>
      </c>
      <c r="I5" s="13" t="s">
        <v>2</v>
      </c>
      <c r="J5" s="13" t="s">
        <v>3</v>
      </c>
      <c r="K5" s="13" t="s">
        <v>4</v>
      </c>
      <c r="L5" s="13" t="s">
        <v>5</v>
      </c>
    </row>
    <row r="6" spans="1:19" ht="12.75" customHeight="1" x14ac:dyDescent="0.35">
      <c r="B6" s="14">
        <v>2006</v>
      </c>
      <c r="C6" s="68" t="s">
        <v>940</v>
      </c>
      <c r="D6" s="68" t="s">
        <v>941</v>
      </c>
      <c r="E6" s="68" t="s">
        <v>942</v>
      </c>
      <c r="F6" s="49">
        <f>SUM(C6:E6)</f>
        <v>0</v>
      </c>
      <c r="H6" s="14">
        <v>2006</v>
      </c>
      <c r="I6" s="58" t="e">
        <f>IF($A$4=$R$1,IF($C$3="United States Dollar (USD)",C6,(C6*(SUMIFS(IMF!AJ:AJ,IMF!$D:$D,$E$1,IMF!$C:$C,$Q$1)/SUMIFS(IMF!AJ:AJ,IMF!$D:$D,$E$1,IMF!$C:$C,$P$1))))/1000,IF($A$4=$R$3,IF($C$3="United States Dollar (USD)",C6,(C6*(SUMIFS(IMF!AJ:AJ,IMF!$D:$D,$E$1,IMF!$C:$C,$Q$1)/SUMIFS(IMF!AJ:AJ,IMF!$D:$D,$E$1,IMF!$C:$C,$P$1))))*1000,IF($C$3="United States Dollar (USD)",C6,(C6*(SUMIFS(IMF!AJ:AJ,IMF!$D:$D,$E$1,IMF!$C:$C,$Q$1)/SUMIFS(IMF!AJ:AJ,IMF!$D:$D,$E$1,IMF!$C:$C,$P$1))))))</f>
        <v>#VALUE!</v>
      </c>
      <c r="J6" s="58" t="e">
        <f>IF($A$4=$R$1,IF($C$3="United States Dollar (USD)",D6,(D6*(SUMIFS(IMF!AJ:AJ,IMF!$D:$D,$E$1,IMF!$C:$C,$Q$1)/SUMIFS(IMF!AJ:AJ,IMF!$D:$D,$E$1,IMF!$C:$C,$P$1))))/1000,IF($A$4=$R$3,IF($C$3="United States Dollar (USD)",D6,(D6*(SUMIFS(IMF!AJ:AJ,IMF!$D:$D,$E$1,IMF!$C:$C,$Q$1)/SUMIFS(IMF!AJ:AJ,IMF!$D:$D,$E$1,IMF!$C:$C,$P$1))))*1000,IF($C$3="United States Dollar (USD)",D6,(D6*(SUMIFS(IMF!AJ:AJ,IMF!$D:$D,$E$1,IMF!$C:$C,$Q$1)/SUMIFS(IMF!AJ:AJ,IMF!$D:$D,$E$1,IMF!$C:$C,$P$1))))))</f>
        <v>#VALUE!</v>
      </c>
      <c r="K6" s="58" t="e">
        <f>IF($A$4=$R$1,IF($C$3="United States Dollar (USD)",E6,(E6*(SUMIFS(IMF!AJ:AJ,IMF!$D:$D,$E$1,IMF!$C:$C,$Q$1)/SUMIFS(IMF!AJ:AJ,IMF!$D:$D,$E$1,IMF!$C:$C,$P$1))))/1000,IF($A$4=$R$3,IF($C$3="United States Dollar (USD)",E6,(E6*(SUMIFS(IMF!AJ:AJ,IMF!$D:$D,$E$1,IMF!$C:$C,$Q$1)/SUMIFS(IMF!AJ:AJ,IMF!$D:$D,$E$1,IMF!$C:$C,$P$1))))*1000,IF($C$3="United States Dollar (USD)",E6,(E6*(SUMIFS(IMF!AJ:AJ,IMF!$D:$D,$E$1,IMF!$C:$C,$Q$1)/SUMIFS(IMF!AJ:AJ,IMF!$D:$D,$E$1,IMF!$C:$C,$P$1))))))</f>
        <v>#VALUE!</v>
      </c>
      <c r="L6" s="59" t="e">
        <f>SUM(I6:K6)</f>
        <v>#VALUE!</v>
      </c>
    </row>
    <row r="7" spans="1:19" ht="12.75" customHeight="1" x14ac:dyDescent="0.35">
      <c r="B7" s="14">
        <v>2007</v>
      </c>
      <c r="C7" s="68" t="s">
        <v>943</v>
      </c>
      <c r="D7" s="68" t="s">
        <v>944</v>
      </c>
      <c r="E7" s="68" t="s">
        <v>945</v>
      </c>
      <c r="F7" s="49">
        <f>SUM(C7:E7)</f>
        <v>0</v>
      </c>
      <c r="H7" s="14">
        <v>2007</v>
      </c>
      <c r="I7" s="58" t="e">
        <f>IF($A$4=$R$1,IF($C$3="United States Dollar (USD)",C7,(C7*(SUMIFS(IMF!AK:AK,IMF!$D:$D,$E$1,IMF!$C:$C,$Q$1)/SUMIFS(IMF!AK:AK,IMF!$D:$D,$E$1,IMF!$C:$C,$P$1))))/1000,IF($A$4=$R$3,IF($C$3="United States Dollar (USD)",C7,(C7*(SUMIFS(IMF!AK:AK,IMF!$D:$D,$E$1,IMF!$C:$C,$Q$1)/SUMIFS(IMF!AK:AK,IMF!$D:$D,$E$1,IMF!$C:$C,$P$1))))*1000,IF($C$3="United States Dollar (USD)",C7,(C7*(SUMIFS(IMF!AK:AK,IMF!$D:$D,$E$1,IMF!$C:$C,$Q$1)/SUMIFS(IMF!AK:AK,IMF!$D:$D,$E$1,IMF!$C:$C,$P$1))))))</f>
        <v>#VALUE!</v>
      </c>
      <c r="J7" s="58" t="e">
        <f>IF($A$4=$R$1,IF($C$3="United States Dollar (USD)",D7,(D7*(SUMIFS(IMF!AK:AK,IMF!$D:$D,$E$1,IMF!$C:$C,$Q$1)/SUMIFS(IMF!AK:AK,IMF!$D:$D,$E$1,IMF!$C:$C,$P$1))))/1000,IF($A$4=$R$3,IF($C$3="United States Dollar (USD)",D7,(D7*(SUMIFS(IMF!AK:AK,IMF!$D:$D,$E$1,IMF!$C:$C,$Q$1)/SUMIFS(IMF!AK:AK,IMF!$D:$D,$E$1,IMF!$C:$C,$P$1))))*1000,IF($C$3="United States Dollar (USD)",D7,(D7*(SUMIFS(IMF!AK:AK,IMF!$D:$D,$E$1,IMF!$C:$C,$Q$1)/SUMIFS(IMF!AK:AK,IMF!$D:$D,$E$1,IMF!$C:$C,$P$1))))))</f>
        <v>#VALUE!</v>
      </c>
      <c r="K7" s="58" t="e">
        <f>IF($A$4=$R$1,IF($C$3="United States Dollar (USD)",E7,(E7*(SUMIFS(IMF!AK:AK,IMF!$D:$D,$E$1,IMF!$C:$C,$Q$1)/SUMIFS(IMF!AK:AK,IMF!$D:$D,$E$1,IMF!$C:$C,$P$1))))/1000,IF($A$4=$R$3,IF($C$3="United States Dollar (USD)",E7,(E7*(SUMIFS(IMF!AK:AK,IMF!$D:$D,$E$1,IMF!$C:$C,$Q$1)/SUMIFS(IMF!AK:AK,IMF!$D:$D,$E$1,IMF!$C:$C,$P$1))))*1000,IF($C$3="United States Dollar (USD)",E7,(E7*(SUMIFS(IMF!AK:AK,IMF!$D:$D,$E$1,IMF!$C:$C,$Q$1)/SUMIFS(IMF!AK:AK,IMF!$D:$D,$E$1,IMF!$C:$C,$P$1))))))</f>
        <v>#VALUE!</v>
      </c>
      <c r="L7" s="59" t="e">
        <f>SUM(I7:K7)</f>
        <v>#VALUE!</v>
      </c>
    </row>
    <row r="8" spans="1:19" ht="12.75" customHeight="1" x14ac:dyDescent="0.35">
      <c r="B8" s="14">
        <v>2008</v>
      </c>
      <c r="C8" s="68" t="s">
        <v>946</v>
      </c>
      <c r="D8" s="68" t="s">
        <v>947</v>
      </c>
      <c r="E8" s="68" t="s">
        <v>948</v>
      </c>
      <c r="F8" s="49">
        <f>SUM(C8:E8)</f>
        <v>0</v>
      </c>
      <c r="G8" s="4"/>
      <c r="H8" s="14">
        <v>2008</v>
      </c>
      <c r="I8" s="58" t="e">
        <f>IF($A$4=$R$1,IF($C$3="United States Dollar (USD)",C8,(C8*(SUMIFS(IMF!AL:AL,IMF!$D:$D,$E$1,IMF!$C:$C,$Q$1)/SUMIFS(IMF!AL:AL,IMF!$D:$D,$E$1,IMF!$C:$C,$P$1))))/1000,IF($A$4=$R$3,IF($C$3="United States Dollar (USD)",C8,(C8*(SUMIFS(IMF!AL:AL,IMF!$D:$D,$E$1,IMF!$C:$C,$Q$1)/SUMIFS(IMF!AL:AL,IMF!$D:$D,$E$1,IMF!$C:$C,$P$1))))*1000,IF($C$3="United States Dollar (USD)",C8,(C8*(SUMIFS(IMF!AL:AL,IMF!$D:$D,$E$1,IMF!$C:$C,$Q$1)/SUMIFS(IMF!AL:AL,IMF!$D:$D,$E$1,IMF!$C:$C,$P$1))))))</f>
        <v>#VALUE!</v>
      </c>
      <c r="J8" s="58" t="e">
        <f>IF($A$4=$R$1,IF($C$3="United States Dollar (USD)",D8,(D8*(SUMIFS(IMF!AL:AL,IMF!$D:$D,$E$1,IMF!$C:$C,$Q$1)/SUMIFS(IMF!AL:AL,IMF!$D:$D,$E$1,IMF!$C:$C,$P$1))))/1000,IF($A$4=$R$3,IF($C$3="United States Dollar (USD)",D8,(D8*(SUMIFS(IMF!AL:AL,IMF!$D:$D,$E$1,IMF!$C:$C,$Q$1)/SUMIFS(IMF!AL:AL,IMF!$D:$D,$E$1,IMF!$C:$C,$P$1))))*1000,IF($C$3="United States Dollar (USD)",D8,(D8*(SUMIFS(IMF!AL:AL,IMF!$D:$D,$E$1,IMF!$C:$C,$Q$1)/SUMIFS(IMF!AL:AL,IMF!$D:$D,$E$1,IMF!$C:$C,$P$1))))))</f>
        <v>#VALUE!</v>
      </c>
      <c r="K8" s="58" t="e">
        <f>IF($A$4=$R$1,IF($C$3="United States Dollar (USD)",E8,(E8*(SUMIFS(IMF!AL:AL,IMF!$D:$D,$E$1,IMF!$C:$C,$Q$1)/SUMIFS(IMF!AL:AL,IMF!$D:$D,$E$1,IMF!$C:$C,$P$1))))/1000,IF($A$4=$R$3,IF($C$3="United States Dollar (USD)",E8,(E8*(SUMIFS(IMF!AL:AL,IMF!$D:$D,$E$1,IMF!$C:$C,$Q$1)/SUMIFS(IMF!AL:AL,IMF!$D:$D,$E$1,IMF!$C:$C,$P$1))))*1000,IF($C$3="United States Dollar (USD)",E8,(E8*(SUMIFS(IMF!AL:AL,IMF!$D:$D,$E$1,IMF!$C:$C,$Q$1)/SUMIFS(IMF!AL:AL,IMF!$D:$D,$E$1,IMF!$C:$C,$P$1))))))</f>
        <v>#VALUE!</v>
      </c>
      <c r="L8" s="59" t="e">
        <f>SUM(I8:K8)</f>
        <v>#VALUE!</v>
      </c>
    </row>
    <row r="9" spans="1:19" ht="12.75" customHeight="1" x14ac:dyDescent="0.35">
      <c r="B9" s="14">
        <v>2009</v>
      </c>
      <c r="C9" s="68" t="s">
        <v>949</v>
      </c>
      <c r="D9" s="68" t="s">
        <v>950</v>
      </c>
      <c r="E9" s="68" t="s">
        <v>951</v>
      </c>
      <c r="F9" s="49">
        <f>SUM(C9:E9)</f>
        <v>0</v>
      </c>
      <c r="G9" s="5"/>
      <c r="H9" s="14">
        <v>2009</v>
      </c>
      <c r="I9" s="58" t="e">
        <f>IF($A$4=$R$1,IF($C$3="United States Dollar (USD)",C9,(C9*(SUMIFS(IMF!AM:AM,IMF!$D:$D,$E$1,IMF!$C:$C,$Q$1)/SUMIFS(IMF!AM:AM,IMF!$D:$D,$E$1,IMF!$C:$C,$P$1))))/1000,IF($A$4=$R$3,IF($C$3="United States Dollar (USD)",C9,(C9*(SUMIFS(IMF!AM:AM,IMF!$D:$D,$E$1,IMF!$C:$C,$Q$1)/SUMIFS(IMF!AM:AM,IMF!$D:$D,$E$1,IMF!$C:$C,$P$1))))*1000,IF($C$3="United States Dollar (USD)",C9,(C9*(SUMIFS(IMF!AM:AM,IMF!$D:$D,$E$1,IMF!$C:$C,$Q$1)/SUMIFS(IMF!AM:AM,IMF!$D:$D,$E$1,IMF!$C:$C,$P$1))))))</f>
        <v>#VALUE!</v>
      </c>
      <c r="J9" s="58" t="e">
        <f>IF($A$4=$R$1,IF($C$3="United States Dollar (USD)",D9,(D9*(SUMIFS(IMF!AM:AM,IMF!$D:$D,$E$1,IMF!$C:$C,$Q$1)/SUMIFS(IMF!AM:AM,IMF!$D:$D,$E$1,IMF!$C:$C,$P$1))))/1000,IF($A$4=$R$3,IF($C$3="United States Dollar (USD)",D9,(D9*(SUMIFS(IMF!AM:AM,IMF!$D:$D,$E$1,IMF!$C:$C,$Q$1)/SUMIFS(IMF!AM:AM,IMF!$D:$D,$E$1,IMF!$C:$C,$P$1))))*1000,IF($C$3="United States Dollar (USD)",D9,(D9*(SUMIFS(IMF!AM:AM,IMF!$D:$D,$E$1,IMF!$C:$C,$Q$1)/SUMIFS(IMF!AM:AM,IMF!$D:$D,$E$1,IMF!$C:$C,$P$1))))))</f>
        <v>#VALUE!</v>
      </c>
      <c r="K9" s="58" t="e">
        <f>IF($A$4=$R$1,IF($C$3="United States Dollar (USD)",E9,(E9*(SUMIFS(IMF!AM:AM,IMF!$D:$D,$E$1,IMF!$C:$C,$Q$1)/SUMIFS(IMF!AM:AM,IMF!$D:$D,$E$1,IMF!$C:$C,$P$1))))/1000,IF($A$4=$R$3,IF($C$3="United States Dollar (USD)",E9,(E9*(SUMIFS(IMF!AM:AM,IMF!$D:$D,$E$1,IMF!$C:$C,$Q$1)/SUMIFS(IMF!AM:AM,IMF!$D:$D,$E$1,IMF!$C:$C,$P$1))))*1000,IF($C$3="United States Dollar (USD)",E9,(E9*(SUMIFS(IMF!AM:AM,IMF!$D:$D,$E$1,IMF!$C:$C,$Q$1)/SUMIFS(IMF!AM:AM,IMF!$D:$D,$E$1,IMF!$C:$C,$P$1))))))</f>
        <v>#VALUE!</v>
      </c>
      <c r="L9" s="59" t="e">
        <f>SUM(I9:K9)</f>
        <v>#VALUE!</v>
      </c>
    </row>
    <row r="10" spans="1:19" ht="12.75" customHeight="1" x14ac:dyDescent="0.35">
      <c r="B10" s="14">
        <v>2010</v>
      </c>
      <c r="C10" s="68" t="s">
        <v>952</v>
      </c>
      <c r="D10" s="68" t="s">
        <v>953</v>
      </c>
      <c r="E10" s="68" t="s">
        <v>954</v>
      </c>
      <c r="F10" s="49">
        <f>SUM(C10:E10)</f>
        <v>0</v>
      </c>
      <c r="H10" s="14">
        <v>2010</v>
      </c>
      <c r="I10" s="58" t="e">
        <f>IF($A$4=$R$1,IF($C$3="United States Dollar (USD)",C10,(C10*(SUMIFS(IMF!AN:AN,IMF!$D:$D,$E$1,IMF!$C:$C,$Q$1)/SUMIFS(IMF!AN:AN,IMF!$D:$D,$E$1,IMF!$C:$C,$P$1))))/1000,IF($A$4=$R$3,IF($C$3="United States Dollar (USD)",C10,(C10*(SUMIFS(IMF!AN:AN,IMF!$D:$D,$E$1,IMF!$C:$C,$Q$1)/SUMIFS(IMF!AN:AN,IMF!$D:$D,$E$1,IMF!$C:$C,$P$1))))*1000,IF($C$3="United States Dollar (USD)",C10,(C10*(SUMIFS(IMF!AN:AN,IMF!$D:$D,$E$1,IMF!$C:$C,$Q$1)/SUMIFS(IMF!AN:AN,IMF!$D:$D,$E$1,IMF!$C:$C,$P$1))))))</f>
        <v>#VALUE!</v>
      </c>
      <c r="J10" s="58" t="e">
        <f>IF($A$4=$R$1,IF($C$3="United States Dollar (USD)",D10,(D10*(SUMIFS(IMF!AN:AN,IMF!$D:$D,$E$1,IMF!$C:$C,$Q$1)/SUMIFS(IMF!AN:AN,IMF!$D:$D,$E$1,IMF!$C:$C,$P$1))))/1000,IF($A$4=$R$3,IF($C$3="United States Dollar (USD)",D10,(D10*(SUMIFS(IMF!AN:AN,IMF!$D:$D,$E$1,IMF!$C:$C,$Q$1)/SUMIFS(IMF!AN:AN,IMF!$D:$D,$E$1,IMF!$C:$C,$P$1))))*1000,IF($C$3="United States Dollar (USD)",D10,(D10*(SUMIFS(IMF!AN:AN,IMF!$D:$D,$E$1,IMF!$C:$C,$Q$1)/SUMIFS(IMF!AN:AN,IMF!$D:$D,$E$1,IMF!$C:$C,$P$1))))))</f>
        <v>#VALUE!</v>
      </c>
      <c r="K10" s="58" t="e">
        <f>IF($A$4=$R$1,IF($C$3="United States Dollar (USD)",E10,(E10*(SUMIFS(IMF!AN:AN,IMF!$D:$D,$E$1,IMF!$C:$C,$Q$1)/SUMIFS(IMF!AN:AN,IMF!$D:$D,$E$1,IMF!$C:$C,$P$1))))/1000,IF($A$4=$R$3,IF($C$3="United States Dollar (USD)",E10,(E10*(SUMIFS(IMF!AN:AN,IMF!$D:$D,$E$1,IMF!$C:$C,$Q$1)/SUMIFS(IMF!AN:AN,IMF!$D:$D,$E$1,IMF!$C:$C,$P$1))))*1000,IF($C$3="United States Dollar (USD)",E10,(E10*(SUMIFS(IMF!AN:AN,IMF!$D:$D,$E$1,IMF!$C:$C,$Q$1)/SUMIFS(IMF!AN:AN,IMF!$D:$D,$E$1,IMF!$C:$C,$P$1))))))</f>
        <v>#VALUE!</v>
      </c>
      <c r="L10" s="59" t="e">
        <f>SUM(I10:K10)</f>
        <v>#VALUE!</v>
      </c>
    </row>
    <row r="11" spans="1:19" ht="12.75" customHeight="1" x14ac:dyDescent="0.3">
      <c r="B11" s="15" t="s">
        <v>6</v>
      </c>
      <c r="C11" s="49" t="e">
        <f>AVERAGE(C6:C10)</f>
        <v>#DIV/0!</v>
      </c>
      <c r="D11" s="49" t="e">
        <f>AVERAGE(D6:D10)</f>
        <v>#DIV/0!</v>
      </c>
      <c r="E11" s="49" t="e">
        <f>AVERAGE(E6:E10)</f>
        <v>#DIV/0!</v>
      </c>
      <c r="F11" s="49">
        <f>AVERAGE(F6:F10)</f>
        <v>0</v>
      </c>
      <c r="H11" s="15" t="s">
        <v>6</v>
      </c>
      <c r="I11" s="59" t="e">
        <f>AVERAGE(I6:I10)</f>
        <v>#VALUE!</v>
      </c>
      <c r="J11" s="59" t="e">
        <f>AVERAGE(J6:J10)</f>
        <v>#VALUE!</v>
      </c>
      <c r="K11" s="59" t="e">
        <f>AVERAGE(K6:K10)</f>
        <v>#VALUE!</v>
      </c>
      <c r="L11" s="59" t="e">
        <f>AVERAGE(L6:L10)</f>
        <v>#VALUE!</v>
      </c>
    </row>
    <row r="12" spans="1:19" ht="12.75" customHeight="1" x14ac:dyDescent="0.35">
      <c r="A12" s="3" t="s">
        <v>8</v>
      </c>
    </row>
    <row r="13" spans="1:19" ht="12.75" customHeight="1" x14ac:dyDescent="0.35">
      <c r="A13" s="7" t="s">
        <v>9</v>
      </c>
    </row>
    <row r="14" spans="1:19" ht="12.75" customHeight="1" x14ac:dyDescent="0.35">
      <c r="A14" s="63" t="s">
        <v>10</v>
      </c>
      <c r="B14" s="64" t="s">
        <v>955</v>
      </c>
      <c r="C14" s="64"/>
      <c r="D14" s="64"/>
      <c r="E14" s="64"/>
    </row>
    <row r="15" spans="1:19" ht="12.75" customHeight="1" x14ac:dyDescent="0.35">
      <c r="A15" s="63" t="s">
        <v>11</v>
      </c>
      <c r="B15" s="64" t="s">
        <v>999</v>
      </c>
      <c r="C15" s="64"/>
      <c r="D15" s="64"/>
      <c r="E15" s="64"/>
    </row>
    <row r="16" spans="1:19" ht="12.75" customHeight="1" x14ac:dyDescent="0.35">
      <c r="A16" s="65" t="s">
        <v>12</v>
      </c>
      <c r="B16" s="64"/>
      <c r="C16" s="64"/>
      <c r="D16" s="64"/>
      <c r="E16" s="64"/>
    </row>
    <row r="17" spans="1:5" ht="12.75" customHeight="1" x14ac:dyDescent="0.35">
      <c r="A17" s="66" t="s">
        <v>236</v>
      </c>
      <c r="B17" s="64" t="s">
        <v>1097</v>
      </c>
      <c r="C17" s="64"/>
      <c r="D17" s="64"/>
      <c r="E17" s="64"/>
    </row>
    <row r="18" spans="1:5" ht="12.75" customHeight="1" x14ac:dyDescent="0.35">
      <c r="A18" s="66" t="s">
        <v>237</v>
      </c>
      <c r="B18" s="64" t="s">
        <v>998</v>
      </c>
      <c r="C18" s="64"/>
      <c r="D18" s="64"/>
      <c r="E18" s="64"/>
    </row>
    <row r="19" spans="1:5" ht="12.75" customHeight="1" x14ac:dyDescent="0.35">
      <c r="A19" s="65" t="s">
        <v>12</v>
      </c>
      <c r="B19" s="64"/>
      <c r="C19" s="64"/>
      <c r="D19" s="64"/>
      <c r="E19" s="64"/>
    </row>
    <row r="20" spans="1:5" ht="12.75" customHeight="1" x14ac:dyDescent="0.35">
      <c r="A20" s="63" t="s">
        <v>13</v>
      </c>
      <c r="B20" s="64" t="s">
        <v>1000</v>
      </c>
      <c r="C20" s="64"/>
      <c r="D20" s="64"/>
      <c r="E20" s="64"/>
    </row>
    <row r="21" spans="1:5" ht="12.75" customHeight="1" x14ac:dyDescent="0.35">
      <c r="A21" s="63" t="s">
        <v>14</v>
      </c>
      <c r="B21" s="64" t="s">
        <v>1001</v>
      </c>
      <c r="C21" s="64"/>
      <c r="D21" s="64"/>
      <c r="E21" s="64"/>
    </row>
    <row r="22" spans="1:5" ht="12.75" customHeight="1" x14ac:dyDescent="0.35">
      <c r="A22" s="65" t="s">
        <v>15</v>
      </c>
      <c r="B22" s="64"/>
      <c r="C22" s="64"/>
      <c r="D22" s="64"/>
      <c r="E22" s="64"/>
    </row>
    <row r="23" spans="1:5" ht="12.75" customHeight="1" x14ac:dyDescent="0.35">
      <c r="A23" s="63" t="s">
        <v>13</v>
      </c>
      <c r="B23" s="64" t="s">
        <v>1002</v>
      </c>
      <c r="C23" s="64"/>
      <c r="D23" s="64"/>
      <c r="E23" s="64"/>
    </row>
    <row r="24" spans="1:5" ht="12.75" customHeight="1" x14ac:dyDescent="0.35">
      <c r="A24" s="63" t="s">
        <v>14</v>
      </c>
      <c r="B24" s="64" t="s">
        <v>1003</v>
      </c>
      <c r="C24" s="64"/>
      <c r="D24" s="64"/>
      <c r="E24" s="64"/>
    </row>
    <row r="25" spans="1:5" ht="12.75" customHeight="1" x14ac:dyDescent="0.35">
      <c r="A25" s="65" t="s">
        <v>16</v>
      </c>
      <c r="B25" s="64"/>
      <c r="C25" s="64"/>
      <c r="D25" s="64"/>
      <c r="E25" s="64"/>
    </row>
    <row r="26" spans="1:5" ht="12.75" customHeight="1" x14ac:dyDescent="0.35">
      <c r="A26" s="3" t="s">
        <v>17</v>
      </c>
      <c r="B26" s="2" t="s">
        <v>968</v>
      </c>
    </row>
    <row r="27" spans="1:5" ht="12.75" customHeight="1" thickBot="1" x14ac:dyDescent="0.4">
      <c r="A27" s="7" t="s">
        <v>18</v>
      </c>
    </row>
    <row r="28" spans="1:5" ht="12.75" customHeight="1" thickBot="1" x14ac:dyDescent="0.4">
      <c r="A28" s="43"/>
    </row>
    <row r="29" spans="1:5" ht="12.75" customHeight="1" x14ac:dyDescent="0.35">
      <c r="A29" s="7" t="s">
        <v>19</v>
      </c>
    </row>
    <row r="30" spans="1:5" ht="12.75" customHeight="1" x14ac:dyDescent="0.35">
      <c r="A30" s="7" t="s">
        <v>238</v>
      </c>
    </row>
    <row r="31" spans="1:5" ht="12.75" customHeight="1" x14ac:dyDescent="0.35">
      <c r="A31" s="2" t="s">
        <v>239</v>
      </c>
      <c r="B31" s="2" t="s">
        <v>1004</v>
      </c>
    </row>
    <row r="32" spans="1:5" ht="12.75" customHeight="1" x14ac:dyDescent="0.35">
      <c r="A32" s="2" t="s">
        <v>32</v>
      </c>
      <c r="B32" s="2" t="s">
        <v>1005</v>
      </c>
    </row>
    <row r="33" spans="1:12" ht="12.75" customHeight="1" x14ac:dyDescent="0.35">
      <c r="A33" s="2" t="s">
        <v>240</v>
      </c>
      <c r="B33" s="2" t="s">
        <v>1006</v>
      </c>
    </row>
    <row r="34" spans="1:12" ht="12.75" customHeight="1" x14ac:dyDescent="0.35">
      <c r="A34" s="7" t="s">
        <v>241</v>
      </c>
    </row>
    <row r="35" spans="1:12" ht="12.75" customHeight="1" x14ac:dyDescent="0.35">
      <c r="A35" s="2" t="s">
        <v>239</v>
      </c>
      <c r="B35" s="2" t="s">
        <v>1007</v>
      </c>
    </row>
    <row r="36" spans="1:12" ht="12.75" customHeight="1" x14ac:dyDescent="0.35">
      <c r="A36" s="2" t="s">
        <v>32</v>
      </c>
      <c r="B36" s="2" t="s">
        <v>1008</v>
      </c>
    </row>
    <row r="37" spans="1:12" ht="12.75" customHeight="1" x14ac:dyDescent="0.35">
      <c r="A37" s="2" t="s">
        <v>240</v>
      </c>
      <c r="B37" s="2" t="s">
        <v>1009</v>
      </c>
    </row>
    <row r="38" spans="1:12" ht="12.75" customHeight="1" x14ac:dyDescent="0.35">
      <c r="A38" s="7" t="s">
        <v>242</v>
      </c>
    </row>
    <row r="39" spans="1:12" ht="12.75" customHeight="1" x14ac:dyDescent="0.35">
      <c r="A39" s="2" t="s">
        <v>239</v>
      </c>
      <c r="B39" s="2" t="s">
        <v>1010</v>
      </c>
    </row>
    <row r="40" spans="1:12" ht="12.75" customHeight="1" x14ac:dyDescent="0.35">
      <c r="A40" s="2" t="s">
        <v>32</v>
      </c>
      <c r="B40" s="2" t="s">
        <v>1011</v>
      </c>
    </row>
    <row r="41" spans="1:12" ht="12.75" customHeight="1" x14ac:dyDescent="0.35">
      <c r="A41" s="2" t="s">
        <v>240</v>
      </c>
      <c r="B41" s="2" t="s">
        <v>1012</v>
      </c>
    </row>
    <row r="42" spans="1:12" ht="12.75" customHeight="1" x14ac:dyDescent="0.35">
      <c r="A42" s="7" t="s">
        <v>20</v>
      </c>
    </row>
    <row r="43" spans="1:12" ht="12.75" customHeight="1" x14ac:dyDescent="0.3">
      <c r="B43" s="13" t="s">
        <v>1</v>
      </c>
      <c r="C43" s="13" t="s">
        <v>2</v>
      </c>
      <c r="D43" s="13" t="s">
        <v>3</v>
      </c>
      <c r="E43" s="13" t="s">
        <v>4</v>
      </c>
      <c r="F43" s="13" t="s">
        <v>5</v>
      </c>
      <c r="H43" s="13" t="s">
        <v>1</v>
      </c>
      <c r="I43" s="13" t="s">
        <v>2</v>
      </c>
      <c r="J43" s="13" t="s">
        <v>3</v>
      </c>
      <c r="K43" s="13" t="s">
        <v>4</v>
      </c>
      <c r="L43" s="13" t="s">
        <v>5</v>
      </c>
    </row>
    <row r="44" spans="1:12" ht="12.75" customHeight="1" x14ac:dyDescent="0.35">
      <c r="B44" s="14">
        <v>2011</v>
      </c>
      <c r="C44" s="67" t="s">
        <v>969</v>
      </c>
      <c r="D44" s="67" t="s">
        <v>974</v>
      </c>
      <c r="E44" s="67" t="s">
        <v>979</v>
      </c>
      <c r="F44" s="50">
        <f>SUM(C44:E44)</f>
        <v>0</v>
      </c>
      <c r="H44" s="14">
        <v>2011</v>
      </c>
      <c r="I44" s="58" t="e">
        <f>IF($A$4=$R$1,IF($C$3="United States Dollar (USD)",C44,(C44*(SUMIFS(IMF!AO:AO,IMF!$D:$D,$E$1,IMF!$C:$C,$Q$1)/SUMIFS(IMF!AO:AO,IMF!$D:$D,$E$1,IMF!$C:$C,$P$1))))/1000,IF($A$4=$R$3,IF($C$3="United States Dollar (USD)",C44,(C44*(SUMIFS(IMF!AO:AO,IMF!$D:$D,$E$1,IMF!$C:$C,$Q$1)/SUMIFS(IMF!AO:AO,IMF!$D:$D,$E$1,IMF!$C:$C,$P$1))))*1000,IF($C$3="United States Dollar (USD)",C44,(C44*(SUMIFS(IMF!AO:AO,IMF!$D:$D,$E$1,IMF!$C:$C,$Q$1)/SUMIFS(IMF!AO:AO,IMF!$D:$D,$E$1,IMF!$C:$C,$P$1))))))</f>
        <v>#VALUE!</v>
      </c>
      <c r="J44" s="58" t="e">
        <f>IF($A$4=$R$1,IF($C$3="United States Dollar (USD)",D44,(D44*(SUMIFS(IMF!AO:AO,IMF!$D:$D,$E$1,IMF!$C:$C,$Q$1)/SUMIFS(IMF!AO:AO,IMF!$D:$D,$E$1,IMF!$C:$C,$P$1))))/1000,IF($A$4=$R$3,IF($C$3="United States Dollar (USD)",D44,(D44*(SUMIFS(IMF!AO:AO,IMF!$D:$D,$E$1,IMF!$C:$C,$Q$1)/SUMIFS(IMF!AO:AO,IMF!$D:$D,$E$1,IMF!$C:$C,$P$1))))*1000,IF($C$3="United States Dollar (USD)",D44,(D44*(SUMIFS(IMF!AO:AO,IMF!$D:$D,$E$1,IMF!$C:$C,$Q$1)/SUMIFS(IMF!AO:AO,IMF!$D:$D,$E$1,IMF!$C:$C,$P$1))))))</f>
        <v>#VALUE!</v>
      </c>
      <c r="K44" s="58" t="e">
        <f>IF($A$4=$R$1,IF($C$3="United States Dollar (USD)",E44,(E44*(SUMIFS(IMF!AO:AO,IMF!$D:$D,$E$1,IMF!$C:$C,$Q$1)/SUMIFS(IMF!AO:AO,IMF!$D:$D,$E$1,IMF!$C:$C,$P$1))))/1000,IF($A$4=$R$3,IF($C$3="United States Dollar (USD)",E44,(E44*(SUMIFS(IMF!AO:AO,IMF!$D:$D,$E$1,IMF!$C:$C,$Q$1)/SUMIFS(IMF!AO:AO,IMF!$D:$D,$E$1,IMF!$C:$C,$P$1))))*1000,IF($C$3="United States Dollar (USD)",E44,(E44*(SUMIFS(IMF!AO:AO,IMF!$D:$D,$E$1,IMF!$C:$C,$Q$1)/SUMIFS(IMF!AO:AO,IMF!$D:$D,$E$1,IMF!$C:$C,$P$1))))))</f>
        <v>#VALUE!</v>
      </c>
      <c r="L44" s="59" t="e">
        <f>SUM(I44:K44)</f>
        <v>#VALUE!</v>
      </c>
    </row>
    <row r="45" spans="1:12" ht="12.75" customHeight="1" x14ac:dyDescent="0.35">
      <c r="B45" s="14">
        <v>2012</v>
      </c>
      <c r="C45" s="67" t="s">
        <v>970</v>
      </c>
      <c r="D45" s="67" t="s">
        <v>975</v>
      </c>
      <c r="E45" s="67" t="s">
        <v>980</v>
      </c>
      <c r="F45" s="50">
        <f>SUM(C45:E45)</f>
        <v>0</v>
      </c>
      <c r="H45" s="14">
        <v>2012</v>
      </c>
      <c r="I45" s="58" t="e">
        <f>IF($A$4=$R$1,IF($C$3="United States Dollar (USD)",C45,(C45*(SUMIFS(IMF!AP:AP,IMF!$D:$D,$E$1,IMF!$C:$C,$Q$1)/SUMIFS(IMF!AP:AP,IMF!$D:$D,$E$1,IMF!$C:$C,$P$1))))/1000,IF($A$4=$R$3,IF($C$3="United States Dollar (USD)",C45,(C45*(SUMIFS(IMF!AP:AP,IMF!$D:$D,$E$1,IMF!$C:$C,$Q$1)/SUMIFS(IMF!AP:AP,IMF!$D:$D,$E$1,IMF!$C:$C,$P$1))))*1000,IF($C$3="United States Dollar (USD)",C45,(C45*(SUMIFS(IMF!AP:AP,IMF!$D:$D,$E$1,IMF!$C:$C,$Q$1)/SUMIFS(IMF!AP:AP,IMF!$D:$D,$E$1,IMF!$C:$C,$P$1))))))</f>
        <v>#VALUE!</v>
      </c>
      <c r="J45" s="58" t="e">
        <f>IF($A$4=$R$1,IF($C$3="United States Dollar (USD)",D45,(D45*(SUMIFS(IMF!AP:AP,IMF!$D:$D,$E$1,IMF!$C:$C,$Q$1)/SUMIFS(IMF!AP:AP,IMF!$D:$D,$E$1,IMF!$C:$C,$P$1))))/1000,IF($A$4=$R$3,IF($C$3="United States Dollar (USD)",D45,(D45*(SUMIFS(IMF!AP:AP,IMF!$D:$D,$E$1,IMF!$C:$C,$Q$1)/SUMIFS(IMF!AP:AP,IMF!$D:$D,$E$1,IMF!$C:$C,$P$1))))*1000,IF($C$3="United States Dollar (USD)",D45,(D45*(SUMIFS(IMF!AP:AP,IMF!$D:$D,$E$1,IMF!$C:$C,$Q$1)/SUMIFS(IMF!AP:AP,IMF!$D:$D,$E$1,IMF!$C:$C,$P$1))))))</f>
        <v>#VALUE!</v>
      </c>
      <c r="K45" s="58" t="e">
        <f>IF($A$4=$R$1,IF($C$3="United States Dollar (USD)",E45,(E45*(SUMIFS(IMF!AP:AP,IMF!$D:$D,$E$1,IMF!$C:$C,$Q$1)/SUMIFS(IMF!AP:AP,IMF!$D:$D,$E$1,IMF!$C:$C,$P$1))))/1000,IF($A$4=$R$3,IF($C$3="United States Dollar (USD)",E45,(E45*(SUMIFS(IMF!AP:AP,IMF!$D:$D,$E$1,IMF!$C:$C,$Q$1)/SUMIFS(IMF!AP:AP,IMF!$D:$D,$E$1,IMF!$C:$C,$P$1))))*1000,IF($C$3="United States Dollar (USD)",E45,(E45*(SUMIFS(IMF!AP:AP,IMF!$D:$D,$E$1,IMF!$C:$C,$Q$1)/SUMIFS(IMF!AP:AP,IMF!$D:$D,$E$1,IMF!$C:$C,$P$1))))))</f>
        <v>#VALUE!</v>
      </c>
      <c r="L45" s="59" t="e">
        <f>SUM(I45:K45)</f>
        <v>#VALUE!</v>
      </c>
    </row>
    <row r="46" spans="1:12" ht="12.75" customHeight="1" x14ac:dyDescent="0.35">
      <c r="B46" s="14">
        <v>2013</v>
      </c>
      <c r="C46" s="67" t="s">
        <v>971</v>
      </c>
      <c r="D46" s="67" t="s">
        <v>976</v>
      </c>
      <c r="E46" s="67" t="s">
        <v>981</v>
      </c>
      <c r="F46" s="50">
        <f>SUM(C46:E46)</f>
        <v>0</v>
      </c>
      <c r="H46" s="14">
        <v>2013</v>
      </c>
      <c r="I46" s="58" t="e">
        <f>IF($A$4=$R$1,IF($C$3="United States Dollar (USD)",C46,(C46*(SUMIFS(IMF!AQ:AQ,IMF!$D:$D,$E$1,IMF!$C:$C,$Q$1)/SUMIFS(IMF!AQ:AQ,IMF!$D:$D,$E$1,IMF!$C:$C,$P$1))))/1000,IF($A$4=$R$3,IF($C$3="United States Dollar (USD)",C46,(C46*(SUMIFS(IMF!AQ:AQ,IMF!$D:$D,$E$1,IMF!$C:$C,$Q$1)/SUMIFS(IMF!AQ:AQ,IMF!$D:$D,$E$1,IMF!$C:$C,$P$1))))*1000,IF($C$3="United States Dollar (USD)",C46,(C46*(SUMIFS(IMF!AQ:AQ,IMF!$D:$D,$E$1,IMF!$C:$C,$Q$1)/SUMIFS(IMF!AQ:AQ,IMF!$D:$D,$E$1,IMF!$C:$C,$P$1))))))</f>
        <v>#VALUE!</v>
      </c>
      <c r="J46" s="58" t="e">
        <f>IF($A$4=$R$1,IF($C$3="United States Dollar (USD)",D46,(D46*(SUMIFS(IMF!AQ:AQ,IMF!$D:$D,$E$1,IMF!$C:$C,$Q$1)/SUMIFS(IMF!AQ:AQ,IMF!$D:$D,$E$1,IMF!$C:$C,$P$1))))/1000,IF($A$4=$R$3,IF($C$3="United States Dollar (USD)",D46,(D46*(SUMIFS(IMF!AQ:AQ,IMF!$D:$D,$E$1,IMF!$C:$C,$Q$1)/SUMIFS(IMF!AQ:AQ,IMF!$D:$D,$E$1,IMF!$C:$C,$P$1))))*1000,IF($C$3="United States Dollar (USD)",D46,(D46*(SUMIFS(IMF!AQ:AQ,IMF!$D:$D,$E$1,IMF!$C:$C,$Q$1)/SUMIFS(IMF!AQ:AQ,IMF!$D:$D,$E$1,IMF!$C:$C,$P$1))))))</f>
        <v>#VALUE!</v>
      </c>
      <c r="K46" s="58" t="e">
        <f>IF($A$4=$R$1,IF($C$3="United States Dollar (USD)",E46,(E46*(SUMIFS(IMF!AQ:AQ,IMF!$D:$D,$E$1,IMF!$C:$C,$Q$1)/SUMIFS(IMF!AQ:AQ,IMF!$D:$D,$E$1,IMF!$C:$C,$P$1))))/1000,IF($A$4=$R$3,IF($C$3="United States Dollar (USD)",E46,(E46*(SUMIFS(IMF!AQ:AQ,IMF!$D:$D,$E$1,IMF!$C:$C,$Q$1)/SUMIFS(IMF!AQ:AQ,IMF!$D:$D,$E$1,IMF!$C:$C,$P$1))))*1000,IF($C$3="United States Dollar (USD)",E46,(E46*(SUMIFS(IMF!AQ:AQ,IMF!$D:$D,$E$1,IMF!$C:$C,$Q$1)/SUMIFS(IMF!AQ:AQ,IMF!$D:$D,$E$1,IMF!$C:$C,$P$1))))))</f>
        <v>#VALUE!</v>
      </c>
      <c r="L46" s="59" t="e">
        <f>SUM(I46:K46)</f>
        <v>#VALUE!</v>
      </c>
    </row>
    <row r="47" spans="1:12" ht="12.75" customHeight="1" x14ac:dyDescent="0.35">
      <c r="B47" s="14">
        <v>2014</v>
      </c>
      <c r="C47" s="67" t="s">
        <v>972</v>
      </c>
      <c r="D47" s="67" t="s">
        <v>977</v>
      </c>
      <c r="E47" s="67" t="s">
        <v>982</v>
      </c>
      <c r="F47" s="50">
        <f>SUM(C47:E47)</f>
        <v>0</v>
      </c>
      <c r="H47" s="14">
        <v>2014</v>
      </c>
      <c r="I47" s="58" t="e">
        <f>IF($A$4=$R$1,IF($C$3="United States Dollar (USD)",C47,(C47*(SUMIFS(IMF!AR:AR,IMF!$D:$D,$E$1,IMF!$C:$C,$Q$1)/SUMIFS(IMF!AR:AR,IMF!$D:$D,$E$1,IMF!$C:$C,$P$1))))/1000,IF($A$4=$R$3,IF($C$3="United States Dollar (USD)",C47,(C47*(SUMIFS(IMF!AR:AR,IMF!$D:$D,$E$1,IMF!$C:$C,$Q$1)/SUMIFS(IMF!AR:AR,IMF!$D:$D,$E$1,IMF!$C:$C,$P$1))))*1000,IF($C$3="United States Dollar (USD)",C47,(C47*(SUMIFS(IMF!AR:AR,IMF!$D:$D,$E$1,IMF!$C:$C,$Q$1)/SUMIFS(IMF!AR:AR,IMF!$D:$D,$E$1,IMF!$C:$C,$P$1))))))</f>
        <v>#VALUE!</v>
      </c>
      <c r="J47" s="58" t="e">
        <f>IF($A$4=$R$1,IF($C$3="United States Dollar (USD)",D47,(D47*(SUMIFS(IMF!AR:AR,IMF!$D:$D,$E$1,IMF!$C:$C,$Q$1)/SUMIFS(IMF!AR:AR,IMF!$D:$D,$E$1,IMF!$C:$C,$P$1))))/1000,IF($A$4=$R$3,IF($C$3="United States Dollar (USD)",D47,(D47*(SUMIFS(IMF!AR:AR,IMF!$D:$D,$E$1,IMF!$C:$C,$Q$1)/SUMIFS(IMF!AR:AR,IMF!$D:$D,$E$1,IMF!$C:$C,$P$1))))*1000,IF($C$3="United States Dollar (USD)",D47,(D47*(SUMIFS(IMF!AR:AR,IMF!$D:$D,$E$1,IMF!$C:$C,$Q$1)/SUMIFS(IMF!AR:AR,IMF!$D:$D,$E$1,IMF!$C:$C,$P$1))))))</f>
        <v>#VALUE!</v>
      </c>
      <c r="K47" s="58" t="e">
        <f>IF($A$4=$R$1,IF($C$3="United States Dollar (USD)",E47,(E47*(SUMIFS(IMF!AR:AR,IMF!$D:$D,$E$1,IMF!$C:$C,$Q$1)/SUMIFS(IMF!AR:AR,IMF!$D:$D,$E$1,IMF!$C:$C,$P$1))))/1000,IF($A$4=$R$3,IF($C$3="United States Dollar (USD)",E47,(E47*(SUMIFS(IMF!AR:AR,IMF!$D:$D,$E$1,IMF!$C:$C,$Q$1)/SUMIFS(IMF!AR:AR,IMF!$D:$D,$E$1,IMF!$C:$C,$P$1))))*1000,IF($C$3="United States Dollar (USD)",E47,(E47*(SUMIFS(IMF!AR:AR,IMF!$D:$D,$E$1,IMF!$C:$C,$Q$1)/SUMIFS(IMF!AR:AR,IMF!$D:$D,$E$1,IMF!$C:$C,$P$1))))))</f>
        <v>#VALUE!</v>
      </c>
      <c r="L47" s="59" t="e">
        <f>SUM(I47:K47)</f>
        <v>#VALUE!</v>
      </c>
    </row>
    <row r="48" spans="1:12" ht="12.75" customHeight="1" x14ac:dyDescent="0.35">
      <c r="B48" s="14">
        <v>2015</v>
      </c>
      <c r="C48" s="67" t="s">
        <v>973</v>
      </c>
      <c r="D48" s="67" t="s">
        <v>978</v>
      </c>
      <c r="E48" s="67" t="s">
        <v>983</v>
      </c>
      <c r="F48" s="50">
        <f>SUM(C48:E48)</f>
        <v>0</v>
      </c>
      <c r="H48" s="14">
        <v>2015</v>
      </c>
      <c r="I48" s="58" t="e">
        <f>IF($A$4=$R$1,IF($C$3="United States Dollar (USD)",C48,(C48*(SUMIFS(IMF!AS:AS,IMF!$D:$D,$E$1,IMF!$C:$C,$Q$1)/SUMIFS(IMF!AS:AS,IMF!$D:$D,$E$1,IMF!$C:$C,$P$1))))/1000,IF($A$4=$R$3,IF($C$3="United States Dollar (USD)",C48,(C48*(SUMIFS(IMF!AS:AS,IMF!$D:$D,$E$1,IMF!$C:$C,$Q$1)/SUMIFS(IMF!AS:AS,IMF!$D:$D,$E$1,IMF!$C:$C,$P$1))))*1000,IF($C$3="United States Dollar (USD)",C48,(C48*(SUMIFS(IMF!AS:AS,IMF!$D:$D,$E$1,IMF!$C:$C,$Q$1)/SUMIFS(IMF!AS:AS,IMF!$D:$D,$E$1,IMF!$C:$C,$P$1))))))</f>
        <v>#VALUE!</v>
      </c>
      <c r="J48" s="58" t="e">
        <f>IF($A$4=$R$1,IF($C$3="United States Dollar (USD)",D48,(D48*(SUMIFS(IMF!AS:AS,IMF!$D:$D,$E$1,IMF!$C:$C,$Q$1)/SUMIFS(IMF!AS:AS,IMF!$D:$D,$E$1,IMF!$C:$C,$P$1))))/1000,IF($A$4=$R$3,IF($C$3="United States Dollar (USD)",D48,(D48*(SUMIFS(IMF!AS:AS,IMF!$D:$D,$E$1,IMF!$C:$C,$Q$1)/SUMIFS(IMF!AS:AS,IMF!$D:$D,$E$1,IMF!$C:$C,$P$1))))*1000,IF($C$3="United States Dollar (USD)",D48,(D48*(SUMIFS(IMF!AS:AS,IMF!$D:$D,$E$1,IMF!$C:$C,$Q$1)/SUMIFS(IMF!AS:AS,IMF!$D:$D,$E$1,IMF!$C:$C,$P$1))))))</f>
        <v>#VALUE!</v>
      </c>
      <c r="K48" s="58" t="e">
        <f>IF($A$4=$R$1,IF($C$3="United States Dollar (USD)",E48,(E48*(SUMIFS(IMF!AS:AS,IMF!$D:$D,$E$1,IMF!$C:$C,$Q$1)/SUMIFS(IMF!AS:AS,IMF!$D:$D,$E$1,IMF!$C:$C,$P$1))))/1000,IF($A$4=$R$3,IF($C$3="United States Dollar (USD)",E48,(E48*(SUMIFS(IMF!AS:AS,IMF!$D:$D,$E$1,IMF!$C:$C,$Q$1)/SUMIFS(IMF!AS:AS,IMF!$D:$D,$E$1,IMF!$C:$C,$P$1))))*1000,IF($C$3="United States Dollar (USD)",E48,(E48*(SUMIFS(IMF!AS:AS,IMF!$D:$D,$E$1,IMF!$C:$C,$Q$1)/SUMIFS(IMF!AS:AS,IMF!$D:$D,$E$1,IMF!$C:$C,$P$1))))))</f>
        <v>#VALUE!</v>
      </c>
      <c r="L48" s="59" t="e">
        <f>SUM(I48:K48)</f>
        <v>#VALUE!</v>
      </c>
    </row>
    <row r="49" spans="1:2" ht="12.75" customHeight="1" x14ac:dyDescent="0.35">
      <c r="A49" s="7" t="s">
        <v>8</v>
      </c>
    </row>
    <row r="50" spans="1:2" ht="12.75" customHeight="1" x14ac:dyDescent="0.35">
      <c r="A50" s="3" t="s">
        <v>19</v>
      </c>
    </row>
    <row r="51" spans="1:2" ht="12.75" customHeight="1" x14ac:dyDescent="0.35">
      <c r="A51" s="7" t="s">
        <v>238</v>
      </c>
    </row>
    <row r="52" spans="1:2" ht="12.75" customHeight="1" x14ac:dyDescent="0.35">
      <c r="A52" s="2" t="s">
        <v>239</v>
      </c>
      <c r="B52" s="2" t="s">
        <v>1013</v>
      </c>
    </row>
    <row r="53" spans="1:2" ht="12.75" customHeight="1" x14ac:dyDescent="0.35">
      <c r="A53" s="2" t="s">
        <v>32</v>
      </c>
      <c r="B53" s="2" t="s">
        <v>1014</v>
      </c>
    </row>
    <row r="54" spans="1:2" ht="12.75" customHeight="1" x14ac:dyDescent="0.35">
      <c r="A54" s="2" t="s">
        <v>240</v>
      </c>
      <c r="B54" s="2" t="s">
        <v>1015</v>
      </c>
    </row>
    <row r="55" spans="1:2" ht="12.75" customHeight="1" x14ac:dyDescent="0.35">
      <c r="A55" s="7" t="s">
        <v>241</v>
      </c>
    </row>
    <row r="56" spans="1:2" ht="12.75" customHeight="1" x14ac:dyDescent="0.35">
      <c r="A56" s="2" t="s">
        <v>239</v>
      </c>
      <c r="B56" s="2" t="s">
        <v>1016</v>
      </c>
    </row>
    <row r="57" spans="1:2" ht="12.75" customHeight="1" x14ac:dyDescent="0.25">
      <c r="A57" s="2" t="s">
        <v>32</v>
      </c>
      <c r="B57" s="2" t="s">
        <v>1017</v>
      </c>
    </row>
    <row r="58" spans="1:2" ht="12.75" customHeight="1" x14ac:dyDescent="0.25">
      <c r="A58" s="2" t="s">
        <v>240</v>
      </c>
      <c r="B58" s="2" t="s">
        <v>1018</v>
      </c>
    </row>
    <row r="59" spans="1:2" ht="12.75" customHeight="1" x14ac:dyDescent="0.25">
      <c r="A59" s="7" t="s">
        <v>242</v>
      </c>
    </row>
    <row r="60" spans="1:2" ht="12.75" customHeight="1" x14ac:dyDescent="0.25">
      <c r="A60" s="2" t="s">
        <v>239</v>
      </c>
      <c r="B60" s="2" t="s">
        <v>1019</v>
      </c>
    </row>
    <row r="61" spans="1:2" ht="12.75" customHeight="1" x14ac:dyDescent="0.25">
      <c r="A61" s="2" t="s">
        <v>32</v>
      </c>
      <c r="B61" s="2" t="s">
        <v>1020</v>
      </c>
    </row>
    <row r="62" spans="1:2" ht="12.75" customHeight="1" x14ac:dyDescent="0.25">
      <c r="A62" s="2" t="s">
        <v>240</v>
      </c>
      <c r="B62" s="2" t="s">
        <v>1021</v>
      </c>
    </row>
    <row r="63" spans="1:2" ht="12.75" customHeight="1" x14ac:dyDescent="0.25">
      <c r="A63" s="11" t="s">
        <v>931</v>
      </c>
    </row>
    <row r="64" spans="1:2" ht="12.75" customHeight="1" x14ac:dyDescent="0.25">
      <c r="A64" s="2" t="s">
        <v>39</v>
      </c>
      <c r="B64" s="2" t="s">
        <v>1023</v>
      </c>
    </row>
    <row r="65" spans="1:4" ht="12.75" customHeight="1" x14ac:dyDescent="0.25">
      <c r="A65" s="2" t="s">
        <v>932</v>
      </c>
      <c r="B65" s="2" t="s">
        <v>1022</v>
      </c>
    </row>
    <row r="66" spans="1:4" ht="12.75" customHeight="1" x14ac:dyDescent="0.25">
      <c r="A66" s="2" t="s">
        <v>262</v>
      </c>
      <c r="B66" s="2" t="s">
        <v>1024</v>
      </c>
    </row>
    <row r="67" spans="1:4" ht="12.75" customHeight="1" thickBot="1" x14ac:dyDescent="0.3">
      <c r="A67" s="11" t="s">
        <v>933</v>
      </c>
      <c r="B67" s="78" t="s">
        <v>1101</v>
      </c>
      <c r="C67" s="78"/>
      <c r="D67" s="78"/>
    </row>
    <row r="68" spans="1:4" ht="12.75" customHeight="1" thickBot="1" x14ac:dyDescent="0.3">
      <c r="A68" s="11"/>
      <c r="B68" s="57"/>
    </row>
    <row r="69" spans="1:4" ht="12.75" customHeight="1" x14ac:dyDescent="0.25">
      <c r="A69" s="11"/>
    </row>
    <row r="70" spans="1:4" ht="12.75" customHeight="1" x14ac:dyDescent="0.25">
      <c r="A70" s="11" t="s">
        <v>21</v>
      </c>
    </row>
    <row r="71" spans="1:4" ht="12.75" customHeight="1" x14ac:dyDescent="0.25">
      <c r="A71" s="2" t="s">
        <v>22</v>
      </c>
      <c r="B71" s="2" t="s">
        <v>1029</v>
      </c>
    </row>
    <row r="72" spans="1:4" ht="12.75" customHeight="1" x14ac:dyDescent="0.25">
      <c r="A72" s="2" t="s">
        <v>23</v>
      </c>
      <c r="B72" s="2" t="s">
        <v>1030</v>
      </c>
    </row>
    <row r="73" spans="1:4" ht="12.75" customHeight="1" x14ac:dyDescent="0.25">
      <c r="A73" s="2" t="s">
        <v>24</v>
      </c>
      <c r="B73" s="2" t="s">
        <v>1031</v>
      </c>
    </row>
    <row r="74" spans="1:4" ht="12.75" customHeight="1" thickBot="1" x14ac:dyDescent="0.3">
      <c r="A74" s="11" t="s">
        <v>933</v>
      </c>
      <c r="B74" s="78" t="s">
        <v>1100</v>
      </c>
      <c r="C74" s="78"/>
      <c r="D74" s="78"/>
    </row>
    <row r="75" spans="1:4" ht="12.75" customHeight="1" thickBot="1" x14ac:dyDescent="0.3">
      <c r="A75" s="11"/>
      <c r="B75" s="57"/>
    </row>
    <row r="76" spans="1:4" ht="12.75" customHeight="1" x14ac:dyDescent="0.25">
      <c r="A76" s="12" t="s">
        <v>25</v>
      </c>
    </row>
    <row r="77" spans="1:4" ht="12.75" customHeight="1" x14ac:dyDescent="0.25">
      <c r="A77" s="5" t="s">
        <v>26</v>
      </c>
      <c r="B77" s="2" t="s">
        <v>1025</v>
      </c>
    </row>
    <row r="78" spans="1:4" ht="12.75" customHeight="1" x14ac:dyDescent="0.25">
      <c r="A78" s="2" t="s">
        <v>22</v>
      </c>
      <c r="B78" s="2" t="s">
        <v>1026</v>
      </c>
    </row>
    <row r="79" spans="1:4" ht="12.75" customHeight="1" x14ac:dyDescent="0.25">
      <c r="A79" s="2" t="s">
        <v>27</v>
      </c>
      <c r="B79" s="2" t="s">
        <v>1027</v>
      </c>
    </row>
    <row r="80" spans="1:4" ht="12.75" customHeight="1" x14ac:dyDescent="0.25">
      <c r="A80" s="2" t="s">
        <v>28</v>
      </c>
      <c r="B80" s="2" t="s">
        <v>1028</v>
      </c>
    </row>
    <row r="81" spans="1:9" ht="12.75" customHeight="1" thickBot="1" x14ac:dyDescent="0.3">
      <c r="A81" s="11" t="s">
        <v>933</v>
      </c>
      <c r="B81" s="78" t="s">
        <v>1099</v>
      </c>
      <c r="C81" s="78"/>
      <c r="D81" s="78"/>
    </row>
    <row r="82" spans="1:9" ht="12.75" customHeight="1" thickBot="1" x14ac:dyDescent="0.3">
      <c r="A82" s="11"/>
      <c r="B82" s="57"/>
    </row>
    <row r="83" spans="1:9" ht="12.75" customHeight="1" x14ac:dyDescent="0.25">
      <c r="A83" s="7" t="s">
        <v>29</v>
      </c>
    </row>
    <row r="84" spans="1:9" ht="12.75" customHeight="1" x14ac:dyDescent="0.25">
      <c r="A84" s="53" t="s">
        <v>927</v>
      </c>
    </row>
    <row r="85" spans="1:9" ht="12.75" customHeight="1" x14ac:dyDescent="0.25">
      <c r="A85" s="46" t="s">
        <v>1104</v>
      </c>
      <c r="B85" s="2" t="s">
        <v>1085</v>
      </c>
      <c r="C85" s="2" t="s">
        <v>1086</v>
      </c>
    </row>
    <row r="86" spans="1:9" ht="12.75" customHeight="1" x14ac:dyDescent="0.2">
      <c r="B86" s="13" t="s">
        <v>1</v>
      </c>
      <c r="C86" s="13" t="s">
        <v>30</v>
      </c>
      <c r="D86" s="13" t="s">
        <v>31</v>
      </c>
      <c r="E86" s="44" t="s">
        <v>239</v>
      </c>
      <c r="F86" s="44" t="s">
        <v>32</v>
      </c>
      <c r="G86" s="44" t="s">
        <v>240</v>
      </c>
      <c r="H86" s="13" t="s">
        <v>1</v>
      </c>
      <c r="I86" s="13" t="s">
        <v>30</v>
      </c>
    </row>
    <row r="87" spans="1:9" ht="12.75" customHeight="1" x14ac:dyDescent="0.25">
      <c r="B87" s="14">
        <v>2006</v>
      </c>
      <c r="C87" s="69" t="s">
        <v>956</v>
      </c>
      <c r="D87" s="13" t="s">
        <v>1032</v>
      </c>
      <c r="E87" s="45" t="str">
        <f>IF($D87=E$86,1,"")</f>
        <v/>
      </c>
      <c r="F87" s="45" t="str">
        <f t="shared" ref="F87:G96" si="0">IF($D87=F$86,1,"")</f>
        <v/>
      </c>
      <c r="G87" s="45" t="str">
        <f t="shared" si="0"/>
        <v/>
      </c>
      <c r="H87" s="14">
        <v>2006</v>
      </c>
      <c r="I87" s="58" t="e">
        <f>IF(C87="","",IF($A$85=$R$1,IF($C$85="United States Dollar (USD)",C87,(C87*(SUMIFS(IMF!AJ:AJ,IMF!$D:$D,$E$1,IMF!$C:$C,$Q$1)/SUMIFS(IMF!AJ:AJ,IMF!$D:$D,$E$1,IMF!$C:$C,$P$1))))/1000,IF($A$85=$R$3,IF($C$85="United States Dollar (USD)",C87,(C87*(SUMIFS(IMF!AJ:AJ,IMF!$D:$D,$E$1,IMF!$C:$C,$Q$1)/SUMIFS(IMF!AJ:AJ,IMF!$D:$D,$E$1,IMF!$C:$C,$P$1))))*1000,IF($C$85="United States Dollar (USD)",C87,(C87*(SUMIFS(IMF!AJ:AJ,IMF!$D:$D,$E$1,IMF!$C:$C,$Q$1)/SUMIFS(IMF!AJ:AJ,IMF!$D:$D,$E$1,IMF!$C:$C,$P$1)))))))</f>
        <v>#VALUE!</v>
      </c>
    </row>
    <row r="88" spans="1:9" ht="12.75" customHeight="1" x14ac:dyDescent="0.25">
      <c r="B88" s="14">
        <v>2007</v>
      </c>
      <c r="C88" s="69" t="s">
        <v>957</v>
      </c>
      <c r="D88" s="13" t="s">
        <v>1033</v>
      </c>
      <c r="E88" s="45" t="str">
        <f t="shared" ref="E88:E96" si="1">IF($D88=E$86,1,"")</f>
        <v/>
      </c>
      <c r="F88" s="45" t="str">
        <f t="shared" si="0"/>
        <v/>
      </c>
      <c r="G88" s="45" t="str">
        <f t="shared" si="0"/>
        <v/>
      </c>
      <c r="H88" s="14">
        <v>2007</v>
      </c>
      <c r="I88" s="58" t="e">
        <f>IF(C88="","",IF($A$85=$R$1,IF($C$85="United States Dollar (USD)",C88,(C88*(SUMIFS(IMF!AK:AK,IMF!$D:$D,$E$1,IMF!$C:$C,$Q$1)/SUMIFS(IMF!AK:AK,IMF!$D:$D,$E$1,IMF!$C:$C,$P$1))))/1000,IF($A$85=$R$3,IF($C$85="United States Dollar (USD)",C88,(C88*(SUMIFS(IMF!AK:AK,IMF!$D:$D,$E$1,IMF!$C:$C,$Q$1)/SUMIFS(IMF!AK:AK,IMF!$D:$D,$E$1,IMF!$C:$C,$P$1))))*1000,IF($C$85="United States Dollar (USD)",C88,(C88*(SUMIFS(IMF!AK:AK,IMF!$D:$D,$E$1,IMF!$C:$C,$Q$1)/SUMIFS(IMF!AK:AK,IMF!$D:$D,$E$1,IMF!$C:$C,$P$1)))))))</f>
        <v>#VALUE!</v>
      </c>
    </row>
    <row r="89" spans="1:9" ht="12.75" customHeight="1" x14ac:dyDescent="0.25">
      <c r="B89" s="14">
        <v>2008</v>
      </c>
      <c r="C89" s="69" t="s">
        <v>958</v>
      </c>
      <c r="D89" s="13" t="s">
        <v>1034</v>
      </c>
      <c r="E89" s="45" t="str">
        <f t="shared" si="1"/>
        <v/>
      </c>
      <c r="F89" s="45" t="str">
        <f t="shared" si="0"/>
        <v/>
      </c>
      <c r="G89" s="45" t="str">
        <f t="shared" si="0"/>
        <v/>
      </c>
      <c r="H89" s="14">
        <v>2008</v>
      </c>
      <c r="I89" s="58" t="e">
        <f>IF(C89="","",IF($A$85=$R$1,IF($C$85="United States Dollar (USD)",C89,(C89*(SUMIFS(IMF!AL:AL,IMF!$D:$D,$E$1,IMF!$C:$C,$Q$1)/SUMIFS(IMF!AL:AL,IMF!$D:$D,$E$1,IMF!$C:$C,$P$1))))/1000,IF($A$85=$R$3,IF($C$85="United States Dollar (USD)",C89,(C89*(SUMIFS(IMF!AL:AL,IMF!$D:$D,$E$1,IMF!$C:$C,$Q$1)/SUMIFS(IMF!AL:AL,IMF!$D:$D,$E$1,IMF!$C:$C,$P$1))))*1000,IF($C$85="United States Dollar (USD)",C89,(C89*(SUMIFS(IMF!AL:AL,IMF!$D:$D,$E$1,IMF!$C:$C,$Q$1)/SUMIFS(IMF!AL:AL,IMF!$D:$D,$E$1,IMF!$C:$C,$P$1)))))))</f>
        <v>#VALUE!</v>
      </c>
    </row>
    <row r="90" spans="1:9" ht="12.75" customHeight="1" x14ac:dyDescent="0.25">
      <c r="B90" s="14">
        <v>2009</v>
      </c>
      <c r="C90" s="69" t="s">
        <v>959</v>
      </c>
      <c r="D90" s="13" t="s">
        <v>1035</v>
      </c>
      <c r="E90" s="45" t="str">
        <f t="shared" si="1"/>
        <v/>
      </c>
      <c r="F90" s="45" t="str">
        <f t="shared" si="0"/>
        <v/>
      </c>
      <c r="G90" s="45" t="str">
        <f t="shared" si="0"/>
        <v/>
      </c>
      <c r="H90" s="14">
        <v>2009</v>
      </c>
      <c r="I90" s="58" t="e">
        <f>IF(C90="","",IF($A$85=$R$1,IF($C$85="United States Dollar (USD)",C90,(C90*(SUMIFS(IMF!AM:AM,IMF!$D:$D,$E$1,IMF!$C:$C,$Q$1)/SUMIFS(IMF!AM:AM,IMF!$D:$D,$E$1,IMF!$C:$C,$P$1))))/1000,IF($A$85=$R$3,IF($C$85="United States Dollar (USD)",C90,(C90*(SUMIFS(IMF!AM:AM,IMF!$D:$D,$E$1,IMF!$C:$C,$Q$1)/SUMIFS(IMF!AM:AM,IMF!$D:$D,$E$1,IMF!$C:$C,$P$1))))*1000,IF($C$85="United States Dollar (USD)",C90,(C90*(SUMIFS(IMF!AM:AM,IMF!$D:$D,$E$1,IMF!$C:$C,$Q$1)/SUMIFS(IMF!AM:AM,IMF!$D:$D,$E$1,IMF!$C:$C,$P$1)))))))</f>
        <v>#VALUE!</v>
      </c>
    </row>
    <row r="91" spans="1:9" ht="12.75" customHeight="1" x14ac:dyDescent="0.25">
      <c r="B91" s="14">
        <v>2010</v>
      </c>
      <c r="C91" s="69" t="s">
        <v>960</v>
      </c>
      <c r="D91" s="13" t="s">
        <v>1036</v>
      </c>
      <c r="E91" s="45" t="str">
        <f t="shared" si="1"/>
        <v/>
      </c>
      <c r="F91" s="45" t="str">
        <f t="shared" si="0"/>
        <v/>
      </c>
      <c r="G91" s="45" t="str">
        <f t="shared" si="0"/>
        <v/>
      </c>
      <c r="H91" s="14">
        <v>2010</v>
      </c>
      <c r="I91" s="58" t="e">
        <f>IF(C91="","",IF($A$85=$R$1,IF($C$85="United States Dollar (USD)",C91,(C91*(SUMIFS(IMF!AN:AN,IMF!$D:$D,$E$1,IMF!$C:$C,$Q$1)/SUMIFS(IMF!AN:AN,IMF!$D:$D,$E$1,IMF!$C:$C,$P$1))))/1000,IF($A$85=$R$3,IF($C$85="United States Dollar (USD)",C91,(C91*(SUMIFS(IMF!AN:AN,IMF!$D:$D,$E$1,IMF!$C:$C,$Q$1)/SUMIFS(IMF!AN:AN,IMF!$D:$D,$E$1,IMF!$C:$C,$P$1))))*1000,IF($C$85="United States Dollar (USD)",C91,(C91*(SUMIFS(IMF!AN:AN,IMF!$D:$D,$E$1,IMF!$C:$C,$Q$1)/SUMIFS(IMF!AN:AN,IMF!$D:$D,$E$1,IMF!$C:$C,$P$1)))))))</f>
        <v>#VALUE!</v>
      </c>
    </row>
    <row r="92" spans="1:9" ht="12.75" customHeight="1" x14ac:dyDescent="0.25">
      <c r="B92" s="14">
        <v>2011</v>
      </c>
      <c r="C92" s="69" t="s">
        <v>961</v>
      </c>
      <c r="D92" s="13" t="s">
        <v>1037</v>
      </c>
      <c r="E92" s="45" t="str">
        <f t="shared" si="1"/>
        <v/>
      </c>
      <c r="F92" s="45" t="str">
        <f t="shared" si="0"/>
        <v/>
      </c>
      <c r="G92" s="45" t="str">
        <f t="shared" si="0"/>
        <v/>
      </c>
      <c r="H92" s="14">
        <v>2011</v>
      </c>
      <c r="I92" s="58" t="e">
        <f>IF(C92="","",IF($A$85=$R$1,IF($C$85="United States Dollar (USD)",C92,(C92*(SUMIFS(IMF!AO:AO,IMF!$D:$D,$E$1,IMF!$C:$C,$Q$1)/SUMIFS(IMF!AO:AO,IMF!$D:$D,$E$1,IMF!$C:$C,$P$1))))/1000,IF($A$85=$R$3,IF($C$85="United States Dollar (USD)",C92,(C92*(SUMIFS(IMF!AO:AO,IMF!$D:$D,$E$1,IMF!$C:$C,$Q$1)/SUMIFS(IMF!AO:AO,IMF!$D:$D,$E$1,IMF!$C:$C,$P$1))))*1000,IF($C$85="United States Dollar (USD)",C92,(C92*(SUMIFS(IMF!AO:AO,IMF!$D:$D,$E$1,IMF!$C:$C,$Q$1)/SUMIFS(IMF!AO:AO,IMF!$D:$D,$E$1,IMF!$C:$C,$P$1)))))))</f>
        <v>#VALUE!</v>
      </c>
    </row>
    <row r="93" spans="1:9" ht="12.75" customHeight="1" x14ac:dyDescent="0.25">
      <c r="B93" s="14">
        <v>2012</v>
      </c>
      <c r="C93" s="69" t="s">
        <v>962</v>
      </c>
      <c r="D93" s="13" t="s">
        <v>1038</v>
      </c>
      <c r="E93" s="45" t="str">
        <f t="shared" si="1"/>
        <v/>
      </c>
      <c r="F93" s="45" t="str">
        <f t="shared" si="0"/>
        <v/>
      </c>
      <c r="G93" s="45" t="str">
        <f t="shared" si="0"/>
        <v/>
      </c>
      <c r="H93" s="14">
        <v>2012</v>
      </c>
      <c r="I93" s="58" t="e">
        <f>IF(C93="","",IF($A$85=$R$1,IF($C$85="United States Dollar (USD)",C93,(C93*(SUMIFS(IMF!AP:AP,IMF!$D:$D,$E$1,IMF!$C:$C,$Q$1)/SUMIFS(IMF!AP:AP,IMF!$D:$D,$E$1,IMF!$C:$C,$P$1))))/1000,IF($A$85=$R$3,IF($C$85="United States Dollar (USD)",C93,(C93*(SUMIFS(IMF!AP:AP,IMF!$D:$D,$E$1,IMF!$C:$C,$Q$1)/SUMIFS(IMF!AP:AP,IMF!$D:$D,$E$1,IMF!$C:$C,$P$1))))*1000,IF($C$85="United States Dollar (USD)",C93,(C93*(SUMIFS(IMF!AP:AP,IMF!$D:$D,$E$1,IMF!$C:$C,$Q$1)/SUMIFS(IMF!AP:AP,IMF!$D:$D,$E$1,IMF!$C:$C,$P$1)))))))</f>
        <v>#VALUE!</v>
      </c>
    </row>
    <row r="94" spans="1:9" ht="12.75" customHeight="1" x14ac:dyDescent="0.25">
      <c r="B94" s="14">
        <v>2013</v>
      </c>
      <c r="C94" s="69" t="s">
        <v>963</v>
      </c>
      <c r="D94" s="13" t="s">
        <v>1039</v>
      </c>
      <c r="E94" s="45" t="str">
        <f t="shared" si="1"/>
        <v/>
      </c>
      <c r="F94" s="45" t="str">
        <f t="shared" si="0"/>
        <v/>
      </c>
      <c r="G94" s="45" t="str">
        <f t="shared" si="0"/>
        <v/>
      </c>
      <c r="H94" s="14">
        <v>2013</v>
      </c>
      <c r="I94" s="58" t="e">
        <f>IF(C94="","",IF($A$85=$R$1,IF($C$85="United States Dollar (USD)",C94,(C94*(SUMIFS(IMF!AQ:AQ,IMF!$D:$D,$E$1,IMF!$C:$C,$Q$1)/SUMIFS(IMF!AQ:AQ,IMF!$D:$D,$E$1,IMF!$C:$C,$P$1))))/1000,IF($A$85=$R$3,IF($C$85="United States Dollar (USD)",C94,(C94*(SUMIFS(IMF!AQ:AQ,IMF!$D:$D,$E$1,IMF!$C:$C,$Q$1)/SUMIFS(IMF!AQ:AQ,IMF!$D:$D,$E$1,IMF!$C:$C,$P$1))))*1000,IF($C$85="United States Dollar (USD)",C94,(C94*(SUMIFS(IMF!AQ:AQ,IMF!$D:$D,$E$1,IMF!$C:$C,$Q$1)/SUMIFS(IMF!AQ:AQ,IMF!$D:$D,$E$1,IMF!$C:$C,$P$1)))))))</f>
        <v>#VALUE!</v>
      </c>
    </row>
    <row r="95" spans="1:9" ht="12.75" customHeight="1" x14ac:dyDescent="0.25">
      <c r="B95" s="14">
        <v>2014</v>
      </c>
      <c r="C95" s="69" t="s">
        <v>964</v>
      </c>
      <c r="D95" s="13" t="s">
        <v>1040</v>
      </c>
      <c r="E95" s="45" t="str">
        <f t="shared" si="1"/>
        <v/>
      </c>
      <c r="F95" s="45" t="str">
        <f t="shared" si="0"/>
        <v/>
      </c>
      <c r="G95" s="45" t="str">
        <f t="shared" si="0"/>
        <v/>
      </c>
      <c r="H95" s="14">
        <v>2014</v>
      </c>
      <c r="I95" s="58" t="e">
        <f>IF(C95="","",IF($A$85=$R$1,IF($C$85="United States Dollar (USD)",C95,(C95*(SUMIFS(IMF!AR:AR,IMF!$D:$D,$E$1,IMF!$C:$C,$Q$1)/SUMIFS(IMF!AR:AR,IMF!$D:$D,$E$1,IMF!$C:$C,$P$1))))/1000,IF($A$85=$R$3,IF($C$85="United States Dollar (USD)",C95,(C95*(SUMIFS(IMF!AR:AR,IMF!$D:$D,$E$1,IMF!$C:$C,$Q$1)/SUMIFS(IMF!AR:AR,IMF!$D:$D,$E$1,IMF!$C:$C,$P$1))))*1000,IF($C$85="United States Dollar (USD)",C95,(C95*(SUMIFS(IMF!AR:AR,IMF!$D:$D,$E$1,IMF!$C:$C,$Q$1)/SUMIFS(IMF!AR:AR,IMF!$D:$D,$E$1,IMF!$C:$C,$P$1)))))))</f>
        <v>#VALUE!</v>
      </c>
    </row>
    <row r="96" spans="1:9" ht="12.75" customHeight="1" x14ac:dyDescent="0.25">
      <c r="B96" s="14">
        <v>2015</v>
      </c>
      <c r="C96" s="69" t="s">
        <v>965</v>
      </c>
      <c r="D96" s="13" t="s">
        <v>1041</v>
      </c>
      <c r="E96" s="45" t="str">
        <f t="shared" si="1"/>
        <v/>
      </c>
      <c r="F96" s="45" t="str">
        <f t="shared" si="0"/>
        <v/>
      </c>
      <c r="G96" s="45" t="str">
        <f t="shared" si="0"/>
        <v/>
      </c>
      <c r="H96" s="14">
        <v>2015</v>
      </c>
      <c r="I96" s="58" t="e">
        <f>IF(C96="","",IF($A$85=$R$1,IF($C$85="United States Dollar (USD)",C96,(C96*(SUMIFS(IMF!AS:AS,IMF!$D:$D,$E$1,IMF!$C:$C,$Q$1)/SUMIFS(IMF!AS:AS,IMF!$D:$D,$E$1,IMF!$C:$C,$P$1))))/1000,IF($A$85=$R$3,IF($C$85="United States Dollar (USD)",C96,(C96*(SUMIFS(IMF!AS:AS,IMF!$D:$D,$E$1,IMF!$C:$C,$Q$1)/SUMIFS(IMF!AS:AS,IMF!$D:$D,$E$1,IMF!$C:$C,$P$1))))*1000,IF($C$85="United States Dollar (USD)",C96,(C96*(SUMIFS(IMF!AS:AS,IMF!$D:$D,$E$1,IMF!$C:$C,$Q$1)/SUMIFS(IMF!AS:AS,IMF!$D:$D,$E$1,IMF!$C:$C,$P$1)))))))</f>
        <v>#VALUE!</v>
      </c>
    </row>
    <row r="97" spans="1:9" ht="12.75" customHeight="1" x14ac:dyDescent="0.2">
      <c r="B97" s="15" t="s">
        <v>33</v>
      </c>
      <c r="C97" s="49"/>
      <c r="D97" s="14"/>
      <c r="H97" s="15" t="s">
        <v>33</v>
      </c>
      <c r="I97" s="59" t="e">
        <f>AVERAGE(I87:I96)</f>
        <v>#VALUE!</v>
      </c>
    </row>
    <row r="98" spans="1:9" ht="12.75" customHeight="1" x14ac:dyDescent="0.25">
      <c r="A98" s="7" t="s">
        <v>34</v>
      </c>
    </row>
    <row r="99" spans="1:9" ht="12.75" customHeight="1" x14ac:dyDescent="0.25">
      <c r="A99" s="1" t="s">
        <v>35</v>
      </c>
      <c r="B99" s="1" t="s">
        <v>36</v>
      </c>
      <c r="C99" s="1" t="s">
        <v>37</v>
      </c>
    </row>
    <row r="100" spans="1:9" ht="12.75" customHeight="1" x14ac:dyDescent="0.25">
      <c r="A100" s="16" t="s">
        <v>38</v>
      </c>
      <c r="B100" s="2" t="s">
        <v>1071</v>
      </c>
      <c r="C100" s="2" t="s">
        <v>1072</v>
      </c>
    </row>
    <row r="101" spans="1:9" ht="12.75" customHeight="1" x14ac:dyDescent="0.25">
      <c r="A101" s="16" t="s">
        <v>40</v>
      </c>
      <c r="B101" s="2" t="s">
        <v>1073</v>
      </c>
      <c r="C101" s="2" t="s">
        <v>1078</v>
      </c>
    </row>
    <row r="102" spans="1:9" ht="12.75" customHeight="1" x14ac:dyDescent="0.25">
      <c r="A102" s="16" t="s">
        <v>243</v>
      </c>
      <c r="B102" s="2" t="s">
        <v>1079</v>
      </c>
      <c r="C102" s="2" t="s">
        <v>1080</v>
      </c>
    </row>
    <row r="103" spans="1:9" ht="12.75" customHeight="1" x14ac:dyDescent="0.25">
      <c r="A103" s="16" t="s">
        <v>244</v>
      </c>
      <c r="B103" s="2" t="s">
        <v>1083</v>
      </c>
      <c r="C103" s="2" t="s">
        <v>1084</v>
      </c>
    </row>
    <row r="104" spans="1:9" ht="12.75" customHeight="1" x14ac:dyDescent="0.25">
      <c r="A104" s="16" t="s">
        <v>245</v>
      </c>
      <c r="B104" s="2" t="s">
        <v>1081</v>
      </c>
      <c r="C104" s="2" t="s">
        <v>1082</v>
      </c>
    </row>
    <row r="105" spans="1:9" ht="12.75" customHeight="1" x14ac:dyDescent="0.25">
      <c r="A105" s="16" t="s">
        <v>246</v>
      </c>
      <c r="B105" s="2" t="s">
        <v>1074</v>
      </c>
      <c r="C105" s="2" t="s">
        <v>1075</v>
      </c>
    </row>
    <row r="106" spans="1:9" ht="12.75" customHeight="1" x14ac:dyDescent="0.25">
      <c r="A106" s="16" t="s">
        <v>247</v>
      </c>
      <c r="B106" s="2" t="s">
        <v>1076</v>
      </c>
      <c r="C106" s="2" t="s">
        <v>1077</v>
      </c>
    </row>
    <row r="108" spans="1:9" ht="12.75" customHeight="1" x14ac:dyDescent="0.25">
      <c r="A108" s="7" t="s">
        <v>248</v>
      </c>
    </row>
    <row r="109" spans="1:9" ht="12.75" customHeight="1" x14ac:dyDescent="0.25">
      <c r="A109" s="7" t="s">
        <v>249</v>
      </c>
    </row>
    <row r="110" spans="1:9" ht="12.75" customHeight="1" x14ac:dyDescent="0.25">
      <c r="A110" s="16" t="s">
        <v>26</v>
      </c>
      <c r="B110" s="2" t="s">
        <v>1091</v>
      </c>
    </row>
    <row r="111" spans="1:9" ht="12.75" customHeight="1" x14ac:dyDescent="0.25">
      <c r="A111" s="16" t="s">
        <v>22</v>
      </c>
      <c r="B111" s="2" t="s">
        <v>1092</v>
      </c>
    </row>
    <row r="112" spans="1:9" ht="12.75" customHeight="1" x14ac:dyDescent="0.25">
      <c r="A112" s="16" t="s">
        <v>27</v>
      </c>
      <c r="B112" s="2" t="s">
        <v>1093</v>
      </c>
    </row>
    <row r="113" spans="1:6" ht="12.75" customHeight="1" x14ac:dyDescent="0.25">
      <c r="A113" s="16" t="s">
        <v>28</v>
      </c>
      <c r="B113" s="2" t="s">
        <v>1094</v>
      </c>
    </row>
    <row r="114" spans="1:6" ht="12.75" customHeight="1" thickBot="1" x14ac:dyDescent="0.3">
      <c r="A114" s="11" t="s">
        <v>933</v>
      </c>
      <c r="B114" s="2" t="s">
        <v>1095</v>
      </c>
    </row>
    <row r="115" spans="1:6" ht="12.75" customHeight="1" thickBot="1" x14ac:dyDescent="0.3">
      <c r="A115" s="11"/>
      <c r="B115" s="57" t="s">
        <v>1096</v>
      </c>
    </row>
    <row r="116" spans="1:6" ht="12.75" customHeight="1" x14ac:dyDescent="0.25">
      <c r="A116" s="7" t="s">
        <v>250</v>
      </c>
      <c r="B116" s="2" t="s">
        <v>1085</v>
      </c>
      <c r="C116" s="2" t="s">
        <v>1086</v>
      </c>
    </row>
    <row r="117" spans="1:6" ht="12.75" customHeight="1" x14ac:dyDescent="0.25">
      <c r="A117" s="16" t="str">
        <f>A84</f>
        <v>Local currency</v>
      </c>
      <c r="B117" s="13" t="s">
        <v>1</v>
      </c>
      <c r="C117" s="13" t="s">
        <v>251</v>
      </c>
      <c r="D117" s="13" t="s">
        <v>252</v>
      </c>
      <c r="E117" s="13" t="s">
        <v>253</v>
      </c>
      <c r="F117" s="13" t="s">
        <v>254</v>
      </c>
    </row>
    <row r="118" spans="1:6" ht="12.75" customHeight="1" x14ac:dyDescent="0.25">
      <c r="A118" s="46" t="s">
        <v>1103</v>
      </c>
      <c r="B118" s="14">
        <v>2014</v>
      </c>
      <c r="C118" s="14" t="s">
        <v>1042</v>
      </c>
      <c r="D118" s="14" t="s">
        <v>1063</v>
      </c>
      <c r="E118" s="14" t="s">
        <v>1056</v>
      </c>
      <c r="F118" s="14" t="s">
        <v>1049</v>
      </c>
    </row>
    <row r="119" spans="1:6" ht="12.75" customHeight="1" x14ac:dyDescent="0.25">
      <c r="B119" s="14">
        <v>2015</v>
      </c>
      <c r="C119" s="14" t="s">
        <v>1043</v>
      </c>
      <c r="D119" s="14" t="s">
        <v>1064</v>
      </c>
      <c r="E119" s="14" t="s">
        <v>1057</v>
      </c>
      <c r="F119" s="14" t="s">
        <v>1050</v>
      </c>
    </row>
    <row r="120" spans="1:6" ht="12.75" customHeight="1" x14ac:dyDescent="0.25">
      <c r="B120" s="14">
        <v>2016</v>
      </c>
      <c r="C120" s="14" t="s">
        <v>1044</v>
      </c>
      <c r="D120" s="14" t="s">
        <v>1065</v>
      </c>
      <c r="E120" s="14" t="s">
        <v>1058</v>
      </c>
      <c r="F120" s="14" t="s">
        <v>1051</v>
      </c>
    </row>
    <row r="121" spans="1:6" ht="12.75" customHeight="1" x14ac:dyDescent="0.25">
      <c r="B121" s="14">
        <v>2017</v>
      </c>
      <c r="C121" s="14" t="s">
        <v>1045</v>
      </c>
      <c r="D121" s="14" t="s">
        <v>1066</v>
      </c>
      <c r="E121" s="14" t="s">
        <v>1059</v>
      </c>
      <c r="F121" s="14" t="s">
        <v>1052</v>
      </c>
    </row>
    <row r="122" spans="1:6" ht="12.75" customHeight="1" x14ac:dyDescent="0.25">
      <c r="B122" s="14">
        <v>2018</v>
      </c>
      <c r="C122" s="14" t="s">
        <v>1046</v>
      </c>
      <c r="D122" s="14" t="s">
        <v>1067</v>
      </c>
      <c r="E122" s="14" t="s">
        <v>1060</v>
      </c>
      <c r="F122" s="14" t="s">
        <v>1053</v>
      </c>
    </row>
    <row r="123" spans="1:6" ht="12.75" customHeight="1" x14ac:dyDescent="0.25">
      <c r="B123" s="14">
        <v>2019</v>
      </c>
      <c r="C123" s="14" t="s">
        <v>1047</v>
      </c>
      <c r="D123" s="14" t="s">
        <v>1068</v>
      </c>
      <c r="E123" s="14" t="s">
        <v>1061</v>
      </c>
      <c r="F123" s="14" t="s">
        <v>1054</v>
      </c>
    </row>
    <row r="124" spans="1:6" ht="12.75" customHeight="1" x14ac:dyDescent="0.25">
      <c r="B124" s="14">
        <v>2020</v>
      </c>
      <c r="C124" s="14" t="s">
        <v>1048</v>
      </c>
      <c r="D124" s="14" t="s">
        <v>1069</v>
      </c>
      <c r="E124" s="14" t="s">
        <v>1062</v>
      </c>
      <c r="F124" s="17" t="s">
        <v>1055</v>
      </c>
    </row>
    <row r="126" spans="1:6" ht="12.75" customHeight="1" x14ac:dyDescent="0.25">
      <c r="A126" s="7" t="s">
        <v>255</v>
      </c>
    </row>
    <row r="127" spans="1:6" ht="12.75" customHeight="1" x14ac:dyDescent="0.25">
      <c r="A127" s="14" t="str">
        <f>A84</f>
        <v>Local currency</v>
      </c>
    </row>
    <row r="128" spans="1:6" ht="12.75" customHeight="1" x14ac:dyDescent="0.25">
      <c r="A128" s="46" t="s">
        <v>1102</v>
      </c>
      <c r="B128" s="2" t="s">
        <v>1085</v>
      </c>
      <c r="C128" s="2" t="s">
        <v>1086</v>
      </c>
    </row>
    <row r="129" spans="1:8" ht="12.75" customHeight="1" x14ac:dyDescent="0.2">
      <c r="A129" s="17"/>
      <c r="B129" s="18">
        <v>2014</v>
      </c>
      <c r="C129" s="18">
        <v>2015</v>
      </c>
      <c r="D129" s="18">
        <v>2016</v>
      </c>
      <c r="E129" s="18">
        <v>2017</v>
      </c>
      <c r="F129" s="18">
        <v>2018</v>
      </c>
      <c r="G129" s="18">
        <v>2019</v>
      </c>
      <c r="H129" s="18">
        <v>2020</v>
      </c>
    </row>
    <row r="130" spans="1:8" ht="12.75" customHeight="1" x14ac:dyDescent="0.2">
      <c r="A130" s="14" t="s">
        <v>256</v>
      </c>
      <c r="B130" s="14">
        <v>0</v>
      </c>
      <c r="C130" s="14">
        <v>0</v>
      </c>
      <c r="D130" s="14">
        <v>0</v>
      </c>
      <c r="E130" s="14">
        <v>0</v>
      </c>
      <c r="F130" s="14">
        <v>0</v>
      </c>
      <c r="G130" s="14">
        <v>0</v>
      </c>
      <c r="H130" s="14">
        <v>0</v>
      </c>
    </row>
    <row r="131" spans="1:8" ht="12.75" customHeight="1" x14ac:dyDescent="0.2">
      <c r="A131" s="14" t="s">
        <v>257</v>
      </c>
      <c r="B131" s="14" t="s">
        <v>984</v>
      </c>
      <c r="C131" s="14" t="s">
        <v>985</v>
      </c>
      <c r="D131" s="14" t="s">
        <v>986</v>
      </c>
      <c r="E131" s="14" t="s">
        <v>987</v>
      </c>
      <c r="F131" s="14" t="s">
        <v>988</v>
      </c>
      <c r="G131" s="14" t="s">
        <v>989</v>
      </c>
      <c r="H131" s="14" t="s">
        <v>990</v>
      </c>
    </row>
    <row r="132" spans="1:8" ht="12.75" customHeight="1" x14ac:dyDescent="0.2">
      <c r="A132" s="14"/>
      <c r="B132" s="14">
        <v>0</v>
      </c>
      <c r="C132" s="14">
        <v>0</v>
      </c>
      <c r="D132" s="14"/>
      <c r="E132" s="14"/>
      <c r="F132" s="14"/>
      <c r="G132" s="14"/>
      <c r="H132" s="14"/>
    </row>
    <row r="133" spans="1:8" ht="12.75" customHeight="1" x14ac:dyDescent="0.2">
      <c r="A133" s="14" t="s">
        <v>258</v>
      </c>
      <c r="B133" s="14" t="s">
        <v>991</v>
      </c>
      <c r="C133" s="14" t="s">
        <v>992</v>
      </c>
      <c r="D133" s="14" t="s">
        <v>993</v>
      </c>
      <c r="E133" s="14" t="s">
        <v>994</v>
      </c>
      <c r="F133" s="14" t="s">
        <v>995</v>
      </c>
      <c r="G133" s="14" t="s">
        <v>996</v>
      </c>
      <c r="H133" s="14" t="s">
        <v>997</v>
      </c>
    </row>
    <row r="134" spans="1:8" ht="12.75" customHeight="1" x14ac:dyDescent="0.2">
      <c r="A134" s="14"/>
      <c r="B134" s="14">
        <v>0</v>
      </c>
      <c r="C134" s="14">
        <v>0</v>
      </c>
      <c r="D134" s="14"/>
      <c r="E134" s="14"/>
      <c r="F134" s="14"/>
      <c r="G134" s="14"/>
      <c r="H134" s="14"/>
    </row>
    <row r="135" spans="1:8" ht="12.75" customHeight="1" x14ac:dyDescent="0.2">
      <c r="A135" s="14" t="s">
        <v>259</v>
      </c>
      <c r="B135" s="14">
        <v>0</v>
      </c>
      <c r="C135" s="14">
        <v>0</v>
      </c>
      <c r="D135" s="14">
        <v>0</v>
      </c>
      <c r="E135" s="14">
        <v>0</v>
      </c>
      <c r="F135" s="14">
        <v>0</v>
      </c>
      <c r="G135" s="14">
        <v>0</v>
      </c>
      <c r="H135" s="14">
        <v>0</v>
      </c>
    </row>
    <row r="137" spans="1:8" ht="12.75" customHeight="1" x14ac:dyDescent="0.25">
      <c r="A137" s="7" t="s">
        <v>260</v>
      </c>
    </row>
    <row r="138" spans="1:8" ht="12.75" customHeight="1" x14ac:dyDescent="0.25">
      <c r="A138" s="16" t="s">
        <v>39</v>
      </c>
      <c r="B138" s="2" t="s">
        <v>1087</v>
      </c>
    </row>
    <row r="139" spans="1:8" ht="12.75" customHeight="1" x14ac:dyDescent="0.25">
      <c r="A139" s="16" t="s">
        <v>261</v>
      </c>
      <c r="B139" s="2" t="s">
        <v>1088</v>
      </c>
    </row>
    <row r="140" spans="1:8" ht="12.75" customHeight="1" x14ac:dyDescent="0.25">
      <c r="A140" s="16" t="s">
        <v>262</v>
      </c>
      <c r="B140" s="2" t="s">
        <v>1089</v>
      </c>
    </row>
    <row r="141" spans="1:8" ht="12.75" customHeight="1" thickBot="1" x14ac:dyDescent="0.3">
      <c r="A141" s="11" t="s">
        <v>933</v>
      </c>
      <c r="B141" s="2" t="s">
        <v>1090</v>
      </c>
    </row>
    <row r="142" spans="1:8" ht="12.75" customHeight="1" thickBot="1" x14ac:dyDescent="0.3">
      <c r="A142" s="11"/>
      <c r="B142" s="57"/>
    </row>
    <row r="143" spans="1:8" ht="12.75" customHeight="1" x14ac:dyDescent="0.25">
      <c r="A143" s="7" t="s">
        <v>263</v>
      </c>
    </row>
    <row r="144" spans="1:8" ht="12.75" customHeight="1" x14ac:dyDescent="0.25">
      <c r="A144" s="3" t="s">
        <v>264</v>
      </c>
    </row>
    <row r="145" spans="1:2" ht="12.75" customHeight="1" x14ac:dyDescent="0.25">
      <c r="A145" s="3" t="s">
        <v>265</v>
      </c>
    </row>
    <row r="146" spans="1:2" ht="12.75" customHeight="1" x14ac:dyDescent="0.25">
      <c r="A146" s="3" t="s">
        <v>41</v>
      </c>
      <c r="B146" s="2" t="s">
        <v>1131</v>
      </c>
    </row>
    <row r="147" spans="1:2" ht="12.75" customHeight="1" x14ac:dyDescent="0.25">
      <c r="A147" s="3" t="s">
        <v>39</v>
      </c>
      <c r="B147" s="2" t="s">
        <v>1132</v>
      </c>
    </row>
    <row r="148" spans="1:2" ht="12.75" customHeight="1" x14ac:dyDescent="0.25">
      <c r="A148" s="3" t="s">
        <v>266</v>
      </c>
    </row>
    <row r="149" spans="1:2" ht="12.75" customHeight="1" x14ac:dyDescent="0.25">
      <c r="A149" s="3" t="s">
        <v>41</v>
      </c>
      <c r="B149" s="2" t="s">
        <v>1133</v>
      </c>
    </row>
    <row r="150" spans="1:2" ht="12.75" customHeight="1" x14ac:dyDescent="0.25">
      <c r="A150" s="3" t="s">
        <v>39</v>
      </c>
      <c r="B150" s="2" t="s">
        <v>1134</v>
      </c>
    </row>
    <row r="151" spans="1:2" ht="12.75" customHeight="1" x14ac:dyDescent="0.25">
      <c r="A151" s="3" t="s">
        <v>267</v>
      </c>
    </row>
    <row r="152" spans="1:2" ht="12.75" customHeight="1" x14ac:dyDescent="0.25">
      <c r="A152" s="3" t="s">
        <v>41</v>
      </c>
      <c r="B152" s="2" t="s">
        <v>1135</v>
      </c>
    </row>
    <row r="153" spans="1:2" ht="12.75" customHeight="1" x14ac:dyDescent="0.25">
      <c r="A153" s="3" t="s">
        <v>39</v>
      </c>
      <c r="B153" s="2" t="s">
        <v>1136</v>
      </c>
    </row>
  </sheetData>
  <mergeCells count="2">
    <mergeCell ref="A1:B1"/>
    <mergeCell ref="H1:L1"/>
  </mergeCells>
  <conditionalFormatting sqref="B18">
    <cfRule type="expression" dxfId="5" priority="5">
      <formula>IF(B17=1,B18=0)</formula>
    </cfRule>
  </conditionalFormatting>
  <conditionalFormatting sqref="B14:B15">
    <cfRule type="expression" dxfId="4" priority="3">
      <formula>IF(B13=1,B14=0)</formula>
    </cfRule>
  </conditionalFormatting>
  <conditionalFormatting sqref="B17">
    <cfRule type="expression" dxfId="3" priority="1">
      <formula>IF(B16=1,B17=0)</formula>
    </cfRule>
  </conditionalFormatting>
  <dataValidations count="5">
    <dataValidation type="list" showErrorMessage="1" error="Only values from the list can be accepted" promptTitle="Note:" prompt="Please click on the down arrow on the right side of the cell and select a value from the list below" sqref="E1">
      <formula1>Countries</formula1>
    </dataValidation>
    <dataValidation type="list" allowBlank="1" showInputMessage="1" showErrorMessage="1" sqref="A4 A85 A118 A128">
      <formula1>values</formula1>
    </dataValidation>
    <dataValidation type="whole" operator="equal" allowBlank="1" showInputMessage="1" showErrorMessage="1" error="Only 1 can be entered if applicable" promptTitle="Enter 1 for selection" sqref="B138:B142 B31:B33 B20:B21 C110:C114 B23:B24 B35:B37 B39:B41 B52:B54 B56:B58 B75 B152:B153 B82 B100:C106 B17:B18 B110:B115 B146:B147 B149:B150 B77:B80 B71:B73 B60:B66 B68:B69">
      <formula1>1</formula1>
    </dataValidation>
    <dataValidation type="list" allowBlank="1" showInputMessage="1" showErrorMessage="1" sqref="D87:D96">
      <formula1>confidence</formula1>
    </dataValidation>
    <dataValidation type="list" allowBlank="1" showInputMessage="1" showErrorMessage="1" sqref="A3 A84">
      <formula1>Currency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Drop Down 1">
              <controlPr defaultSize="0" autoLine="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58" r:id="rId5" name="Drop Down 2">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59" r:id="rId6" name="Drop Down 3">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0" r:id="rId7" name="Drop Down 4">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1" r:id="rId8" name="Drop Down 5">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2" r:id="rId9" name="Drop Down 6">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3" r:id="rId10" name="Drop Down 7">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4" r:id="rId11" name="Drop Down 8">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5" r:id="rId12" name="Drop Down 9">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19466" r:id="rId13" name="Drop Down 10">
              <controlPr defaultSize="0" autoFill="0" autoPict="0">
                <anchor moveWithCells="1">
                  <from>
                    <xdr:col>7</xdr:col>
                    <xdr:colOff>285750</xdr:colOff>
                    <xdr:row>3</xdr:row>
                    <xdr:rowOff>0</xdr:rowOff>
                  </from>
                  <to>
                    <xdr:col>8</xdr:col>
                    <xdr:colOff>304800</xdr:colOff>
                    <xdr:row>3</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S153"/>
  <sheetViews>
    <sheetView workbookViewId="0">
      <selection activeCell="I87" sqref="I87:I97"/>
    </sheetView>
  </sheetViews>
  <sheetFormatPr defaultColWidth="8.7109375" defaultRowHeight="12.75" customHeight="1" x14ac:dyDescent="0.25"/>
  <cols>
    <col min="1" max="1" width="35.7109375" style="2" customWidth="1"/>
    <col min="2" max="2" width="12.85546875" style="2" customWidth="1"/>
    <col min="3" max="3" width="16.5703125" style="2" customWidth="1"/>
    <col min="4" max="4" width="20.5703125" style="2" customWidth="1"/>
    <col min="5" max="5" width="18.42578125" style="2" customWidth="1"/>
    <col min="6" max="6" width="16.5703125" style="2" customWidth="1"/>
    <col min="7" max="7" width="14.140625" style="2" customWidth="1"/>
    <col min="8" max="8" width="11.85546875" customWidth="1"/>
    <col min="9" max="12" width="19.140625" style="2" customWidth="1"/>
    <col min="13" max="16384" width="8.7109375" style="2"/>
  </cols>
  <sheetData>
    <row r="1" spans="1:19" ht="12.75" customHeight="1" thickBot="1" x14ac:dyDescent="0.5">
      <c r="A1" s="99" t="s">
        <v>42</v>
      </c>
      <c r="B1" s="100"/>
      <c r="E1" s="79" t="s">
        <v>228</v>
      </c>
      <c r="F1" s="70"/>
      <c r="H1" s="103" t="s">
        <v>924</v>
      </c>
      <c r="I1" s="104"/>
      <c r="J1" s="104"/>
      <c r="K1" s="104"/>
      <c r="L1" s="105"/>
      <c r="O1" s="2">
        <v>4</v>
      </c>
      <c r="P1" t="s">
        <v>286</v>
      </c>
      <c r="Q1" t="s">
        <v>289</v>
      </c>
      <c r="R1" s="2" t="s">
        <v>920</v>
      </c>
      <c r="S1" s="2">
        <v>2</v>
      </c>
    </row>
    <row r="2" spans="1:19" ht="12.75" customHeight="1" x14ac:dyDescent="0.35">
      <c r="A2" s="7" t="s">
        <v>0</v>
      </c>
      <c r="R2" s="2" t="s">
        <v>922</v>
      </c>
      <c r="S2" s="2">
        <v>3</v>
      </c>
    </row>
    <row r="3" spans="1:19" ht="12.75" customHeight="1" x14ac:dyDescent="0.35">
      <c r="A3" s="53" t="s">
        <v>927</v>
      </c>
      <c r="B3" s="2" t="s">
        <v>1109</v>
      </c>
      <c r="H3" s="47" t="s">
        <v>925</v>
      </c>
      <c r="I3" s="48"/>
      <c r="J3" s="48"/>
      <c r="R3" s="2" t="s">
        <v>921</v>
      </c>
      <c r="S3" s="2">
        <v>4</v>
      </c>
    </row>
    <row r="4" spans="1:19" ht="12.75" customHeight="1" x14ac:dyDescent="0.3">
      <c r="A4" s="46" t="s">
        <v>921</v>
      </c>
      <c r="H4" s="2"/>
    </row>
    <row r="5" spans="1:19" ht="12.75" customHeight="1" x14ac:dyDescent="0.3">
      <c r="B5" s="13" t="s">
        <v>1</v>
      </c>
      <c r="C5" s="13" t="s">
        <v>2</v>
      </c>
      <c r="D5" s="13" t="s">
        <v>3</v>
      </c>
      <c r="E5" s="13" t="s">
        <v>4</v>
      </c>
      <c r="F5" s="13" t="s">
        <v>5</v>
      </c>
      <c r="H5" s="13" t="s">
        <v>1</v>
      </c>
      <c r="I5" s="13" t="s">
        <v>2</v>
      </c>
      <c r="J5" s="13" t="s">
        <v>3</v>
      </c>
      <c r="K5" s="13" t="s">
        <v>4</v>
      </c>
      <c r="L5" s="13" t="s">
        <v>5</v>
      </c>
    </row>
    <row r="6" spans="1:19" ht="12.75" customHeight="1" x14ac:dyDescent="0.35">
      <c r="B6" s="14">
        <v>2006</v>
      </c>
      <c r="C6" s="68"/>
      <c r="D6" s="68"/>
      <c r="E6" s="68"/>
      <c r="F6" s="49">
        <f>SUM(C6:E6)</f>
        <v>0</v>
      </c>
      <c r="H6" s="14">
        <v>2006</v>
      </c>
      <c r="I6" s="58">
        <f>IF($A$4=$R$1,IF($C$3="United States Dollar (USD)",C6,(C6*(SUMIFS(IMF!AJ:AJ,IMF!$D:$D,$E$1,IMF!$C:$C,$Q$1)/SUMIFS(IMF!AJ:AJ,IMF!$D:$D,$E$1,IMF!$C:$C,$P$1))))/1000,IF($A$4=$R$3,IF($C$3="United States Dollar (USD)",C6,(C6*(SUMIFS(IMF!AJ:AJ,IMF!$D:$D,$E$1,IMF!$C:$C,$Q$1)/SUMIFS(IMF!AJ:AJ,IMF!$D:$D,$E$1,IMF!$C:$C,$P$1))))*1000,IF($C$3="United States Dollar (USD)",C6,(C6*(SUMIFS(IMF!AJ:AJ,IMF!$D:$D,$E$1,IMF!$C:$C,$Q$1)/SUMIFS(IMF!AJ:AJ,IMF!$D:$D,$E$1,IMF!$C:$C,$P$1))))))</f>
        <v>0</v>
      </c>
      <c r="J6" s="58">
        <f>IF($A$4=$R$1,IF($C$3="United States Dollar (USD)",D6,(D6*(SUMIFS(IMF!AJ:AJ,IMF!$D:$D,$E$1,IMF!$C:$C,$Q$1)/SUMIFS(IMF!AJ:AJ,IMF!$D:$D,$E$1,IMF!$C:$C,$P$1))))/1000,IF($A$4=$R$3,IF($C$3="United States Dollar (USD)",D6,(D6*(SUMIFS(IMF!AJ:AJ,IMF!$D:$D,$E$1,IMF!$C:$C,$Q$1)/SUMIFS(IMF!AJ:AJ,IMF!$D:$D,$E$1,IMF!$C:$C,$P$1))))*1000,IF($C$3="United States Dollar (USD)",D6,(D6*(SUMIFS(IMF!AJ:AJ,IMF!$D:$D,$E$1,IMF!$C:$C,$Q$1)/SUMIFS(IMF!AJ:AJ,IMF!$D:$D,$E$1,IMF!$C:$C,$P$1))))))</f>
        <v>0</v>
      </c>
      <c r="K6" s="58">
        <f>IF($A$4=$R$1,IF($C$3="United States Dollar (USD)",E6,(E6*(SUMIFS(IMF!AJ:AJ,IMF!$D:$D,$E$1,IMF!$C:$C,$Q$1)/SUMIFS(IMF!AJ:AJ,IMF!$D:$D,$E$1,IMF!$C:$C,$P$1))))/1000,IF($A$4=$R$3,IF($C$3="United States Dollar (USD)",E6,(E6*(SUMIFS(IMF!AJ:AJ,IMF!$D:$D,$E$1,IMF!$C:$C,$Q$1)/SUMIFS(IMF!AJ:AJ,IMF!$D:$D,$E$1,IMF!$C:$C,$P$1))))*1000,IF($C$3="United States Dollar (USD)",E6,(E6*(SUMIFS(IMF!AJ:AJ,IMF!$D:$D,$E$1,IMF!$C:$C,$Q$1)/SUMIFS(IMF!AJ:AJ,IMF!$D:$D,$E$1,IMF!$C:$C,$P$1))))))</f>
        <v>0</v>
      </c>
      <c r="L6" s="59">
        <f>SUM(I6:K6)</f>
        <v>0</v>
      </c>
    </row>
    <row r="7" spans="1:19" ht="12.75" customHeight="1" x14ac:dyDescent="0.35">
      <c r="B7" s="14">
        <v>2007</v>
      </c>
      <c r="C7" s="68"/>
      <c r="D7" s="68"/>
      <c r="E7" s="68"/>
      <c r="F7" s="49">
        <f>SUM(C7:E7)</f>
        <v>0</v>
      </c>
      <c r="H7" s="14">
        <v>2007</v>
      </c>
      <c r="I7" s="58">
        <f>IF($A$4=$R$1,IF($C$3="United States Dollar (USD)",C7,(C7*(SUMIFS(IMF!AK:AK,IMF!$D:$D,$E$1,IMF!$C:$C,$Q$1)/SUMIFS(IMF!AK:AK,IMF!$D:$D,$E$1,IMF!$C:$C,$P$1))))/1000,IF($A$4=$R$3,IF($C$3="United States Dollar (USD)",C7,(C7*(SUMIFS(IMF!AK:AK,IMF!$D:$D,$E$1,IMF!$C:$C,$Q$1)/SUMIFS(IMF!AK:AK,IMF!$D:$D,$E$1,IMF!$C:$C,$P$1))))*1000,IF($C$3="United States Dollar (USD)",C7,(C7*(SUMIFS(IMF!AK:AK,IMF!$D:$D,$E$1,IMF!$C:$C,$Q$1)/SUMIFS(IMF!AK:AK,IMF!$D:$D,$E$1,IMF!$C:$C,$P$1))))))</f>
        <v>0</v>
      </c>
      <c r="J7" s="58">
        <f>IF($A$4=$R$1,IF($C$3="United States Dollar (USD)",D7,(D7*(SUMIFS(IMF!AK:AK,IMF!$D:$D,$E$1,IMF!$C:$C,$Q$1)/SUMIFS(IMF!AK:AK,IMF!$D:$D,$E$1,IMF!$C:$C,$P$1))))/1000,IF($A$4=$R$3,IF($C$3="United States Dollar (USD)",D7,(D7*(SUMIFS(IMF!AK:AK,IMF!$D:$D,$E$1,IMF!$C:$C,$Q$1)/SUMIFS(IMF!AK:AK,IMF!$D:$D,$E$1,IMF!$C:$C,$P$1))))*1000,IF($C$3="United States Dollar (USD)",D7,(D7*(SUMIFS(IMF!AK:AK,IMF!$D:$D,$E$1,IMF!$C:$C,$Q$1)/SUMIFS(IMF!AK:AK,IMF!$D:$D,$E$1,IMF!$C:$C,$P$1))))))</f>
        <v>0</v>
      </c>
      <c r="K7" s="58">
        <f>IF($A$4=$R$1,IF($C$3="United States Dollar (USD)",E7,(E7*(SUMIFS(IMF!AK:AK,IMF!$D:$D,$E$1,IMF!$C:$C,$Q$1)/SUMIFS(IMF!AK:AK,IMF!$D:$D,$E$1,IMF!$C:$C,$P$1))))/1000,IF($A$4=$R$3,IF($C$3="United States Dollar (USD)",E7,(E7*(SUMIFS(IMF!AK:AK,IMF!$D:$D,$E$1,IMF!$C:$C,$Q$1)/SUMIFS(IMF!AK:AK,IMF!$D:$D,$E$1,IMF!$C:$C,$P$1))))*1000,IF($C$3="United States Dollar (USD)",E7,(E7*(SUMIFS(IMF!AK:AK,IMF!$D:$D,$E$1,IMF!$C:$C,$Q$1)/SUMIFS(IMF!AK:AK,IMF!$D:$D,$E$1,IMF!$C:$C,$P$1))))))</f>
        <v>0</v>
      </c>
      <c r="L7" s="59">
        <f>SUM(I7:K7)</f>
        <v>0</v>
      </c>
    </row>
    <row r="8" spans="1:19" ht="12.75" customHeight="1" x14ac:dyDescent="0.35">
      <c r="B8" s="14">
        <v>2008</v>
      </c>
      <c r="C8" s="68"/>
      <c r="D8" s="68"/>
      <c r="E8" s="68"/>
      <c r="F8" s="49">
        <f>SUM(C8:E8)</f>
        <v>0</v>
      </c>
      <c r="G8" s="4"/>
      <c r="H8" s="14">
        <v>2008</v>
      </c>
      <c r="I8" s="58">
        <f>IF($A$4=$R$1,IF($C$3="United States Dollar (USD)",C8,(C8*(SUMIFS(IMF!AL:AL,IMF!$D:$D,$E$1,IMF!$C:$C,$Q$1)/SUMIFS(IMF!AL:AL,IMF!$D:$D,$E$1,IMF!$C:$C,$P$1))))/1000,IF($A$4=$R$3,IF($C$3="United States Dollar (USD)",C8,(C8*(SUMIFS(IMF!AL:AL,IMF!$D:$D,$E$1,IMF!$C:$C,$Q$1)/SUMIFS(IMF!AL:AL,IMF!$D:$D,$E$1,IMF!$C:$C,$P$1))))*1000,IF($C$3="United States Dollar (USD)",C8,(C8*(SUMIFS(IMF!AL:AL,IMF!$D:$D,$E$1,IMF!$C:$C,$Q$1)/SUMIFS(IMF!AL:AL,IMF!$D:$D,$E$1,IMF!$C:$C,$P$1))))))</f>
        <v>0</v>
      </c>
      <c r="J8" s="58">
        <f>IF($A$4=$R$1,IF($C$3="United States Dollar (USD)",D8,(D8*(SUMIFS(IMF!AL:AL,IMF!$D:$D,$E$1,IMF!$C:$C,$Q$1)/SUMIFS(IMF!AL:AL,IMF!$D:$D,$E$1,IMF!$C:$C,$P$1))))/1000,IF($A$4=$R$3,IF($C$3="United States Dollar (USD)",D8,(D8*(SUMIFS(IMF!AL:AL,IMF!$D:$D,$E$1,IMF!$C:$C,$Q$1)/SUMIFS(IMF!AL:AL,IMF!$D:$D,$E$1,IMF!$C:$C,$P$1))))*1000,IF($C$3="United States Dollar (USD)",D8,(D8*(SUMIFS(IMF!AL:AL,IMF!$D:$D,$E$1,IMF!$C:$C,$Q$1)/SUMIFS(IMF!AL:AL,IMF!$D:$D,$E$1,IMF!$C:$C,$P$1))))))</f>
        <v>0</v>
      </c>
      <c r="K8" s="58">
        <f>IF($A$4=$R$1,IF($C$3="United States Dollar (USD)",E8,(E8*(SUMIFS(IMF!AL:AL,IMF!$D:$D,$E$1,IMF!$C:$C,$Q$1)/SUMIFS(IMF!AL:AL,IMF!$D:$D,$E$1,IMF!$C:$C,$P$1))))/1000,IF($A$4=$R$3,IF($C$3="United States Dollar (USD)",E8,(E8*(SUMIFS(IMF!AL:AL,IMF!$D:$D,$E$1,IMF!$C:$C,$Q$1)/SUMIFS(IMF!AL:AL,IMF!$D:$D,$E$1,IMF!$C:$C,$P$1))))*1000,IF($C$3="United States Dollar (USD)",E8,(E8*(SUMIFS(IMF!AL:AL,IMF!$D:$D,$E$1,IMF!$C:$C,$Q$1)/SUMIFS(IMF!AL:AL,IMF!$D:$D,$E$1,IMF!$C:$C,$P$1))))))</f>
        <v>0</v>
      </c>
      <c r="L8" s="59">
        <f>SUM(I8:K8)</f>
        <v>0</v>
      </c>
    </row>
    <row r="9" spans="1:19" ht="12.75" customHeight="1" x14ac:dyDescent="0.35">
      <c r="B9" s="14">
        <v>2009</v>
      </c>
      <c r="C9" s="68"/>
      <c r="D9" s="68"/>
      <c r="E9" s="68"/>
      <c r="F9" s="49">
        <f>SUM(C9:E9)</f>
        <v>0</v>
      </c>
      <c r="G9" s="5"/>
      <c r="H9" s="14">
        <v>2009</v>
      </c>
      <c r="I9" s="58">
        <f>IF($A$4=$R$1,IF($C$3="United States Dollar (USD)",C9,(C9*(SUMIFS(IMF!AM:AM,IMF!$D:$D,$E$1,IMF!$C:$C,$Q$1)/SUMIFS(IMF!AM:AM,IMF!$D:$D,$E$1,IMF!$C:$C,$P$1))))/1000,IF($A$4=$R$3,IF($C$3="United States Dollar (USD)",C9,(C9*(SUMIFS(IMF!AM:AM,IMF!$D:$D,$E$1,IMF!$C:$C,$Q$1)/SUMIFS(IMF!AM:AM,IMF!$D:$D,$E$1,IMF!$C:$C,$P$1))))*1000,IF($C$3="United States Dollar (USD)",C9,(C9*(SUMIFS(IMF!AM:AM,IMF!$D:$D,$E$1,IMF!$C:$C,$Q$1)/SUMIFS(IMF!AM:AM,IMF!$D:$D,$E$1,IMF!$C:$C,$P$1))))))</f>
        <v>0</v>
      </c>
      <c r="J9" s="58">
        <f>IF($A$4=$R$1,IF($C$3="United States Dollar (USD)",D9,(D9*(SUMIFS(IMF!AM:AM,IMF!$D:$D,$E$1,IMF!$C:$C,$Q$1)/SUMIFS(IMF!AM:AM,IMF!$D:$D,$E$1,IMF!$C:$C,$P$1))))/1000,IF($A$4=$R$3,IF($C$3="United States Dollar (USD)",D9,(D9*(SUMIFS(IMF!AM:AM,IMF!$D:$D,$E$1,IMF!$C:$C,$Q$1)/SUMIFS(IMF!AM:AM,IMF!$D:$D,$E$1,IMF!$C:$C,$P$1))))*1000,IF($C$3="United States Dollar (USD)",D9,(D9*(SUMIFS(IMF!AM:AM,IMF!$D:$D,$E$1,IMF!$C:$C,$Q$1)/SUMIFS(IMF!AM:AM,IMF!$D:$D,$E$1,IMF!$C:$C,$P$1))))))</f>
        <v>0</v>
      </c>
      <c r="K9" s="58">
        <f>IF($A$4=$R$1,IF($C$3="United States Dollar (USD)",E9,(E9*(SUMIFS(IMF!AM:AM,IMF!$D:$D,$E$1,IMF!$C:$C,$Q$1)/SUMIFS(IMF!AM:AM,IMF!$D:$D,$E$1,IMF!$C:$C,$P$1))))/1000,IF($A$4=$R$3,IF($C$3="United States Dollar (USD)",E9,(E9*(SUMIFS(IMF!AM:AM,IMF!$D:$D,$E$1,IMF!$C:$C,$Q$1)/SUMIFS(IMF!AM:AM,IMF!$D:$D,$E$1,IMF!$C:$C,$P$1))))*1000,IF($C$3="United States Dollar (USD)",E9,(E9*(SUMIFS(IMF!AM:AM,IMF!$D:$D,$E$1,IMF!$C:$C,$Q$1)/SUMIFS(IMF!AM:AM,IMF!$D:$D,$E$1,IMF!$C:$C,$P$1))))))</f>
        <v>0</v>
      </c>
      <c r="L9" s="59">
        <f>SUM(I9:K9)</f>
        <v>0</v>
      </c>
    </row>
    <row r="10" spans="1:19" ht="12.75" customHeight="1" x14ac:dyDescent="0.35">
      <c r="B10" s="14">
        <v>2010</v>
      </c>
      <c r="C10" s="68"/>
      <c r="D10" s="68"/>
      <c r="E10" s="68"/>
      <c r="F10" s="49">
        <f>SUM(C10:E10)</f>
        <v>0</v>
      </c>
      <c r="H10" s="14">
        <v>2010</v>
      </c>
      <c r="I10" s="58">
        <f>IF($A$4=$R$1,IF($C$3="United States Dollar (USD)",C10,(C10*(SUMIFS(IMF!AN:AN,IMF!$D:$D,$E$1,IMF!$C:$C,$Q$1)/SUMIFS(IMF!AN:AN,IMF!$D:$D,$E$1,IMF!$C:$C,$P$1))))/1000,IF($A$4=$R$3,IF($C$3="United States Dollar (USD)",C10,(C10*(SUMIFS(IMF!AN:AN,IMF!$D:$D,$E$1,IMF!$C:$C,$Q$1)/SUMIFS(IMF!AN:AN,IMF!$D:$D,$E$1,IMF!$C:$C,$P$1))))*1000,IF($C$3="United States Dollar (USD)",C10,(C10*(SUMIFS(IMF!AN:AN,IMF!$D:$D,$E$1,IMF!$C:$C,$Q$1)/SUMIFS(IMF!AN:AN,IMF!$D:$D,$E$1,IMF!$C:$C,$P$1))))))</f>
        <v>0</v>
      </c>
      <c r="J10" s="58">
        <f>IF($A$4=$R$1,IF($C$3="United States Dollar (USD)",D10,(D10*(SUMIFS(IMF!AN:AN,IMF!$D:$D,$E$1,IMF!$C:$C,$Q$1)/SUMIFS(IMF!AN:AN,IMF!$D:$D,$E$1,IMF!$C:$C,$P$1))))/1000,IF($A$4=$R$3,IF($C$3="United States Dollar (USD)",D10,(D10*(SUMIFS(IMF!AN:AN,IMF!$D:$D,$E$1,IMF!$C:$C,$Q$1)/SUMIFS(IMF!AN:AN,IMF!$D:$D,$E$1,IMF!$C:$C,$P$1))))*1000,IF($C$3="United States Dollar (USD)",D10,(D10*(SUMIFS(IMF!AN:AN,IMF!$D:$D,$E$1,IMF!$C:$C,$Q$1)/SUMIFS(IMF!AN:AN,IMF!$D:$D,$E$1,IMF!$C:$C,$P$1))))))</f>
        <v>0</v>
      </c>
      <c r="K10" s="58">
        <f>IF($A$4=$R$1,IF($C$3="United States Dollar (USD)",E10,(E10*(SUMIFS(IMF!AN:AN,IMF!$D:$D,$E$1,IMF!$C:$C,$Q$1)/SUMIFS(IMF!AN:AN,IMF!$D:$D,$E$1,IMF!$C:$C,$P$1))))/1000,IF($A$4=$R$3,IF($C$3="United States Dollar (USD)",E10,(E10*(SUMIFS(IMF!AN:AN,IMF!$D:$D,$E$1,IMF!$C:$C,$Q$1)/SUMIFS(IMF!AN:AN,IMF!$D:$D,$E$1,IMF!$C:$C,$P$1))))*1000,IF($C$3="United States Dollar (USD)",E10,(E10*(SUMIFS(IMF!AN:AN,IMF!$D:$D,$E$1,IMF!$C:$C,$Q$1)/SUMIFS(IMF!AN:AN,IMF!$D:$D,$E$1,IMF!$C:$C,$P$1))))))</f>
        <v>0</v>
      </c>
      <c r="L10" s="59">
        <f>SUM(I10:K10)</f>
        <v>0</v>
      </c>
    </row>
    <row r="11" spans="1:19" ht="12.75" customHeight="1" x14ac:dyDescent="0.3">
      <c r="B11" s="15" t="s">
        <v>6</v>
      </c>
      <c r="C11" s="49" t="e">
        <f>AVERAGE(C6:C10)</f>
        <v>#DIV/0!</v>
      </c>
      <c r="D11" s="49" t="e">
        <f>AVERAGE(D6:D10)</f>
        <v>#DIV/0!</v>
      </c>
      <c r="E11" s="49" t="e">
        <f>AVERAGE(E6:E10)</f>
        <v>#DIV/0!</v>
      </c>
      <c r="F11" s="49">
        <f>AVERAGE(F6:F10)</f>
        <v>0</v>
      </c>
      <c r="H11" s="15" t="s">
        <v>6</v>
      </c>
      <c r="I11" s="59">
        <f>AVERAGE(I6:I10)</f>
        <v>0</v>
      </c>
      <c r="J11" s="59">
        <f>AVERAGE(J6:J10)</f>
        <v>0</v>
      </c>
      <c r="K11" s="59">
        <f>AVERAGE(K6:K10)</f>
        <v>0</v>
      </c>
      <c r="L11" s="59">
        <f>AVERAGE(L6:L10)</f>
        <v>0</v>
      </c>
    </row>
    <row r="12" spans="1:19" ht="12.75" customHeight="1" x14ac:dyDescent="0.35">
      <c r="A12" s="3" t="s">
        <v>8</v>
      </c>
    </row>
    <row r="13" spans="1:19" ht="12.75" customHeight="1" x14ac:dyDescent="0.35">
      <c r="A13" s="7" t="s">
        <v>9</v>
      </c>
    </row>
    <row r="14" spans="1:19" ht="12.75" customHeight="1" x14ac:dyDescent="0.35">
      <c r="A14" s="63" t="s">
        <v>10</v>
      </c>
      <c r="B14" s="64"/>
      <c r="C14" s="64"/>
      <c r="D14" s="64"/>
      <c r="E14" s="64"/>
    </row>
    <row r="15" spans="1:19" ht="12.75" customHeight="1" x14ac:dyDescent="0.35">
      <c r="A15" s="63" t="s">
        <v>11</v>
      </c>
      <c r="B15" s="64"/>
      <c r="C15" s="64"/>
      <c r="D15" s="64"/>
      <c r="E15" s="64"/>
    </row>
    <row r="16" spans="1:19" ht="12.75" customHeight="1" x14ac:dyDescent="0.35">
      <c r="A16" s="65" t="s">
        <v>12</v>
      </c>
      <c r="B16" s="64"/>
      <c r="C16" s="64"/>
      <c r="D16" s="64"/>
      <c r="E16" s="64"/>
    </row>
    <row r="17" spans="1:5" ht="12.75" customHeight="1" x14ac:dyDescent="0.35">
      <c r="A17" s="66" t="s">
        <v>236</v>
      </c>
      <c r="B17" s="64"/>
      <c r="C17" s="64"/>
      <c r="D17" s="64"/>
      <c r="E17" s="64"/>
    </row>
    <row r="18" spans="1:5" ht="12.75" customHeight="1" x14ac:dyDescent="0.35">
      <c r="A18" s="66" t="s">
        <v>237</v>
      </c>
      <c r="B18" s="64"/>
      <c r="C18" s="64"/>
      <c r="D18" s="64"/>
      <c r="E18" s="64"/>
    </row>
    <row r="19" spans="1:5" ht="12.75" customHeight="1" x14ac:dyDescent="0.35">
      <c r="A19" s="65" t="s">
        <v>12</v>
      </c>
      <c r="B19" s="64"/>
      <c r="C19" s="64"/>
      <c r="D19" s="64"/>
      <c r="E19" s="64"/>
    </row>
    <row r="20" spans="1:5" ht="12.75" customHeight="1" x14ac:dyDescent="0.35">
      <c r="A20" s="63" t="s">
        <v>13</v>
      </c>
      <c r="B20" s="64"/>
      <c r="C20" s="64"/>
      <c r="D20" s="64"/>
      <c r="E20" s="64"/>
    </row>
    <row r="21" spans="1:5" ht="12.75" customHeight="1" x14ac:dyDescent="0.35">
      <c r="A21" s="63" t="s">
        <v>14</v>
      </c>
      <c r="B21" s="64"/>
      <c r="C21" s="64"/>
      <c r="D21" s="64"/>
      <c r="E21" s="64"/>
    </row>
    <row r="22" spans="1:5" ht="12.75" customHeight="1" x14ac:dyDescent="0.35">
      <c r="A22" s="65" t="s">
        <v>15</v>
      </c>
      <c r="B22" s="64"/>
      <c r="C22" s="64"/>
      <c r="D22" s="64"/>
      <c r="E22" s="64"/>
    </row>
    <row r="23" spans="1:5" ht="12.75" customHeight="1" x14ac:dyDescent="0.35">
      <c r="A23" s="63" t="s">
        <v>13</v>
      </c>
      <c r="B23" s="64"/>
      <c r="C23" s="64"/>
      <c r="D23" s="64"/>
      <c r="E23" s="64"/>
    </row>
    <row r="24" spans="1:5" ht="12.75" customHeight="1" x14ac:dyDescent="0.35">
      <c r="A24" s="63" t="s">
        <v>14</v>
      </c>
      <c r="B24" s="64"/>
      <c r="C24" s="64"/>
      <c r="D24" s="64"/>
      <c r="E24" s="64"/>
    </row>
    <row r="25" spans="1:5" ht="12.75" customHeight="1" x14ac:dyDescent="0.35">
      <c r="A25" s="65" t="s">
        <v>16</v>
      </c>
      <c r="B25" s="64"/>
      <c r="C25" s="64"/>
      <c r="D25" s="64"/>
      <c r="E25" s="64"/>
    </row>
    <row r="26" spans="1:5" ht="12.75" customHeight="1" x14ac:dyDescent="0.35">
      <c r="A26" s="3" t="s">
        <v>17</v>
      </c>
    </row>
    <row r="27" spans="1:5" ht="12.75" customHeight="1" thickBot="1" x14ac:dyDescent="0.4">
      <c r="A27" s="7" t="s">
        <v>18</v>
      </c>
    </row>
    <row r="28" spans="1:5" ht="12.75" customHeight="1" thickBot="1" x14ac:dyDescent="0.4">
      <c r="A28" s="43"/>
    </row>
    <row r="29" spans="1:5" ht="12.75" customHeight="1" x14ac:dyDescent="0.35">
      <c r="A29" s="7" t="s">
        <v>19</v>
      </c>
    </row>
    <row r="30" spans="1:5" ht="12.75" customHeight="1" x14ac:dyDescent="0.35">
      <c r="A30" s="7" t="s">
        <v>238</v>
      </c>
    </row>
    <row r="31" spans="1:5" ht="12.75" customHeight="1" x14ac:dyDescent="0.35">
      <c r="A31" s="2" t="s">
        <v>239</v>
      </c>
    </row>
    <row r="32" spans="1:5" ht="12.75" customHeight="1" x14ac:dyDescent="0.35">
      <c r="A32" s="2" t="s">
        <v>32</v>
      </c>
    </row>
    <row r="33" spans="1:12" ht="12.75" customHeight="1" x14ac:dyDescent="0.35">
      <c r="A33" s="2" t="s">
        <v>240</v>
      </c>
    </row>
    <row r="34" spans="1:12" ht="12.75" customHeight="1" x14ac:dyDescent="0.35">
      <c r="A34" s="7" t="s">
        <v>241</v>
      </c>
    </row>
    <row r="35" spans="1:12" ht="12.75" customHeight="1" x14ac:dyDescent="0.35">
      <c r="A35" s="2" t="s">
        <v>239</v>
      </c>
    </row>
    <row r="36" spans="1:12" ht="12.75" customHeight="1" x14ac:dyDescent="0.35">
      <c r="A36" s="2" t="s">
        <v>32</v>
      </c>
    </row>
    <row r="37" spans="1:12" ht="12.75" customHeight="1" x14ac:dyDescent="0.35">
      <c r="A37" s="2" t="s">
        <v>240</v>
      </c>
    </row>
    <row r="38" spans="1:12" ht="12.75" customHeight="1" x14ac:dyDescent="0.35">
      <c r="A38" s="7" t="s">
        <v>242</v>
      </c>
    </row>
    <row r="39" spans="1:12" ht="12.75" customHeight="1" x14ac:dyDescent="0.35">
      <c r="A39" s="2" t="s">
        <v>239</v>
      </c>
    </row>
    <row r="40" spans="1:12" ht="12.75" customHeight="1" x14ac:dyDescent="0.35">
      <c r="A40" s="2" t="s">
        <v>32</v>
      </c>
    </row>
    <row r="41" spans="1:12" ht="12.75" customHeight="1" x14ac:dyDescent="0.35">
      <c r="A41" s="2" t="s">
        <v>240</v>
      </c>
    </row>
    <row r="42" spans="1:12" ht="12.75" customHeight="1" x14ac:dyDescent="0.35">
      <c r="A42" s="7" t="s">
        <v>20</v>
      </c>
    </row>
    <row r="43" spans="1:12" ht="12.75" customHeight="1" x14ac:dyDescent="0.3">
      <c r="B43" s="13" t="s">
        <v>1</v>
      </c>
      <c r="C43" s="13" t="s">
        <v>2</v>
      </c>
      <c r="D43" s="13" t="s">
        <v>3</v>
      </c>
      <c r="E43" s="13" t="s">
        <v>4</v>
      </c>
      <c r="F43" s="13" t="s">
        <v>5</v>
      </c>
      <c r="H43" s="13" t="s">
        <v>1</v>
      </c>
      <c r="I43" s="13" t="s">
        <v>2</v>
      </c>
      <c r="J43" s="13" t="s">
        <v>3</v>
      </c>
      <c r="K43" s="13" t="s">
        <v>4</v>
      </c>
      <c r="L43" s="13" t="s">
        <v>5</v>
      </c>
    </row>
    <row r="44" spans="1:12" ht="12.75" customHeight="1" x14ac:dyDescent="0.35">
      <c r="B44" s="14">
        <v>2011</v>
      </c>
      <c r="C44" s="67"/>
      <c r="D44" s="67"/>
      <c r="E44" s="67"/>
      <c r="F44" s="50">
        <f>SUM(C44:E44)</f>
        <v>0</v>
      </c>
      <c r="H44" s="14">
        <v>2011</v>
      </c>
      <c r="I44" s="58">
        <f>IF($A$4=$R$1,IF($C$3="United States Dollar (USD)",C44,(C44*(SUMIFS(IMF!AO:AO,IMF!$D:$D,$E$1,IMF!$C:$C,$Q$1)/SUMIFS(IMF!AO:AO,IMF!$D:$D,$E$1,IMF!$C:$C,$P$1))))/1000,IF($A$4=$R$3,IF($C$3="United States Dollar (USD)",C44,(C44*(SUMIFS(IMF!AO:AO,IMF!$D:$D,$E$1,IMF!$C:$C,$Q$1)/SUMIFS(IMF!AO:AO,IMF!$D:$D,$E$1,IMF!$C:$C,$P$1))))*1000,IF($C$3="United States Dollar (USD)",C44,(C44*(SUMIFS(IMF!AO:AO,IMF!$D:$D,$E$1,IMF!$C:$C,$Q$1)/SUMIFS(IMF!AO:AO,IMF!$D:$D,$E$1,IMF!$C:$C,$P$1))))))</f>
        <v>0</v>
      </c>
      <c r="J44" s="58">
        <f>IF($A$4=$R$1,IF($C$3="United States Dollar (USD)",D44,(D44*(SUMIFS(IMF!AO:AO,IMF!$D:$D,$E$1,IMF!$C:$C,$Q$1)/SUMIFS(IMF!AO:AO,IMF!$D:$D,$E$1,IMF!$C:$C,$P$1))))/1000,IF($A$4=$R$3,IF($C$3="United States Dollar (USD)",D44,(D44*(SUMIFS(IMF!AO:AO,IMF!$D:$D,$E$1,IMF!$C:$C,$Q$1)/SUMIFS(IMF!AO:AO,IMF!$D:$D,$E$1,IMF!$C:$C,$P$1))))*1000,IF($C$3="United States Dollar (USD)",D44,(D44*(SUMIFS(IMF!AO:AO,IMF!$D:$D,$E$1,IMF!$C:$C,$Q$1)/SUMIFS(IMF!AO:AO,IMF!$D:$D,$E$1,IMF!$C:$C,$P$1))))))</f>
        <v>0</v>
      </c>
      <c r="K44" s="58">
        <f>IF($A$4=$R$1,IF($C$3="United States Dollar (USD)",E44,(E44*(SUMIFS(IMF!AO:AO,IMF!$D:$D,$E$1,IMF!$C:$C,$Q$1)/SUMIFS(IMF!AO:AO,IMF!$D:$D,$E$1,IMF!$C:$C,$P$1))))/1000,IF($A$4=$R$3,IF($C$3="United States Dollar (USD)",E44,(E44*(SUMIFS(IMF!AO:AO,IMF!$D:$D,$E$1,IMF!$C:$C,$Q$1)/SUMIFS(IMF!AO:AO,IMF!$D:$D,$E$1,IMF!$C:$C,$P$1))))*1000,IF($C$3="United States Dollar (USD)",E44,(E44*(SUMIFS(IMF!AO:AO,IMF!$D:$D,$E$1,IMF!$C:$C,$Q$1)/SUMIFS(IMF!AO:AO,IMF!$D:$D,$E$1,IMF!$C:$C,$P$1))))))</f>
        <v>0</v>
      </c>
      <c r="L44" s="59">
        <f>SUM(I44:K44)</f>
        <v>0</v>
      </c>
    </row>
    <row r="45" spans="1:12" ht="12.75" customHeight="1" x14ac:dyDescent="0.35">
      <c r="B45" s="14">
        <v>2012</v>
      </c>
      <c r="C45" s="67"/>
      <c r="D45" s="67"/>
      <c r="E45" s="67"/>
      <c r="F45" s="50">
        <f>SUM(C45:E45)</f>
        <v>0</v>
      </c>
      <c r="H45" s="14">
        <v>2012</v>
      </c>
      <c r="I45" s="58">
        <f>IF($A$4=$R$1,IF($C$3="United States Dollar (USD)",C45,(C45*(SUMIFS(IMF!AP:AP,IMF!$D:$D,$E$1,IMF!$C:$C,$Q$1)/SUMIFS(IMF!AP:AP,IMF!$D:$D,$E$1,IMF!$C:$C,$P$1))))/1000,IF($A$4=$R$3,IF($C$3="United States Dollar (USD)",C45,(C45*(SUMIFS(IMF!AP:AP,IMF!$D:$D,$E$1,IMF!$C:$C,$Q$1)/SUMIFS(IMF!AP:AP,IMF!$D:$D,$E$1,IMF!$C:$C,$P$1))))*1000,IF($C$3="United States Dollar (USD)",C45,(C45*(SUMIFS(IMF!AP:AP,IMF!$D:$D,$E$1,IMF!$C:$C,$Q$1)/SUMIFS(IMF!AP:AP,IMF!$D:$D,$E$1,IMF!$C:$C,$P$1))))))</f>
        <v>0</v>
      </c>
      <c r="J45" s="58">
        <f>IF($A$4=$R$1,IF($C$3="United States Dollar (USD)",D45,(D45*(SUMIFS(IMF!AP:AP,IMF!$D:$D,$E$1,IMF!$C:$C,$Q$1)/SUMIFS(IMF!AP:AP,IMF!$D:$D,$E$1,IMF!$C:$C,$P$1))))/1000,IF($A$4=$R$3,IF($C$3="United States Dollar (USD)",D45,(D45*(SUMIFS(IMF!AP:AP,IMF!$D:$D,$E$1,IMF!$C:$C,$Q$1)/SUMIFS(IMF!AP:AP,IMF!$D:$D,$E$1,IMF!$C:$C,$P$1))))*1000,IF($C$3="United States Dollar (USD)",D45,(D45*(SUMIFS(IMF!AP:AP,IMF!$D:$D,$E$1,IMF!$C:$C,$Q$1)/SUMIFS(IMF!AP:AP,IMF!$D:$D,$E$1,IMF!$C:$C,$P$1))))))</f>
        <v>0</v>
      </c>
      <c r="K45" s="58">
        <f>IF($A$4=$R$1,IF($C$3="United States Dollar (USD)",E45,(E45*(SUMIFS(IMF!AP:AP,IMF!$D:$D,$E$1,IMF!$C:$C,$Q$1)/SUMIFS(IMF!AP:AP,IMF!$D:$D,$E$1,IMF!$C:$C,$P$1))))/1000,IF($A$4=$R$3,IF($C$3="United States Dollar (USD)",E45,(E45*(SUMIFS(IMF!AP:AP,IMF!$D:$D,$E$1,IMF!$C:$C,$Q$1)/SUMIFS(IMF!AP:AP,IMF!$D:$D,$E$1,IMF!$C:$C,$P$1))))*1000,IF($C$3="United States Dollar (USD)",E45,(E45*(SUMIFS(IMF!AP:AP,IMF!$D:$D,$E$1,IMF!$C:$C,$Q$1)/SUMIFS(IMF!AP:AP,IMF!$D:$D,$E$1,IMF!$C:$C,$P$1))))))</f>
        <v>0</v>
      </c>
      <c r="L45" s="59">
        <f>SUM(I45:K45)</f>
        <v>0</v>
      </c>
    </row>
    <row r="46" spans="1:12" ht="12.75" customHeight="1" x14ac:dyDescent="0.35">
      <c r="B46" s="14">
        <v>2013</v>
      </c>
      <c r="C46" s="67"/>
      <c r="D46" s="67"/>
      <c r="E46" s="67"/>
      <c r="F46" s="50">
        <f>SUM(C46:E46)</f>
        <v>0</v>
      </c>
      <c r="H46" s="14">
        <v>2013</v>
      </c>
      <c r="I46" s="58">
        <f>IF($A$4=$R$1,IF($C$3="United States Dollar (USD)",C46,(C46*(SUMIFS(IMF!AQ:AQ,IMF!$D:$D,$E$1,IMF!$C:$C,$Q$1)/SUMIFS(IMF!AQ:AQ,IMF!$D:$D,$E$1,IMF!$C:$C,$P$1))))/1000,IF($A$4=$R$3,IF($C$3="United States Dollar (USD)",C46,(C46*(SUMIFS(IMF!AQ:AQ,IMF!$D:$D,$E$1,IMF!$C:$C,$Q$1)/SUMIFS(IMF!AQ:AQ,IMF!$D:$D,$E$1,IMF!$C:$C,$P$1))))*1000,IF($C$3="United States Dollar (USD)",C46,(C46*(SUMIFS(IMF!AQ:AQ,IMF!$D:$D,$E$1,IMF!$C:$C,$Q$1)/SUMIFS(IMF!AQ:AQ,IMF!$D:$D,$E$1,IMF!$C:$C,$P$1))))))</f>
        <v>0</v>
      </c>
      <c r="J46" s="58">
        <f>IF($A$4=$R$1,IF($C$3="United States Dollar (USD)",D46,(D46*(SUMIFS(IMF!AQ:AQ,IMF!$D:$D,$E$1,IMF!$C:$C,$Q$1)/SUMIFS(IMF!AQ:AQ,IMF!$D:$D,$E$1,IMF!$C:$C,$P$1))))/1000,IF($A$4=$R$3,IF($C$3="United States Dollar (USD)",D46,(D46*(SUMIFS(IMF!AQ:AQ,IMF!$D:$D,$E$1,IMF!$C:$C,$Q$1)/SUMIFS(IMF!AQ:AQ,IMF!$D:$D,$E$1,IMF!$C:$C,$P$1))))*1000,IF($C$3="United States Dollar (USD)",D46,(D46*(SUMIFS(IMF!AQ:AQ,IMF!$D:$D,$E$1,IMF!$C:$C,$Q$1)/SUMIFS(IMF!AQ:AQ,IMF!$D:$D,$E$1,IMF!$C:$C,$P$1))))))</f>
        <v>0</v>
      </c>
      <c r="K46" s="58">
        <f>IF($A$4=$R$1,IF($C$3="United States Dollar (USD)",E46,(E46*(SUMIFS(IMF!AQ:AQ,IMF!$D:$D,$E$1,IMF!$C:$C,$Q$1)/SUMIFS(IMF!AQ:AQ,IMF!$D:$D,$E$1,IMF!$C:$C,$P$1))))/1000,IF($A$4=$R$3,IF($C$3="United States Dollar (USD)",E46,(E46*(SUMIFS(IMF!AQ:AQ,IMF!$D:$D,$E$1,IMF!$C:$C,$Q$1)/SUMIFS(IMF!AQ:AQ,IMF!$D:$D,$E$1,IMF!$C:$C,$P$1))))*1000,IF($C$3="United States Dollar (USD)",E46,(E46*(SUMIFS(IMF!AQ:AQ,IMF!$D:$D,$E$1,IMF!$C:$C,$Q$1)/SUMIFS(IMF!AQ:AQ,IMF!$D:$D,$E$1,IMF!$C:$C,$P$1))))))</f>
        <v>0</v>
      </c>
      <c r="L46" s="59">
        <f>SUM(I46:K46)</f>
        <v>0</v>
      </c>
    </row>
    <row r="47" spans="1:12" ht="12.75" customHeight="1" x14ac:dyDescent="0.35">
      <c r="B47" s="14">
        <v>2014</v>
      </c>
      <c r="C47" s="67"/>
      <c r="D47" s="67"/>
      <c r="E47" s="67"/>
      <c r="F47" s="50">
        <f>SUM(C47:E47)</f>
        <v>0</v>
      </c>
      <c r="H47" s="14">
        <v>2014</v>
      </c>
      <c r="I47" s="58">
        <f>IF($A$4=$R$1,IF($C$3="United States Dollar (USD)",C47,(C47*(SUMIFS(IMF!AR:AR,IMF!$D:$D,$E$1,IMF!$C:$C,$Q$1)/SUMIFS(IMF!AR:AR,IMF!$D:$D,$E$1,IMF!$C:$C,$P$1))))/1000,IF($A$4=$R$3,IF($C$3="United States Dollar (USD)",C47,(C47*(SUMIFS(IMF!AR:AR,IMF!$D:$D,$E$1,IMF!$C:$C,$Q$1)/SUMIFS(IMF!AR:AR,IMF!$D:$D,$E$1,IMF!$C:$C,$P$1))))*1000,IF($C$3="United States Dollar (USD)",C47,(C47*(SUMIFS(IMF!AR:AR,IMF!$D:$D,$E$1,IMF!$C:$C,$Q$1)/SUMIFS(IMF!AR:AR,IMF!$D:$D,$E$1,IMF!$C:$C,$P$1))))))</f>
        <v>0</v>
      </c>
      <c r="J47" s="58">
        <f>IF($A$4=$R$1,IF($C$3="United States Dollar (USD)",D47,(D47*(SUMIFS(IMF!AR:AR,IMF!$D:$D,$E$1,IMF!$C:$C,$Q$1)/SUMIFS(IMF!AR:AR,IMF!$D:$D,$E$1,IMF!$C:$C,$P$1))))/1000,IF($A$4=$R$3,IF($C$3="United States Dollar (USD)",D47,(D47*(SUMIFS(IMF!AR:AR,IMF!$D:$D,$E$1,IMF!$C:$C,$Q$1)/SUMIFS(IMF!AR:AR,IMF!$D:$D,$E$1,IMF!$C:$C,$P$1))))*1000,IF($C$3="United States Dollar (USD)",D47,(D47*(SUMIFS(IMF!AR:AR,IMF!$D:$D,$E$1,IMF!$C:$C,$Q$1)/SUMIFS(IMF!AR:AR,IMF!$D:$D,$E$1,IMF!$C:$C,$P$1))))))</f>
        <v>0</v>
      </c>
      <c r="K47" s="58">
        <f>IF($A$4=$R$1,IF($C$3="United States Dollar (USD)",E47,(E47*(SUMIFS(IMF!AR:AR,IMF!$D:$D,$E$1,IMF!$C:$C,$Q$1)/SUMIFS(IMF!AR:AR,IMF!$D:$D,$E$1,IMF!$C:$C,$P$1))))/1000,IF($A$4=$R$3,IF($C$3="United States Dollar (USD)",E47,(E47*(SUMIFS(IMF!AR:AR,IMF!$D:$D,$E$1,IMF!$C:$C,$Q$1)/SUMIFS(IMF!AR:AR,IMF!$D:$D,$E$1,IMF!$C:$C,$P$1))))*1000,IF($C$3="United States Dollar (USD)",E47,(E47*(SUMIFS(IMF!AR:AR,IMF!$D:$D,$E$1,IMF!$C:$C,$Q$1)/SUMIFS(IMF!AR:AR,IMF!$D:$D,$E$1,IMF!$C:$C,$P$1))))))</f>
        <v>0</v>
      </c>
      <c r="L47" s="59">
        <f>SUM(I47:K47)</f>
        <v>0</v>
      </c>
    </row>
    <row r="48" spans="1:12" ht="12.75" customHeight="1" x14ac:dyDescent="0.35">
      <c r="B48" s="14">
        <v>2015</v>
      </c>
      <c r="C48" s="67"/>
      <c r="D48" s="67"/>
      <c r="E48" s="67"/>
      <c r="F48" s="50">
        <f>SUM(C48:E48)</f>
        <v>0</v>
      </c>
      <c r="H48" s="14">
        <v>2015</v>
      </c>
      <c r="I48" s="58">
        <f>IF($A$4=$R$1,IF($C$3="United States Dollar (USD)",C48,(C48*(SUMIFS(IMF!AS:AS,IMF!$D:$D,$E$1,IMF!$C:$C,$Q$1)/SUMIFS(IMF!AS:AS,IMF!$D:$D,$E$1,IMF!$C:$C,$P$1))))/1000,IF($A$4=$R$3,IF($C$3="United States Dollar (USD)",C48,(C48*(SUMIFS(IMF!AS:AS,IMF!$D:$D,$E$1,IMF!$C:$C,$Q$1)/SUMIFS(IMF!AS:AS,IMF!$D:$D,$E$1,IMF!$C:$C,$P$1))))*1000,IF($C$3="United States Dollar (USD)",C48,(C48*(SUMIFS(IMF!AS:AS,IMF!$D:$D,$E$1,IMF!$C:$C,$Q$1)/SUMIFS(IMF!AS:AS,IMF!$D:$D,$E$1,IMF!$C:$C,$P$1))))))</f>
        <v>0</v>
      </c>
      <c r="J48" s="58">
        <f>IF($A$4=$R$1,IF($C$3="United States Dollar (USD)",D48,(D48*(SUMIFS(IMF!AS:AS,IMF!$D:$D,$E$1,IMF!$C:$C,$Q$1)/SUMIFS(IMF!AS:AS,IMF!$D:$D,$E$1,IMF!$C:$C,$P$1))))/1000,IF($A$4=$R$3,IF($C$3="United States Dollar (USD)",D48,(D48*(SUMIFS(IMF!AS:AS,IMF!$D:$D,$E$1,IMF!$C:$C,$Q$1)/SUMIFS(IMF!AS:AS,IMF!$D:$D,$E$1,IMF!$C:$C,$P$1))))*1000,IF($C$3="United States Dollar (USD)",D48,(D48*(SUMIFS(IMF!AS:AS,IMF!$D:$D,$E$1,IMF!$C:$C,$Q$1)/SUMIFS(IMF!AS:AS,IMF!$D:$D,$E$1,IMF!$C:$C,$P$1))))))</f>
        <v>0</v>
      </c>
      <c r="K48" s="58">
        <f>IF($A$4=$R$1,IF($C$3="United States Dollar (USD)",E48,(E48*(SUMIFS(IMF!AS:AS,IMF!$D:$D,$E$1,IMF!$C:$C,$Q$1)/SUMIFS(IMF!AS:AS,IMF!$D:$D,$E$1,IMF!$C:$C,$P$1))))/1000,IF($A$4=$R$3,IF($C$3="United States Dollar (USD)",E48,(E48*(SUMIFS(IMF!AS:AS,IMF!$D:$D,$E$1,IMF!$C:$C,$Q$1)/SUMIFS(IMF!AS:AS,IMF!$D:$D,$E$1,IMF!$C:$C,$P$1))))*1000,IF($C$3="United States Dollar (USD)",E48,(E48*(SUMIFS(IMF!AS:AS,IMF!$D:$D,$E$1,IMF!$C:$C,$Q$1)/SUMIFS(IMF!AS:AS,IMF!$D:$D,$E$1,IMF!$C:$C,$P$1))))))</f>
        <v>0</v>
      </c>
      <c r="L48" s="59">
        <f>SUM(I48:K48)</f>
        <v>0</v>
      </c>
    </row>
    <row r="49" spans="1:1" ht="12.75" customHeight="1" x14ac:dyDescent="0.35">
      <c r="A49" s="7" t="s">
        <v>8</v>
      </c>
    </row>
    <row r="50" spans="1:1" ht="12.75" customHeight="1" x14ac:dyDescent="0.35">
      <c r="A50" s="3" t="s">
        <v>19</v>
      </c>
    </row>
    <row r="51" spans="1:1" ht="12.75" customHeight="1" x14ac:dyDescent="0.35">
      <c r="A51" s="7" t="s">
        <v>238</v>
      </c>
    </row>
    <row r="52" spans="1:1" ht="12.75" customHeight="1" x14ac:dyDescent="0.35">
      <c r="A52" s="2" t="s">
        <v>239</v>
      </c>
    </row>
    <row r="53" spans="1:1" ht="12.75" customHeight="1" x14ac:dyDescent="0.35">
      <c r="A53" s="2" t="s">
        <v>32</v>
      </c>
    </row>
    <row r="54" spans="1:1" ht="12.75" customHeight="1" x14ac:dyDescent="0.35">
      <c r="A54" s="2" t="s">
        <v>240</v>
      </c>
    </row>
    <row r="55" spans="1:1" ht="12.75" customHeight="1" x14ac:dyDescent="0.35">
      <c r="A55" s="7" t="s">
        <v>241</v>
      </c>
    </row>
    <row r="56" spans="1:1" ht="12.75" customHeight="1" x14ac:dyDescent="0.35">
      <c r="A56" s="2" t="s">
        <v>239</v>
      </c>
    </row>
    <row r="57" spans="1:1" ht="12.75" customHeight="1" x14ac:dyDescent="0.25">
      <c r="A57" s="2" t="s">
        <v>32</v>
      </c>
    </row>
    <row r="58" spans="1:1" ht="12.75" customHeight="1" x14ac:dyDescent="0.25">
      <c r="A58" s="2" t="s">
        <v>240</v>
      </c>
    </row>
    <row r="59" spans="1:1" ht="12.75" customHeight="1" x14ac:dyDescent="0.25">
      <c r="A59" s="7" t="s">
        <v>242</v>
      </c>
    </row>
    <row r="60" spans="1:1" ht="12.75" customHeight="1" x14ac:dyDescent="0.25">
      <c r="A60" s="2" t="s">
        <v>239</v>
      </c>
    </row>
    <row r="61" spans="1:1" ht="12.75" customHeight="1" x14ac:dyDescent="0.25">
      <c r="A61" s="2" t="s">
        <v>32</v>
      </c>
    </row>
    <row r="62" spans="1:1" ht="12.75" customHeight="1" x14ac:dyDescent="0.25">
      <c r="A62" s="2" t="s">
        <v>240</v>
      </c>
    </row>
    <row r="63" spans="1:1" ht="12.75" customHeight="1" x14ac:dyDescent="0.25">
      <c r="A63" s="11" t="s">
        <v>931</v>
      </c>
    </row>
    <row r="64" spans="1:1" ht="12.75" customHeight="1" x14ac:dyDescent="0.25">
      <c r="A64" s="2" t="s">
        <v>39</v>
      </c>
    </row>
    <row r="65" spans="1:2" ht="12.75" customHeight="1" x14ac:dyDescent="0.25">
      <c r="A65" s="2" t="s">
        <v>932</v>
      </c>
    </row>
    <row r="66" spans="1:2" ht="12.75" customHeight="1" x14ac:dyDescent="0.25">
      <c r="A66" s="2" t="s">
        <v>262</v>
      </c>
    </row>
    <row r="67" spans="1:2" ht="12.75" customHeight="1" thickBot="1" x14ac:dyDescent="0.3">
      <c r="A67" s="11" t="s">
        <v>933</v>
      </c>
    </row>
    <row r="68" spans="1:2" ht="12.75" customHeight="1" thickBot="1" x14ac:dyDescent="0.3">
      <c r="A68" s="11"/>
      <c r="B68" s="57"/>
    </row>
    <row r="69" spans="1:2" ht="12.75" customHeight="1" x14ac:dyDescent="0.25">
      <c r="A69" s="11"/>
    </row>
    <row r="70" spans="1:2" ht="12.75" customHeight="1" x14ac:dyDescent="0.25">
      <c r="A70" s="11" t="s">
        <v>21</v>
      </c>
    </row>
    <row r="71" spans="1:2" ht="12.75" customHeight="1" x14ac:dyDescent="0.25">
      <c r="A71" s="2" t="s">
        <v>22</v>
      </c>
    </row>
    <row r="72" spans="1:2" ht="12.75" customHeight="1" x14ac:dyDescent="0.25">
      <c r="A72" s="2" t="s">
        <v>23</v>
      </c>
      <c r="B72" s="2">
        <v>1</v>
      </c>
    </row>
    <row r="73" spans="1:2" ht="12.75" customHeight="1" thickBot="1" x14ac:dyDescent="0.3">
      <c r="A73" s="2" t="s">
        <v>24</v>
      </c>
      <c r="B73" s="2">
        <v>1</v>
      </c>
    </row>
    <row r="74" spans="1:2" ht="12.75" customHeight="1" thickBot="1" x14ac:dyDescent="0.3">
      <c r="A74" s="11" t="s">
        <v>933</v>
      </c>
      <c r="B74" s="57" t="s">
        <v>1114</v>
      </c>
    </row>
    <row r="75" spans="1:2" ht="12.75" customHeight="1" x14ac:dyDescent="0.25">
      <c r="A75" s="11"/>
    </row>
    <row r="76" spans="1:2" ht="12.75" customHeight="1" x14ac:dyDescent="0.25">
      <c r="A76" s="12" t="s">
        <v>25</v>
      </c>
    </row>
    <row r="77" spans="1:2" ht="12.75" customHeight="1" x14ac:dyDescent="0.25">
      <c r="A77" s="5" t="s">
        <v>26</v>
      </c>
    </row>
    <row r="78" spans="1:2" ht="12.75" customHeight="1" x14ac:dyDescent="0.25">
      <c r="A78" s="2" t="s">
        <v>22</v>
      </c>
    </row>
    <row r="79" spans="1:2" ht="12.75" customHeight="1" x14ac:dyDescent="0.25">
      <c r="A79" s="2" t="s">
        <v>27</v>
      </c>
      <c r="B79" s="2">
        <v>1</v>
      </c>
    </row>
    <row r="80" spans="1:2" ht="12.75" customHeight="1" x14ac:dyDescent="0.25">
      <c r="A80" s="2" t="s">
        <v>28</v>
      </c>
    </row>
    <row r="81" spans="1:9" ht="12.75" customHeight="1" x14ac:dyDescent="0.25">
      <c r="A81" s="11" t="s">
        <v>933</v>
      </c>
      <c r="B81" s="2" t="s">
        <v>1115</v>
      </c>
    </row>
    <row r="82" spans="1:9" ht="12.75" customHeight="1" x14ac:dyDescent="0.25">
      <c r="A82" s="11"/>
      <c r="B82" s="80"/>
    </row>
    <row r="83" spans="1:9" ht="12.75" customHeight="1" x14ac:dyDescent="0.25">
      <c r="A83" s="7" t="s">
        <v>29</v>
      </c>
    </row>
    <row r="84" spans="1:9" ht="12.75" customHeight="1" x14ac:dyDescent="0.25">
      <c r="A84" s="53" t="s">
        <v>927</v>
      </c>
    </row>
    <row r="85" spans="1:9" ht="12.75" customHeight="1" x14ac:dyDescent="0.25">
      <c r="A85" s="46" t="s">
        <v>922</v>
      </c>
      <c r="B85" s="2" t="s">
        <v>1109</v>
      </c>
      <c r="C85" s="2" t="s">
        <v>925</v>
      </c>
    </row>
    <row r="86" spans="1:9" ht="12.75" customHeight="1" x14ac:dyDescent="0.2">
      <c r="B86" s="13" t="s">
        <v>1</v>
      </c>
      <c r="C86" s="13" t="s">
        <v>30</v>
      </c>
      <c r="D86" s="13" t="s">
        <v>31</v>
      </c>
      <c r="E86" s="44" t="s">
        <v>239</v>
      </c>
      <c r="F86" s="44" t="s">
        <v>32</v>
      </c>
      <c r="G86" s="44" t="s">
        <v>240</v>
      </c>
      <c r="H86" s="13" t="s">
        <v>1</v>
      </c>
      <c r="I86" s="13" t="s">
        <v>30</v>
      </c>
    </row>
    <row r="87" spans="1:9" ht="12.75" customHeight="1" x14ac:dyDescent="0.25">
      <c r="B87" s="14">
        <v>2006</v>
      </c>
      <c r="C87" s="69">
        <v>1555957</v>
      </c>
      <c r="D87" s="13" t="s">
        <v>32</v>
      </c>
      <c r="E87" s="45" t="str">
        <f>IF($D87=E$86,1,"")</f>
        <v/>
      </c>
      <c r="F87" s="45">
        <f t="shared" ref="F87:G96" si="0">IF($D87=F$86,1,"")</f>
        <v>1</v>
      </c>
      <c r="G87" s="45" t="str">
        <f t="shared" si="0"/>
        <v/>
      </c>
      <c r="H87" s="14">
        <v>2006</v>
      </c>
      <c r="I87" s="58">
        <f>IF(C87="","",IF($A$85=$R$1,IF($C$85="United States Dollar (USD)",C87,(C87*(SUMIFS(IMF!AJ:AJ,IMF!$D:$D,$E$1,IMF!$C:$C,$Q$1)/SUMIFS(IMF!AJ:AJ,IMF!$D:$D,$E$1,IMF!$C:$C,$P$1))))/1000,IF($A$85=$R$3,IF($C$85="United States Dollar (USD)",C87,(C87*(SUMIFS(IMF!AJ:AJ,IMF!$D:$D,$E$1,IMF!$C:$C,$Q$1)/SUMIFS(IMF!AJ:AJ,IMF!$D:$D,$E$1,IMF!$C:$C,$P$1))))*1000,IF($C$85="United States Dollar (USD)",C87,(C87*(SUMIFS(IMF!AJ:AJ,IMF!$D:$D,$E$1,IMF!$C:$C,$Q$1)/SUMIFS(IMF!AJ:AJ,IMF!$D:$D,$E$1,IMF!$C:$C,$P$1)))))))</f>
        <v>1555957</v>
      </c>
    </row>
    <row r="88" spans="1:9" ht="12.75" customHeight="1" x14ac:dyDescent="0.25">
      <c r="B88" s="14">
        <v>2007</v>
      </c>
      <c r="C88" s="69">
        <v>8997100</v>
      </c>
      <c r="D88" s="13" t="s">
        <v>32</v>
      </c>
      <c r="E88" s="45" t="str">
        <f t="shared" ref="E88:E96" si="1">IF($D88=E$86,1,"")</f>
        <v/>
      </c>
      <c r="F88" s="45">
        <f t="shared" si="0"/>
        <v>1</v>
      </c>
      <c r="G88" s="45" t="str">
        <f t="shared" si="0"/>
        <v/>
      </c>
      <c r="H88" s="14">
        <v>2007</v>
      </c>
      <c r="I88" s="58">
        <f>IF(C88="","",IF($A$85=$R$1,IF($C$85="United States Dollar (USD)",C88,(C88*(SUMIFS(IMF!AK:AK,IMF!$D:$D,$E$1,IMF!$C:$C,$Q$1)/SUMIFS(IMF!AK:AK,IMF!$D:$D,$E$1,IMF!$C:$C,$P$1))))/1000,IF($A$85=$R$3,IF($C$85="United States Dollar (USD)",C88,(C88*(SUMIFS(IMF!AK:AK,IMF!$D:$D,$E$1,IMF!$C:$C,$Q$1)/SUMIFS(IMF!AK:AK,IMF!$D:$D,$E$1,IMF!$C:$C,$P$1))))*1000,IF($C$85="United States Dollar (USD)",C88,(C88*(SUMIFS(IMF!AK:AK,IMF!$D:$D,$E$1,IMF!$C:$C,$Q$1)/SUMIFS(IMF!AK:AK,IMF!$D:$D,$E$1,IMF!$C:$C,$P$1)))))))</f>
        <v>8997100</v>
      </c>
    </row>
    <row r="89" spans="1:9" ht="12.75" customHeight="1" x14ac:dyDescent="0.25">
      <c r="B89" s="14">
        <v>2008</v>
      </c>
      <c r="C89" s="69">
        <v>1240000</v>
      </c>
      <c r="D89" s="13" t="s">
        <v>32</v>
      </c>
      <c r="E89" s="45" t="str">
        <f t="shared" si="1"/>
        <v/>
      </c>
      <c r="F89" s="45">
        <f t="shared" si="0"/>
        <v>1</v>
      </c>
      <c r="G89" s="45" t="str">
        <f t="shared" si="0"/>
        <v/>
      </c>
      <c r="H89" s="14">
        <v>2008</v>
      </c>
      <c r="I89" s="58">
        <f>IF(C89="","",IF($A$85=$R$1,IF($C$85="United States Dollar (USD)",C89,(C89*(SUMIFS(IMF!AL:AL,IMF!$D:$D,$E$1,IMF!$C:$C,$Q$1)/SUMIFS(IMF!AL:AL,IMF!$D:$D,$E$1,IMF!$C:$C,$P$1))))/1000,IF($A$85=$R$3,IF($C$85="United States Dollar (USD)",C89,(C89*(SUMIFS(IMF!AL:AL,IMF!$D:$D,$E$1,IMF!$C:$C,$Q$1)/SUMIFS(IMF!AL:AL,IMF!$D:$D,$E$1,IMF!$C:$C,$P$1))))*1000,IF($C$85="United States Dollar (USD)",C89,(C89*(SUMIFS(IMF!AL:AL,IMF!$D:$D,$E$1,IMF!$C:$C,$Q$1)/SUMIFS(IMF!AL:AL,IMF!$D:$D,$E$1,IMF!$C:$C,$P$1)))))))</f>
        <v>1240000</v>
      </c>
    </row>
    <row r="90" spans="1:9" ht="12.75" customHeight="1" x14ac:dyDescent="0.25">
      <c r="B90" s="14">
        <v>2009</v>
      </c>
      <c r="C90" s="69">
        <v>2737800</v>
      </c>
      <c r="D90" s="13" t="s">
        <v>32</v>
      </c>
      <c r="E90" s="45" t="str">
        <f t="shared" si="1"/>
        <v/>
      </c>
      <c r="F90" s="45">
        <f t="shared" si="0"/>
        <v>1</v>
      </c>
      <c r="G90" s="45" t="str">
        <f t="shared" si="0"/>
        <v/>
      </c>
      <c r="H90" s="14">
        <v>2009</v>
      </c>
      <c r="I90" s="58">
        <f>IF(C90="","",IF($A$85=$R$1,IF($C$85="United States Dollar (USD)",C90,(C90*(SUMIFS(IMF!AM:AM,IMF!$D:$D,$E$1,IMF!$C:$C,$Q$1)/SUMIFS(IMF!AM:AM,IMF!$D:$D,$E$1,IMF!$C:$C,$P$1))))/1000,IF($A$85=$R$3,IF($C$85="United States Dollar (USD)",C90,(C90*(SUMIFS(IMF!AM:AM,IMF!$D:$D,$E$1,IMF!$C:$C,$Q$1)/SUMIFS(IMF!AM:AM,IMF!$D:$D,$E$1,IMF!$C:$C,$P$1))))*1000,IF($C$85="United States Dollar (USD)",C90,(C90*(SUMIFS(IMF!AM:AM,IMF!$D:$D,$E$1,IMF!$C:$C,$Q$1)/SUMIFS(IMF!AM:AM,IMF!$D:$D,$E$1,IMF!$C:$C,$P$1)))))))</f>
        <v>2737800</v>
      </c>
    </row>
    <row r="91" spans="1:9" ht="12.75" customHeight="1" x14ac:dyDescent="0.25">
      <c r="B91" s="14">
        <v>2010</v>
      </c>
      <c r="C91" s="69"/>
      <c r="D91" s="13" t="s">
        <v>32</v>
      </c>
      <c r="E91" s="45" t="str">
        <f t="shared" si="1"/>
        <v/>
      </c>
      <c r="F91" s="45">
        <f t="shared" si="0"/>
        <v>1</v>
      </c>
      <c r="G91" s="45" t="str">
        <f t="shared" si="0"/>
        <v/>
      </c>
      <c r="H91" s="14">
        <v>2010</v>
      </c>
      <c r="I91" s="58" t="str">
        <f>IF(C91="","",IF($A$85=$R$1,IF($C$85="United States Dollar (USD)",C91,(C91*(SUMIFS(IMF!AN:AN,IMF!$D:$D,$E$1,IMF!$C:$C,$Q$1)/SUMIFS(IMF!AN:AN,IMF!$D:$D,$E$1,IMF!$C:$C,$P$1))))/1000,IF($A$85=$R$3,IF($C$85="United States Dollar (USD)",C91,(C91*(SUMIFS(IMF!AN:AN,IMF!$D:$D,$E$1,IMF!$C:$C,$Q$1)/SUMIFS(IMF!AN:AN,IMF!$D:$D,$E$1,IMF!$C:$C,$P$1))))*1000,IF($C$85="United States Dollar (USD)",C91,(C91*(SUMIFS(IMF!AN:AN,IMF!$D:$D,$E$1,IMF!$C:$C,$Q$1)/SUMIFS(IMF!AN:AN,IMF!$D:$D,$E$1,IMF!$C:$C,$P$1)))))))</f>
        <v/>
      </c>
    </row>
    <row r="92" spans="1:9" ht="12.75" customHeight="1" x14ac:dyDescent="0.25">
      <c r="B92" s="14">
        <v>2011</v>
      </c>
      <c r="C92" s="69">
        <v>500000</v>
      </c>
      <c r="D92" s="13" t="s">
        <v>32</v>
      </c>
      <c r="E92" s="45" t="str">
        <f t="shared" si="1"/>
        <v/>
      </c>
      <c r="F92" s="45">
        <f t="shared" si="0"/>
        <v>1</v>
      </c>
      <c r="G92" s="45" t="str">
        <f t="shared" si="0"/>
        <v/>
      </c>
      <c r="H92" s="14">
        <v>2011</v>
      </c>
      <c r="I92" s="58">
        <f>IF(C92="","",IF($A$85=$R$1,IF($C$85="United States Dollar (USD)",C92,(C92*(SUMIFS(IMF!AO:AO,IMF!$D:$D,$E$1,IMF!$C:$C,$Q$1)/SUMIFS(IMF!AO:AO,IMF!$D:$D,$E$1,IMF!$C:$C,$P$1))))/1000,IF($A$85=$R$3,IF($C$85="United States Dollar (USD)",C92,(C92*(SUMIFS(IMF!AO:AO,IMF!$D:$D,$E$1,IMF!$C:$C,$Q$1)/SUMIFS(IMF!AO:AO,IMF!$D:$D,$E$1,IMF!$C:$C,$P$1))))*1000,IF($C$85="United States Dollar (USD)",C92,(C92*(SUMIFS(IMF!AO:AO,IMF!$D:$D,$E$1,IMF!$C:$C,$Q$1)/SUMIFS(IMF!AO:AO,IMF!$D:$D,$E$1,IMF!$C:$C,$P$1)))))))</f>
        <v>500000</v>
      </c>
    </row>
    <row r="93" spans="1:9" ht="12.75" customHeight="1" x14ac:dyDescent="0.25">
      <c r="B93" s="14">
        <v>2012</v>
      </c>
      <c r="C93" s="69">
        <v>1389000</v>
      </c>
      <c r="D93" s="13" t="s">
        <v>32</v>
      </c>
      <c r="E93" s="45" t="str">
        <f t="shared" si="1"/>
        <v/>
      </c>
      <c r="F93" s="45">
        <f t="shared" si="0"/>
        <v>1</v>
      </c>
      <c r="G93" s="45" t="str">
        <f t="shared" si="0"/>
        <v/>
      </c>
      <c r="H93" s="14">
        <v>2012</v>
      </c>
      <c r="I93" s="58">
        <f>IF(C93="","",IF($A$85=$R$1,IF($C$85="United States Dollar (USD)",C93,(C93*(SUMIFS(IMF!AP:AP,IMF!$D:$D,$E$1,IMF!$C:$C,$Q$1)/SUMIFS(IMF!AP:AP,IMF!$D:$D,$E$1,IMF!$C:$C,$P$1))))/1000,IF($A$85=$R$3,IF($C$85="United States Dollar (USD)",C93,(C93*(SUMIFS(IMF!AP:AP,IMF!$D:$D,$E$1,IMF!$C:$C,$Q$1)/SUMIFS(IMF!AP:AP,IMF!$D:$D,$E$1,IMF!$C:$C,$P$1))))*1000,IF($C$85="United States Dollar (USD)",C93,(C93*(SUMIFS(IMF!AP:AP,IMF!$D:$D,$E$1,IMF!$C:$C,$Q$1)/SUMIFS(IMF!AP:AP,IMF!$D:$D,$E$1,IMF!$C:$C,$P$1)))))))</f>
        <v>1389000</v>
      </c>
    </row>
    <row r="94" spans="1:9" ht="12.75" customHeight="1" x14ac:dyDescent="0.25">
      <c r="B94" s="14">
        <v>2013</v>
      </c>
      <c r="C94" s="69">
        <v>602466</v>
      </c>
      <c r="D94" s="13" t="s">
        <v>32</v>
      </c>
      <c r="E94" s="45" t="str">
        <f t="shared" si="1"/>
        <v/>
      </c>
      <c r="F94" s="45">
        <f t="shared" si="0"/>
        <v>1</v>
      </c>
      <c r="G94" s="45" t="str">
        <f t="shared" si="0"/>
        <v/>
      </c>
      <c r="H94" s="14">
        <v>2013</v>
      </c>
      <c r="I94" s="58">
        <f>IF(C94="","",IF($A$85=$R$1,IF($C$85="United States Dollar (USD)",C94,(C94*(SUMIFS(IMF!AQ:AQ,IMF!$D:$D,$E$1,IMF!$C:$C,$Q$1)/SUMIFS(IMF!AQ:AQ,IMF!$D:$D,$E$1,IMF!$C:$C,$P$1))))/1000,IF($A$85=$R$3,IF($C$85="United States Dollar (USD)",C94,(C94*(SUMIFS(IMF!AQ:AQ,IMF!$D:$D,$E$1,IMF!$C:$C,$Q$1)/SUMIFS(IMF!AQ:AQ,IMF!$D:$D,$E$1,IMF!$C:$C,$P$1))))*1000,IF($C$85="United States Dollar (USD)",C94,(C94*(SUMIFS(IMF!AQ:AQ,IMF!$D:$D,$E$1,IMF!$C:$C,$Q$1)/SUMIFS(IMF!AQ:AQ,IMF!$D:$D,$E$1,IMF!$C:$C,$P$1)))))))</f>
        <v>602466</v>
      </c>
    </row>
    <row r="95" spans="1:9" ht="12.75" customHeight="1" x14ac:dyDescent="0.25">
      <c r="B95" s="14">
        <v>2014</v>
      </c>
      <c r="C95" s="69">
        <v>8880320</v>
      </c>
      <c r="D95" s="13" t="s">
        <v>32</v>
      </c>
      <c r="E95" s="45" t="str">
        <f t="shared" si="1"/>
        <v/>
      </c>
      <c r="F95" s="45">
        <f t="shared" si="0"/>
        <v>1</v>
      </c>
      <c r="G95" s="45" t="str">
        <f t="shared" si="0"/>
        <v/>
      </c>
      <c r="H95" s="14">
        <v>2014</v>
      </c>
      <c r="I95" s="58">
        <f>IF(C95="","",IF($A$85=$R$1,IF($C$85="United States Dollar (USD)",C95,(C95*(SUMIFS(IMF!AR:AR,IMF!$D:$D,$E$1,IMF!$C:$C,$Q$1)/SUMIFS(IMF!AR:AR,IMF!$D:$D,$E$1,IMF!$C:$C,$P$1))))/1000,IF($A$85=$R$3,IF($C$85="United States Dollar (USD)",C95,(C95*(SUMIFS(IMF!AR:AR,IMF!$D:$D,$E$1,IMF!$C:$C,$Q$1)/SUMIFS(IMF!AR:AR,IMF!$D:$D,$E$1,IMF!$C:$C,$P$1))))*1000,IF($C$85="United States Dollar (USD)",C95,(C95*(SUMIFS(IMF!AR:AR,IMF!$D:$D,$E$1,IMF!$C:$C,$Q$1)/SUMIFS(IMF!AR:AR,IMF!$D:$D,$E$1,IMF!$C:$C,$P$1)))))))</f>
        <v>8880320</v>
      </c>
    </row>
    <row r="96" spans="1:9" ht="12.75" customHeight="1" x14ac:dyDescent="0.25">
      <c r="B96" s="14">
        <v>2015</v>
      </c>
      <c r="C96" s="69"/>
      <c r="D96" s="13"/>
      <c r="E96" s="45" t="str">
        <f t="shared" si="1"/>
        <v/>
      </c>
      <c r="F96" s="45" t="str">
        <f t="shared" si="0"/>
        <v/>
      </c>
      <c r="G96" s="45" t="str">
        <f t="shared" si="0"/>
        <v/>
      </c>
      <c r="H96" s="14">
        <v>2015</v>
      </c>
      <c r="I96" s="58" t="str">
        <f>IF(C96="","",IF($A$85=$R$1,IF($C$85="United States Dollar (USD)",C96,(C96*(SUMIFS(IMF!AS:AS,IMF!$D:$D,$E$1,IMF!$C:$C,$Q$1)/SUMIFS(IMF!AS:AS,IMF!$D:$D,$E$1,IMF!$C:$C,$P$1))))/1000,IF($A$85=$R$3,IF($C$85="United States Dollar (USD)",C96,(C96*(SUMIFS(IMF!AS:AS,IMF!$D:$D,$E$1,IMF!$C:$C,$Q$1)/SUMIFS(IMF!AS:AS,IMF!$D:$D,$E$1,IMF!$C:$C,$P$1))))*1000,IF($C$85="United States Dollar (USD)",C96,(C96*(SUMIFS(IMF!AS:AS,IMF!$D:$D,$E$1,IMF!$C:$C,$Q$1)/SUMIFS(IMF!AS:AS,IMF!$D:$D,$E$1,IMF!$C:$C,$P$1)))))))</f>
        <v/>
      </c>
    </row>
    <row r="97" spans="1:9" ht="12.75" customHeight="1" x14ac:dyDescent="0.2">
      <c r="B97" s="15" t="s">
        <v>33</v>
      </c>
      <c r="C97" s="49"/>
      <c r="D97" s="14"/>
      <c r="H97" s="15" t="s">
        <v>33</v>
      </c>
      <c r="I97" s="59">
        <f>AVERAGE(I87:I96)</f>
        <v>3237830.375</v>
      </c>
    </row>
    <row r="98" spans="1:9" ht="12.75" customHeight="1" x14ac:dyDescent="0.25">
      <c r="A98" s="7" t="s">
        <v>34</v>
      </c>
    </row>
    <row r="99" spans="1:9" ht="12.75" customHeight="1" x14ac:dyDescent="0.25">
      <c r="A99" s="1" t="s">
        <v>35</v>
      </c>
      <c r="B99" s="1" t="s">
        <v>36</v>
      </c>
      <c r="C99" s="1" t="s">
        <v>37</v>
      </c>
    </row>
    <row r="100" spans="1:9" ht="12.75" customHeight="1" x14ac:dyDescent="0.25">
      <c r="A100" s="16" t="s">
        <v>38</v>
      </c>
      <c r="B100" s="2">
        <v>1</v>
      </c>
      <c r="C100" s="2">
        <v>1</v>
      </c>
    </row>
    <row r="101" spans="1:9" ht="12.75" customHeight="1" x14ac:dyDescent="0.25">
      <c r="A101" s="16" t="s">
        <v>40</v>
      </c>
    </row>
    <row r="102" spans="1:9" ht="12.75" customHeight="1" x14ac:dyDescent="0.25">
      <c r="A102" s="16" t="s">
        <v>243</v>
      </c>
    </row>
    <row r="103" spans="1:9" ht="12.75" customHeight="1" x14ac:dyDescent="0.25">
      <c r="A103" s="16" t="s">
        <v>244</v>
      </c>
      <c r="B103" s="2">
        <v>1</v>
      </c>
      <c r="C103" s="2">
        <v>1</v>
      </c>
    </row>
    <row r="104" spans="1:9" ht="12.75" customHeight="1" x14ac:dyDescent="0.25">
      <c r="A104" s="16" t="s">
        <v>245</v>
      </c>
    </row>
    <row r="105" spans="1:9" ht="12.75" customHeight="1" x14ac:dyDescent="0.25">
      <c r="A105" s="16" t="s">
        <v>246</v>
      </c>
    </row>
    <row r="106" spans="1:9" ht="12.75" customHeight="1" x14ac:dyDescent="0.25">
      <c r="A106" s="16" t="s">
        <v>247</v>
      </c>
    </row>
    <row r="108" spans="1:9" ht="12.75" customHeight="1" x14ac:dyDescent="0.25">
      <c r="A108" s="7" t="s">
        <v>248</v>
      </c>
    </row>
    <row r="109" spans="1:9" ht="12.75" customHeight="1" x14ac:dyDescent="0.25">
      <c r="A109" s="7" t="s">
        <v>249</v>
      </c>
    </row>
    <row r="110" spans="1:9" ht="12.75" customHeight="1" x14ac:dyDescent="0.25">
      <c r="A110" s="16" t="s">
        <v>26</v>
      </c>
    </row>
    <row r="111" spans="1:9" ht="12.75" customHeight="1" x14ac:dyDescent="0.25">
      <c r="A111" s="16" t="s">
        <v>22</v>
      </c>
      <c r="B111" s="2">
        <v>1</v>
      </c>
    </row>
    <row r="112" spans="1:9" ht="12.75" customHeight="1" x14ac:dyDescent="0.25">
      <c r="A112" s="16" t="s">
        <v>27</v>
      </c>
    </row>
    <row r="113" spans="1:6" ht="12.75" customHeight="1" x14ac:dyDescent="0.25">
      <c r="A113" s="16" t="s">
        <v>28</v>
      </c>
    </row>
    <row r="114" spans="1:6" ht="12.75" customHeight="1" thickBot="1" x14ac:dyDescent="0.3">
      <c r="A114" s="11" t="s">
        <v>933</v>
      </c>
    </row>
    <row r="115" spans="1:6" ht="12.75" customHeight="1" thickBot="1" x14ac:dyDescent="0.3">
      <c r="A115" s="11"/>
      <c r="B115" s="57"/>
    </row>
    <row r="116" spans="1:6" ht="12.75" customHeight="1" x14ac:dyDescent="0.25">
      <c r="A116" s="7" t="s">
        <v>250</v>
      </c>
      <c r="B116" s="2" t="s">
        <v>1109</v>
      </c>
      <c r="C116" s="2" t="s">
        <v>925</v>
      </c>
    </row>
    <row r="117" spans="1:6" ht="25.5" x14ac:dyDescent="0.25">
      <c r="A117" s="16" t="str">
        <f>A84</f>
        <v>Local currency</v>
      </c>
      <c r="B117" s="13" t="s">
        <v>1</v>
      </c>
      <c r="C117" s="13" t="s">
        <v>251</v>
      </c>
      <c r="D117" s="13" t="s">
        <v>252</v>
      </c>
      <c r="E117" s="13" t="s">
        <v>253</v>
      </c>
      <c r="F117" s="13" t="s">
        <v>254</v>
      </c>
    </row>
    <row r="118" spans="1:6" ht="12.75" customHeight="1" x14ac:dyDescent="0.25">
      <c r="A118" s="46" t="s">
        <v>920</v>
      </c>
      <c r="B118" s="14">
        <v>2014</v>
      </c>
      <c r="C118" s="81"/>
      <c r="D118" s="81"/>
      <c r="E118" s="81">
        <f>C118-D118</f>
        <v>0</v>
      </c>
      <c r="F118" s="14"/>
    </row>
    <row r="119" spans="1:6" ht="12.75" customHeight="1" x14ac:dyDescent="0.25">
      <c r="B119" s="14">
        <v>2015</v>
      </c>
      <c r="C119" s="81"/>
      <c r="D119" s="81"/>
      <c r="E119" s="81">
        <f t="shared" ref="E119:E124" si="2">C119-D119</f>
        <v>0</v>
      </c>
      <c r="F119" s="14"/>
    </row>
    <row r="120" spans="1:6" ht="12.75" customHeight="1" x14ac:dyDescent="0.25">
      <c r="B120" s="14">
        <v>2016</v>
      </c>
      <c r="C120" s="81"/>
      <c r="D120" s="81"/>
      <c r="E120" s="81">
        <f t="shared" si="2"/>
        <v>0</v>
      </c>
      <c r="F120" s="14"/>
    </row>
    <row r="121" spans="1:6" ht="12.75" customHeight="1" x14ac:dyDescent="0.25">
      <c r="B121" s="14">
        <v>2017</v>
      </c>
      <c r="C121" s="81"/>
      <c r="D121" s="81"/>
      <c r="E121" s="81">
        <f t="shared" si="2"/>
        <v>0</v>
      </c>
      <c r="F121" s="14"/>
    </row>
    <row r="122" spans="1:6" ht="12.75" customHeight="1" x14ac:dyDescent="0.25">
      <c r="B122" s="14">
        <v>2018</v>
      </c>
      <c r="C122" s="81"/>
      <c r="D122" s="81"/>
      <c r="E122" s="81">
        <f t="shared" si="2"/>
        <v>0</v>
      </c>
      <c r="F122" s="14"/>
    </row>
    <row r="123" spans="1:6" ht="12.75" customHeight="1" x14ac:dyDescent="0.25">
      <c r="B123" s="14">
        <v>2019</v>
      </c>
      <c r="C123" s="81"/>
      <c r="D123" s="81"/>
      <c r="E123" s="81">
        <f t="shared" si="2"/>
        <v>0</v>
      </c>
      <c r="F123" s="14"/>
    </row>
    <row r="124" spans="1:6" ht="12.75" customHeight="1" x14ac:dyDescent="0.25">
      <c r="B124" s="14">
        <v>2020</v>
      </c>
      <c r="C124" s="81"/>
      <c r="D124" s="81"/>
      <c r="E124" s="81">
        <f t="shared" si="2"/>
        <v>0</v>
      </c>
      <c r="F124" s="14"/>
    </row>
    <row r="126" spans="1:6" ht="12.75" customHeight="1" x14ac:dyDescent="0.25">
      <c r="A126" s="7" t="s">
        <v>255</v>
      </c>
    </row>
    <row r="127" spans="1:6" ht="12.75" customHeight="1" x14ac:dyDescent="0.25">
      <c r="A127" s="14" t="str">
        <f>A84</f>
        <v>Local currency</v>
      </c>
    </row>
    <row r="128" spans="1:6" ht="12.75" customHeight="1" x14ac:dyDescent="0.25">
      <c r="A128" s="46" t="s">
        <v>1108</v>
      </c>
      <c r="B128" s="2" t="s">
        <v>1109</v>
      </c>
      <c r="C128" s="2" t="s">
        <v>925</v>
      </c>
    </row>
    <row r="129" spans="1:8" ht="12.75" customHeight="1" x14ac:dyDescent="0.2">
      <c r="A129" s="17"/>
      <c r="B129" s="18">
        <v>2014</v>
      </c>
      <c r="C129" s="18">
        <v>2015</v>
      </c>
      <c r="D129" s="18">
        <v>2016</v>
      </c>
      <c r="E129" s="18">
        <v>2017</v>
      </c>
      <c r="F129" s="18">
        <v>2018</v>
      </c>
      <c r="G129" s="18">
        <v>2019</v>
      </c>
      <c r="H129" s="18">
        <v>2020</v>
      </c>
    </row>
    <row r="130" spans="1:8" ht="12.75" customHeight="1" x14ac:dyDescent="0.2">
      <c r="A130" s="14" t="s">
        <v>256</v>
      </c>
      <c r="B130" s="14">
        <v>0</v>
      </c>
      <c r="C130" s="14">
        <v>0</v>
      </c>
      <c r="D130" s="14">
        <v>0</v>
      </c>
      <c r="E130" s="14">
        <v>0</v>
      </c>
      <c r="F130" s="14">
        <v>0</v>
      </c>
      <c r="G130" s="14">
        <v>0</v>
      </c>
      <c r="H130" s="14">
        <v>0</v>
      </c>
    </row>
    <row r="131" spans="1:8" ht="12.75" customHeight="1" x14ac:dyDescent="0.2">
      <c r="A131" s="14" t="s">
        <v>257</v>
      </c>
      <c r="B131" s="14">
        <v>0</v>
      </c>
      <c r="C131" s="14">
        <v>0</v>
      </c>
      <c r="D131" s="14">
        <v>0</v>
      </c>
      <c r="E131" s="14">
        <v>0</v>
      </c>
      <c r="F131" s="14">
        <v>0</v>
      </c>
      <c r="G131" s="14">
        <v>0</v>
      </c>
      <c r="H131" s="14">
        <v>0</v>
      </c>
    </row>
    <row r="132" spans="1:8" ht="12.75" customHeight="1" x14ac:dyDescent="0.2">
      <c r="A132" s="14"/>
      <c r="B132" s="14">
        <v>0</v>
      </c>
      <c r="C132" s="14">
        <v>0</v>
      </c>
      <c r="D132" s="14"/>
      <c r="E132" s="14"/>
      <c r="F132" s="14"/>
      <c r="G132" s="14"/>
      <c r="H132" s="14"/>
    </row>
    <row r="133" spans="1:8" ht="12.75" customHeight="1" x14ac:dyDescent="0.2">
      <c r="A133" s="14" t="s">
        <v>258</v>
      </c>
      <c r="B133" s="14">
        <v>0</v>
      </c>
      <c r="C133" s="14">
        <v>0</v>
      </c>
      <c r="D133" s="14">
        <v>0</v>
      </c>
      <c r="E133" s="14">
        <v>0</v>
      </c>
      <c r="F133" s="14">
        <v>0</v>
      </c>
      <c r="G133" s="14">
        <v>0</v>
      </c>
      <c r="H133" s="14">
        <v>0</v>
      </c>
    </row>
    <row r="134" spans="1:8" ht="12.75" customHeight="1" x14ac:dyDescent="0.2">
      <c r="A134" s="14"/>
      <c r="B134" s="14">
        <v>0</v>
      </c>
      <c r="C134" s="14">
        <v>0</v>
      </c>
      <c r="D134" s="14"/>
      <c r="E134" s="14"/>
      <c r="F134" s="14"/>
      <c r="G134" s="14"/>
      <c r="H134" s="14"/>
    </row>
    <row r="135" spans="1:8" ht="12.75" customHeight="1" x14ac:dyDescent="0.2">
      <c r="A135" s="14" t="s">
        <v>259</v>
      </c>
      <c r="B135" s="14">
        <v>0</v>
      </c>
      <c r="C135" s="14">
        <v>0</v>
      </c>
      <c r="D135" s="14">
        <v>0</v>
      </c>
      <c r="E135" s="14">
        <v>0</v>
      </c>
      <c r="F135" s="14">
        <v>0</v>
      </c>
      <c r="G135" s="14">
        <v>0</v>
      </c>
      <c r="H135" s="14">
        <v>0</v>
      </c>
    </row>
    <row r="137" spans="1:8" ht="12.75" customHeight="1" x14ac:dyDescent="0.25">
      <c r="A137" s="7" t="s">
        <v>260</v>
      </c>
    </row>
    <row r="138" spans="1:8" ht="12.75" customHeight="1" x14ac:dyDescent="0.25">
      <c r="A138" s="16" t="s">
        <v>39</v>
      </c>
    </row>
    <row r="139" spans="1:8" ht="12.75" customHeight="1" x14ac:dyDescent="0.25">
      <c r="A139" s="16" t="s">
        <v>261</v>
      </c>
    </row>
    <row r="140" spans="1:8" ht="12.75" customHeight="1" x14ac:dyDescent="0.25">
      <c r="A140" s="16" t="s">
        <v>262</v>
      </c>
    </row>
    <row r="141" spans="1:8" ht="12.75" customHeight="1" thickBot="1" x14ac:dyDescent="0.3">
      <c r="A141" s="11" t="s">
        <v>933</v>
      </c>
    </row>
    <row r="142" spans="1:8" ht="12.75" customHeight="1" thickBot="1" x14ac:dyDescent="0.3">
      <c r="A142" s="11"/>
      <c r="B142" s="57"/>
    </row>
    <row r="143" spans="1:8" ht="12.75" customHeight="1" x14ac:dyDescent="0.25">
      <c r="A143" s="7" t="s">
        <v>263</v>
      </c>
    </row>
    <row r="144" spans="1:8" ht="12.75" customHeight="1" x14ac:dyDescent="0.25">
      <c r="A144" s="3" t="s">
        <v>264</v>
      </c>
    </row>
    <row r="145" spans="1:2" ht="12.75" customHeight="1" x14ac:dyDescent="0.25">
      <c r="A145" s="3" t="s">
        <v>265</v>
      </c>
    </row>
    <row r="146" spans="1:2" ht="12.75" customHeight="1" x14ac:dyDescent="0.25">
      <c r="A146" s="3" t="s">
        <v>41</v>
      </c>
      <c r="B146" s="2">
        <v>1</v>
      </c>
    </row>
    <row r="147" spans="1:2" ht="12.75" customHeight="1" x14ac:dyDescent="0.25">
      <c r="A147" s="3" t="s">
        <v>39</v>
      </c>
    </row>
    <row r="148" spans="1:2" ht="12.75" customHeight="1" x14ac:dyDescent="0.25">
      <c r="A148" s="3" t="s">
        <v>266</v>
      </c>
    </row>
    <row r="149" spans="1:2" ht="12.75" customHeight="1" x14ac:dyDescent="0.25">
      <c r="A149" s="3" t="s">
        <v>41</v>
      </c>
    </row>
    <row r="150" spans="1:2" ht="12.75" customHeight="1" x14ac:dyDescent="0.25">
      <c r="A150" s="3" t="s">
        <v>39</v>
      </c>
      <c r="B150" s="2">
        <v>1</v>
      </c>
    </row>
    <row r="151" spans="1:2" ht="12.75" customHeight="1" x14ac:dyDescent="0.25">
      <c r="A151" s="3" t="s">
        <v>267</v>
      </c>
    </row>
    <row r="152" spans="1:2" ht="12.75" customHeight="1" x14ac:dyDescent="0.25">
      <c r="A152" s="3" t="s">
        <v>41</v>
      </c>
    </row>
    <row r="153" spans="1:2" ht="12.75" customHeight="1" x14ac:dyDescent="0.25">
      <c r="A153" s="3" t="s">
        <v>39</v>
      </c>
      <c r="B153" s="2">
        <v>1</v>
      </c>
    </row>
  </sheetData>
  <mergeCells count="2">
    <mergeCell ref="A1:B1"/>
    <mergeCell ref="H1:L1"/>
  </mergeCells>
  <conditionalFormatting sqref="B18">
    <cfRule type="expression" dxfId="2" priority="3">
      <formula>IF(B17=1,B18=0)</formula>
    </cfRule>
  </conditionalFormatting>
  <conditionalFormatting sqref="B14:B15">
    <cfRule type="expression" dxfId="1" priority="2">
      <formula>IF(B13=1,B14=0)</formula>
    </cfRule>
  </conditionalFormatting>
  <conditionalFormatting sqref="B17">
    <cfRule type="expression" dxfId="0" priority="1">
      <formula>IF(B16=1,B17=0)</formula>
    </cfRule>
  </conditionalFormatting>
  <dataValidations count="5">
    <dataValidation type="list" allowBlank="1" showInputMessage="1" showErrorMessage="1" sqref="A3 A84">
      <formula1>Currency</formula1>
    </dataValidation>
    <dataValidation type="list" allowBlank="1" showInputMessage="1" showErrorMessage="1" sqref="D87:D96">
      <formula1>confidence</formula1>
    </dataValidation>
    <dataValidation type="whole" operator="equal" allowBlank="1" showInputMessage="1" showErrorMessage="1" error="Only 1 can be entered if applicable" promptTitle="Enter 1 for selection" sqref="B138:B142 B31:B33 B20:B21 C110:C114 B23:B24 B35:B37 B39:B41 B52:B54 B56:B58 B60:B69 B152:B153 B100:C106 B17:B18 B110:B115 B146:B147 B149:B150 B71:B74 B77:B80">
      <formula1>1</formula1>
    </dataValidation>
    <dataValidation type="list" allowBlank="1" showInputMessage="1" showErrorMessage="1" sqref="A4 A85 A118 A128">
      <formula1>values</formula1>
    </dataValidation>
    <dataValidation type="list" showErrorMessage="1" error="Only values from the list can be accepted" promptTitle="Note:" prompt="Please click on the down arrow on the right side of the cell and select a value from the list below" sqref="E1">
      <formula1>Countries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Drop Down 1">
              <controlPr defaultSize="0" autoLine="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26" r:id="rId5" name="Drop Down 2">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27" r:id="rId6" name="Drop Down 3">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28" r:id="rId7" name="Drop Down 4">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29" r:id="rId8" name="Drop Down 5">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30" r:id="rId9" name="Drop Down 6">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31" r:id="rId10" name="Drop Down 7">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32" r:id="rId11" name="Drop Down 8">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33" r:id="rId12" name="Drop Down 9">
              <controlPr defaultSize="0" autoFill="0" autoPict="0">
                <anchor moveWithCells="1">
                  <from>
                    <xdr:col>7</xdr:col>
                    <xdr:colOff>19050</xdr:colOff>
                    <xdr:row>3</xdr:row>
                    <xdr:rowOff>0</xdr:rowOff>
                  </from>
                  <to>
                    <xdr:col>8</xdr:col>
                    <xdr:colOff>9525</xdr:colOff>
                    <xdr:row>3</xdr:row>
                    <xdr:rowOff>95250</xdr:rowOff>
                  </to>
                </anchor>
              </controlPr>
            </control>
          </mc:Choice>
        </mc:AlternateContent>
        <mc:AlternateContent xmlns:mc="http://schemas.openxmlformats.org/markup-compatibility/2006">
          <mc:Choice Requires="x14">
            <control shapeId="52234" r:id="rId13" name="Drop Down 10">
              <controlPr defaultSize="0" autoFill="0" autoPict="0">
                <anchor moveWithCells="1">
                  <from>
                    <xdr:col>7</xdr:col>
                    <xdr:colOff>285750</xdr:colOff>
                    <xdr:row>3</xdr:row>
                    <xdr:rowOff>0</xdr:rowOff>
                  </from>
                  <to>
                    <xdr:col>8</xdr:col>
                    <xdr:colOff>304800</xdr:colOff>
                    <xdr:row>3</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Y948"/>
  <sheetViews>
    <sheetView workbookViewId="0">
      <pane xSplit="9" ySplit="1" topLeftCell="AF188" activePane="bottomRight" state="frozen"/>
      <selection activeCell="C4" sqref="C4"/>
      <selection pane="topRight" activeCell="C4" sqref="C4"/>
      <selection pane="bottomLeft" activeCell="C4" sqref="C4"/>
      <selection pane="bottomRight" activeCell="D1" sqref="D1:D1048576"/>
    </sheetView>
  </sheetViews>
  <sheetFormatPr defaultRowHeight="15" x14ac:dyDescent="0.25"/>
  <sheetData>
    <row r="1" spans="1:51" s="20" customFormat="1" ht="14.45" x14ac:dyDescent="0.35">
      <c r="A1" s="20" t="s">
        <v>268</v>
      </c>
      <c r="B1" s="20" t="s">
        <v>269</v>
      </c>
      <c r="C1" s="20" t="s">
        <v>270</v>
      </c>
      <c r="D1" s="20" t="s">
        <v>271</v>
      </c>
      <c r="E1" s="20" t="s">
        <v>272</v>
      </c>
      <c r="F1" s="20" t="s">
        <v>273</v>
      </c>
      <c r="G1" s="20" t="s">
        <v>274</v>
      </c>
      <c r="H1" s="20" t="s">
        <v>275</v>
      </c>
      <c r="I1" s="20" t="s">
        <v>276</v>
      </c>
      <c r="J1" s="20">
        <v>1980</v>
      </c>
      <c r="K1" s="20">
        <v>1981</v>
      </c>
      <c r="L1" s="20">
        <v>1982</v>
      </c>
      <c r="M1" s="20">
        <v>1983</v>
      </c>
      <c r="N1" s="20">
        <v>1984</v>
      </c>
      <c r="O1" s="20">
        <v>1985</v>
      </c>
      <c r="P1" s="20">
        <v>1986</v>
      </c>
      <c r="Q1" s="20">
        <v>1987</v>
      </c>
      <c r="R1" s="20">
        <v>1988</v>
      </c>
      <c r="S1" s="20">
        <v>1989</v>
      </c>
      <c r="T1" s="20">
        <v>1990</v>
      </c>
      <c r="U1" s="20">
        <v>1991</v>
      </c>
      <c r="V1" s="20">
        <v>1992</v>
      </c>
      <c r="W1" s="20">
        <v>1993</v>
      </c>
      <c r="X1" s="20">
        <v>1994</v>
      </c>
      <c r="Y1" s="20">
        <v>1995</v>
      </c>
      <c r="Z1" s="20">
        <v>1996</v>
      </c>
      <c r="AA1" s="20">
        <v>1997</v>
      </c>
      <c r="AB1" s="20">
        <v>1998</v>
      </c>
      <c r="AC1" s="20">
        <v>1999</v>
      </c>
      <c r="AD1" s="20">
        <v>2000</v>
      </c>
      <c r="AE1" s="20">
        <v>2001</v>
      </c>
      <c r="AF1" s="20">
        <v>2002</v>
      </c>
      <c r="AG1" s="20">
        <v>2003</v>
      </c>
      <c r="AH1" s="20">
        <v>2004</v>
      </c>
      <c r="AI1" s="20">
        <v>2005</v>
      </c>
      <c r="AJ1" s="20">
        <v>2006</v>
      </c>
      <c r="AK1" s="20">
        <v>2007</v>
      </c>
      <c r="AL1" s="20">
        <v>2008</v>
      </c>
      <c r="AM1" s="20">
        <v>2009</v>
      </c>
      <c r="AN1" s="20">
        <v>2010</v>
      </c>
      <c r="AO1" s="20">
        <v>2011</v>
      </c>
      <c r="AP1" s="20">
        <v>2012</v>
      </c>
      <c r="AQ1" s="20">
        <v>2013</v>
      </c>
      <c r="AR1" s="20">
        <v>2014</v>
      </c>
      <c r="AS1" s="20">
        <v>2015</v>
      </c>
      <c r="AT1" s="20">
        <v>2016</v>
      </c>
      <c r="AU1" s="20">
        <v>2017</v>
      </c>
      <c r="AV1" s="20">
        <v>2018</v>
      </c>
      <c r="AW1" s="20">
        <v>2019</v>
      </c>
      <c r="AX1" s="20">
        <v>2020</v>
      </c>
      <c r="AY1" s="20" t="s">
        <v>277</v>
      </c>
    </row>
    <row r="2" spans="1:51" ht="14.45" x14ac:dyDescent="0.35">
      <c r="A2">
        <v>512</v>
      </c>
      <c r="B2" t="s">
        <v>278</v>
      </c>
      <c r="C2" t="s">
        <v>279</v>
      </c>
      <c r="D2" t="s">
        <v>45</v>
      </c>
      <c r="E2" t="s">
        <v>280</v>
      </c>
      <c r="F2" t="s">
        <v>281</v>
      </c>
      <c r="G2" t="s">
        <v>282</v>
      </c>
      <c r="H2" t="s">
        <v>283</v>
      </c>
      <c r="I2" t="s">
        <v>284</v>
      </c>
      <c r="J2" t="s">
        <v>285</v>
      </c>
      <c r="K2" t="s">
        <v>285</v>
      </c>
      <c r="L2" t="s">
        <v>285</v>
      </c>
      <c r="M2" t="s">
        <v>285</v>
      </c>
      <c r="N2" t="s">
        <v>285</v>
      </c>
      <c r="O2" t="s">
        <v>285</v>
      </c>
      <c r="P2" t="s">
        <v>285</v>
      </c>
      <c r="Q2" t="s">
        <v>285</v>
      </c>
      <c r="R2" t="s">
        <v>285</v>
      </c>
      <c r="S2" t="s">
        <v>285</v>
      </c>
      <c r="T2" t="s">
        <v>285</v>
      </c>
      <c r="U2" t="s">
        <v>285</v>
      </c>
      <c r="V2" t="s">
        <v>285</v>
      </c>
      <c r="W2" t="s">
        <v>285</v>
      </c>
      <c r="X2" t="s">
        <v>285</v>
      </c>
      <c r="Y2" t="s">
        <v>285</v>
      </c>
      <c r="Z2" t="s">
        <v>285</v>
      </c>
      <c r="AA2" t="s">
        <v>285</v>
      </c>
      <c r="AB2" t="s">
        <v>285</v>
      </c>
      <c r="AC2" t="s">
        <v>285</v>
      </c>
      <c r="AD2" t="s">
        <v>285</v>
      </c>
      <c r="AE2" t="s">
        <v>285</v>
      </c>
      <c r="AF2">
        <v>182.84200000000001</v>
      </c>
      <c r="AG2">
        <v>198.73599999999999</v>
      </c>
      <c r="AH2">
        <v>200.06899999999999</v>
      </c>
      <c r="AI2">
        <v>223.73699999999999</v>
      </c>
      <c r="AJ2">
        <v>235.73099999999999</v>
      </c>
      <c r="AK2">
        <v>267.17700000000002</v>
      </c>
      <c r="AL2">
        <v>277.49799999999999</v>
      </c>
      <c r="AM2">
        <v>334.62099999999998</v>
      </c>
      <c r="AN2">
        <v>362.85700000000003</v>
      </c>
      <c r="AO2">
        <v>386.36799999999999</v>
      </c>
      <c r="AP2">
        <v>440.33600000000001</v>
      </c>
      <c r="AQ2">
        <v>457.654</v>
      </c>
      <c r="AR2">
        <v>463.52</v>
      </c>
      <c r="AS2">
        <v>472.98099999999999</v>
      </c>
      <c r="AT2">
        <v>487.09699999999998</v>
      </c>
      <c r="AU2">
        <v>506.495</v>
      </c>
      <c r="AV2">
        <v>531.70600000000002</v>
      </c>
      <c r="AW2">
        <v>563.69399999999996</v>
      </c>
      <c r="AX2">
        <v>597.55899999999997</v>
      </c>
      <c r="AY2">
        <v>2013</v>
      </c>
    </row>
    <row r="3" spans="1:51" ht="14.45" x14ac:dyDescent="0.35">
      <c r="A3">
        <v>512</v>
      </c>
      <c r="B3" t="s">
        <v>278</v>
      </c>
      <c r="C3" t="s">
        <v>286</v>
      </c>
      <c r="D3" t="s">
        <v>45</v>
      </c>
      <c r="E3" t="s">
        <v>287</v>
      </c>
      <c r="F3" t="s">
        <v>288</v>
      </c>
      <c r="G3" t="s">
        <v>282</v>
      </c>
      <c r="H3" t="s">
        <v>283</v>
      </c>
      <c r="I3" t="s">
        <v>284</v>
      </c>
      <c r="J3" t="s">
        <v>285</v>
      </c>
      <c r="K3" t="s">
        <v>285</v>
      </c>
      <c r="L3" t="s">
        <v>285</v>
      </c>
      <c r="M3" t="s">
        <v>285</v>
      </c>
      <c r="N3" t="s">
        <v>285</v>
      </c>
      <c r="O3" t="s">
        <v>285</v>
      </c>
      <c r="P3" t="s">
        <v>285</v>
      </c>
      <c r="Q3" t="s">
        <v>285</v>
      </c>
      <c r="R3" t="s">
        <v>285</v>
      </c>
      <c r="S3" t="s">
        <v>285</v>
      </c>
      <c r="T3" t="s">
        <v>285</v>
      </c>
      <c r="U3" t="s">
        <v>285</v>
      </c>
      <c r="V3" t="s">
        <v>285</v>
      </c>
      <c r="W3" t="s">
        <v>285</v>
      </c>
      <c r="X3" t="s">
        <v>285</v>
      </c>
      <c r="Y3" t="s">
        <v>285</v>
      </c>
      <c r="Z3" t="s">
        <v>285</v>
      </c>
      <c r="AA3" t="s">
        <v>285</v>
      </c>
      <c r="AB3" t="s">
        <v>285</v>
      </c>
      <c r="AC3" t="s">
        <v>285</v>
      </c>
      <c r="AD3" t="s">
        <v>285</v>
      </c>
      <c r="AE3" t="s">
        <v>285</v>
      </c>
      <c r="AF3">
        <v>178.756</v>
      </c>
      <c r="AG3">
        <v>220.01300000000001</v>
      </c>
      <c r="AH3">
        <v>246.21</v>
      </c>
      <c r="AI3">
        <v>304.92599999999999</v>
      </c>
      <c r="AJ3">
        <v>345.81700000000001</v>
      </c>
      <c r="AK3">
        <v>427.495</v>
      </c>
      <c r="AL3">
        <v>517.50900000000001</v>
      </c>
      <c r="AM3">
        <v>607.22699999999998</v>
      </c>
      <c r="AN3">
        <v>711.75900000000001</v>
      </c>
      <c r="AO3">
        <v>836.22199999999998</v>
      </c>
      <c r="AP3" s="21">
        <v>1033.5909999999999</v>
      </c>
      <c r="AQ3" s="21">
        <v>1116.827</v>
      </c>
      <c r="AR3" s="21">
        <v>1173.182</v>
      </c>
      <c r="AS3" s="21">
        <v>1172.3610000000001</v>
      </c>
      <c r="AT3" s="21">
        <v>1240.498</v>
      </c>
      <c r="AU3" s="21">
        <v>1333.489</v>
      </c>
      <c r="AV3" s="21">
        <v>1468.1790000000001</v>
      </c>
      <c r="AW3" s="21">
        <v>1632.5250000000001</v>
      </c>
      <c r="AX3" s="21">
        <v>1815.953</v>
      </c>
      <c r="AY3">
        <v>2013</v>
      </c>
    </row>
    <row r="4" spans="1:51" ht="14.45" x14ac:dyDescent="0.35">
      <c r="A4">
        <v>512</v>
      </c>
      <c r="B4" t="s">
        <v>278</v>
      </c>
      <c r="C4" t="s">
        <v>289</v>
      </c>
      <c r="D4" t="s">
        <v>45</v>
      </c>
      <c r="E4" t="s">
        <v>287</v>
      </c>
      <c r="F4" t="s">
        <v>290</v>
      </c>
      <c r="G4" t="s">
        <v>291</v>
      </c>
      <c r="H4" t="s">
        <v>283</v>
      </c>
      <c r="I4" t="s">
        <v>292</v>
      </c>
      <c r="J4" t="s">
        <v>285</v>
      </c>
      <c r="K4" t="s">
        <v>285</v>
      </c>
      <c r="L4" t="s">
        <v>285</v>
      </c>
      <c r="M4" t="s">
        <v>285</v>
      </c>
      <c r="N4" t="s">
        <v>285</v>
      </c>
      <c r="O4" t="s">
        <v>285</v>
      </c>
      <c r="P4" t="s">
        <v>285</v>
      </c>
      <c r="Q4" t="s">
        <v>285</v>
      </c>
      <c r="R4" t="s">
        <v>285</v>
      </c>
      <c r="S4" t="s">
        <v>285</v>
      </c>
      <c r="T4" t="s">
        <v>285</v>
      </c>
      <c r="U4" t="s">
        <v>285</v>
      </c>
      <c r="V4" t="s">
        <v>285</v>
      </c>
      <c r="W4" t="s">
        <v>285</v>
      </c>
      <c r="X4" t="s">
        <v>285</v>
      </c>
      <c r="Y4" t="s">
        <v>285</v>
      </c>
      <c r="Z4" t="s">
        <v>285</v>
      </c>
      <c r="AA4" t="s">
        <v>285</v>
      </c>
      <c r="AB4" t="s">
        <v>285</v>
      </c>
      <c r="AC4" t="s">
        <v>285</v>
      </c>
      <c r="AD4" t="s">
        <v>285</v>
      </c>
      <c r="AE4" t="s">
        <v>285</v>
      </c>
      <c r="AF4">
        <v>4.367</v>
      </c>
      <c r="AG4">
        <v>4.5140000000000002</v>
      </c>
      <c r="AH4">
        <v>5.1459999999999999</v>
      </c>
      <c r="AI4">
        <v>6.1669999999999998</v>
      </c>
      <c r="AJ4">
        <v>6.9249999999999998</v>
      </c>
      <c r="AK4">
        <v>8.5559999999999992</v>
      </c>
      <c r="AL4">
        <v>10.297000000000001</v>
      </c>
      <c r="AM4">
        <v>12.066000000000001</v>
      </c>
      <c r="AN4">
        <v>15.324999999999999</v>
      </c>
      <c r="AO4">
        <v>17.89</v>
      </c>
      <c r="AP4">
        <v>20.295999999999999</v>
      </c>
      <c r="AQ4">
        <v>20.170000000000002</v>
      </c>
      <c r="AR4">
        <v>20.443999999999999</v>
      </c>
      <c r="AS4">
        <v>19.681000000000001</v>
      </c>
      <c r="AT4">
        <v>19.654</v>
      </c>
      <c r="AU4">
        <v>20.928999999999998</v>
      </c>
      <c r="AV4">
        <v>22.215</v>
      </c>
      <c r="AW4">
        <v>23.818999999999999</v>
      </c>
      <c r="AX4">
        <v>25.54</v>
      </c>
      <c r="AY4">
        <v>2013</v>
      </c>
    </row>
    <row r="5" spans="1:51" ht="14.45" x14ac:dyDescent="0.35">
      <c r="A5">
        <v>512</v>
      </c>
      <c r="B5" t="s">
        <v>278</v>
      </c>
      <c r="C5" t="s">
        <v>293</v>
      </c>
      <c r="D5" t="s">
        <v>45</v>
      </c>
      <c r="E5" t="s">
        <v>294</v>
      </c>
      <c r="F5" t="s">
        <v>295</v>
      </c>
      <c r="G5" t="s">
        <v>296</v>
      </c>
      <c r="I5" t="s">
        <v>297</v>
      </c>
      <c r="J5" t="s">
        <v>285</v>
      </c>
      <c r="K5" t="s">
        <v>285</v>
      </c>
      <c r="L5" t="s">
        <v>285</v>
      </c>
      <c r="M5" t="s">
        <v>285</v>
      </c>
      <c r="N5" t="s">
        <v>285</v>
      </c>
      <c r="O5" t="s">
        <v>285</v>
      </c>
      <c r="P5" t="s">
        <v>285</v>
      </c>
      <c r="Q5" t="s">
        <v>285</v>
      </c>
      <c r="R5" t="s">
        <v>285</v>
      </c>
      <c r="S5" t="s">
        <v>285</v>
      </c>
      <c r="T5" t="s">
        <v>285</v>
      </c>
      <c r="U5" t="s">
        <v>285</v>
      </c>
      <c r="V5" t="s">
        <v>285</v>
      </c>
      <c r="W5" t="s">
        <v>285</v>
      </c>
      <c r="X5" t="s">
        <v>285</v>
      </c>
      <c r="Y5" t="s">
        <v>285</v>
      </c>
      <c r="Z5" t="s">
        <v>285</v>
      </c>
      <c r="AA5" t="s">
        <v>285</v>
      </c>
      <c r="AB5" t="s">
        <v>285</v>
      </c>
      <c r="AC5" t="s">
        <v>285</v>
      </c>
      <c r="AD5" t="s">
        <v>285</v>
      </c>
      <c r="AE5" t="s">
        <v>285</v>
      </c>
      <c r="AF5">
        <v>97.765000000000001</v>
      </c>
      <c r="AG5">
        <v>110.706</v>
      </c>
      <c r="AH5">
        <v>123.063</v>
      </c>
      <c r="AI5">
        <v>136.28800000000001</v>
      </c>
      <c r="AJ5">
        <v>146.69999999999999</v>
      </c>
      <c r="AK5">
        <v>160.005</v>
      </c>
      <c r="AL5">
        <v>186.49100000000001</v>
      </c>
      <c r="AM5">
        <v>181.46700000000001</v>
      </c>
      <c r="AN5">
        <v>196.154</v>
      </c>
      <c r="AO5">
        <v>216.43199999999999</v>
      </c>
      <c r="AP5">
        <v>234.72800000000001</v>
      </c>
      <c r="AQ5">
        <v>244.03299999999999</v>
      </c>
      <c r="AR5">
        <v>253.10300000000001</v>
      </c>
      <c r="AS5">
        <v>247.86600000000001</v>
      </c>
      <c r="AT5">
        <v>254.672</v>
      </c>
      <c r="AU5">
        <v>263.27800000000002</v>
      </c>
      <c r="AV5">
        <v>276.12599999999998</v>
      </c>
      <c r="AW5">
        <v>289.61200000000002</v>
      </c>
      <c r="AX5">
        <v>303.89499999999998</v>
      </c>
      <c r="AY5">
        <v>2013</v>
      </c>
    </row>
    <row r="6" spans="1:51" ht="14.45" x14ac:dyDescent="0.35">
      <c r="A6">
        <v>512</v>
      </c>
      <c r="B6" t="s">
        <v>278</v>
      </c>
      <c r="C6" t="s">
        <v>298</v>
      </c>
      <c r="D6" t="s">
        <v>45</v>
      </c>
      <c r="E6" t="s">
        <v>299</v>
      </c>
      <c r="F6" t="s">
        <v>300</v>
      </c>
      <c r="G6" t="s">
        <v>282</v>
      </c>
      <c r="H6" t="s">
        <v>283</v>
      </c>
      <c r="I6" t="s">
        <v>301</v>
      </c>
      <c r="J6" t="s">
        <v>285</v>
      </c>
      <c r="K6" t="s">
        <v>285</v>
      </c>
      <c r="L6" t="s">
        <v>285</v>
      </c>
      <c r="M6" t="s">
        <v>285</v>
      </c>
      <c r="N6" t="s">
        <v>285</v>
      </c>
      <c r="O6" t="s">
        <v>285</v>
      </c>
      <c r="P6" t="s">
        <v>285</v>
      </c>
      <c r="Q6" t="s">
        <v>285</v>
      </c>
      <c r="R6" t="s">
        <v>285</v>
      </c>
      <c r="S6" t="s">
        <v>285</v>
      </c>
      <c r="T6" t="s">
        <v>285</v>
      </c>
      <c r="U6" t="s">
        <v>285</v>
      </c>
      <c r="V6" t="s">
        <v>285</v>
      </c>
      <c r="W6" t="s">
        <v>285</v>
      </c>
      <c r="X6" t="s">
        <v>285</v>
      </c>
      <c r="Y6" t="s">
        <v>285</v>
      </c>
      <c r="Z6" t="s">
        <v>285</v>
      </c>
      <c r="AA6" t="s">
        <v>285</v>
      </c>
      <c r="AB6" t="s">
        <v>285</v>
      </c>
      <c r="AC6" t="s">
        <v>285</v>
      </c>
      <c r="AD6" t="s">
        <v>285</v>
      </c>
      <c r="AE6" t="s">
        <v>285</v>
      </c>
      <c r="AF6">
        <v>12.411</v>
      </c>
      <c r="AG6">
        <v>26.242000000000001</v>
      </c>
      <c r="AH6">
        <v>37.100999999999999</v>
      </c>
      <c r="AI6">
        <v>47.868000000000002</v>
      </c>
      <c r="AJ6">
        <v>63.293999999999997</v>
      </c>
      <c r="AK6">
        <v>91.816999999999993</v>
      </c>
      <c r="AL6">
        <v>108.251</v>
      </c>
      <c r="AM6">
        <v>128.548</v>
      </c>
      <c r="AN6">
        <v>148.05199999999999</v>
      </c>
      <c r="AO6">
        <v>183.22</v>
      </c>
      <c r="AP6">
        <v>258.69200000000001</v>
      </c>
      <c r="AQ6">
        <v>278.93299999999999</v>
      </c>
      <c r="AR6">
        <v>300.52100000000002</v>
      </c>
      <c r="AS6">
        <v>346.20699999999999</v>
      </c>
      <c r="AT6">
        <v>373.8</v>
      </c>
      <c r="AU6">
        <v>421.52600000000001</v>
      </c>
      <c r="AV6">
        <v>483.024</v>
      </c>
      <c r="AW6">
        <v>551.51</v>
      </c>
      <c r="AX6">
        <v>638.25599999999997</v>
      </c>
      <c r="AY6">
        <v>2013</v>
      </c>
    </row>
    <row r="7" spans="1:51" ht="14.45" x14ac:dyDescent="0.35">
      <c r="A7">
        <v>914</v>
      </c>
      <c r="B7" t="s">
        <v>302</v>
      </c>
      <c r="C7" t="s">
        <v>279</v>
      </c>
      <c r="D7" t="s">
        <v>46</v>
      </c>
      <c r="E7" t="s">
        <v>280</v>
      </c>
      <c r="F7" t="s">
        <v>281</v>
      </c>
      <c r="G7" t="s">
        <v>282</v>
      </c>
      <c r="H7" t="s">
        <v>283</v>
      </c>
      <c r="I7" t="s">
        <v>303</v>
      </c>
      <c r="J7">
        <v>322.73500000000001</v>
      </c>
      <c r="K7">
        <v>341.13099999999997</v>
      </c>
      <c r="L7">
        <v>351.02300000000002</v>
      </c>
      <c r="M7">
        <v>354.88499999999999</v>
      </c>
      <c r="N7">
        <v>361.98200000000003</v>
      </c>
      <c r="O7">
        <v>356.553</v>
      </c>
      <c r="P7">
        <v>376.52</v>
      </c>
      <c r="Q7">
        <v>373.50700000000001</v>
      </c>
      <c r="R7">
        <v>368.27800000000002</v>
      </c>
      <c r="S7">
        <v>404.37</v>
      </c>
      <c r="T7">
        <v>363.93299999999999</v>
      </c>
      <c r="U7">
        <v>262.03100000000001</v>
      </c>
      <c r="V7">
        <v>243.16499999999999</v>
      </c>
      <c r="W7">
        <v>266.50900000000001</v>
      </c>
      <c r="X7">
        <v>291.56099999999998</v>
      </c>
      <c r="Y7">
        <v>317.51</v>
      </c>
      <c r="Z7">
        <v>346.40300000000002</v>
      </c>
      <c r="AA7">
        <v>308.86099999999999</v>
      </c>
      <c r="AB7">
        <v>336.685</v>
      </c>
      <c r="AC7">
        <v>382.142</v>
      </c>
      <c r="AD7">
        <v>407.45699999999999</v>
      </c>
      <c r="AE7">
        <v>439.81099999999998</v>
      </c>
      <c r="AF7">
        <v>458.42099999999999</v>
      </c>
      <c r="AG7">
        <v>484.73399999999998</v>
      </c>
      <c r="AH7">
        <v>512.23400000000004</v>
      </c>
      <c r="AI7">
        <v>541.80399999999997</v>
      </c>
      <c r="AJ7">
        <v>571.22900000000004</v>
      </c>
      <c r="AK7">
        <v>604.96100000000001</v>
      </c>
      <c r="AL7">
        <v>650.553</v>
      </c>
      <c r="AM7">
        <v>672.375</v>
      </c>
      <c r="AN7">
        <v>697.29899999999998</v>
      </c>
      <c r="AO7">
        <v>715.048</v>
      </c>
      <c r="AP7">
        <v>726.65800000000002</v>
      </c>
      <c r="AQ7">
        <v>736.77800000000002</v>
      </c>
      <c r="AR7">
        <v>750.43499999999995</v>
      </c>
      <c r="AS7">
        <v>770.697</v>
      </c>
      <c r="AT7">
        <v>796.90099999999995</v>
      </c>
      <c r="AU7">
        <v>828.77700000000004</v>
      </c>
      <c r="AV7">
        <v>864</v>
      </c>
      <c r="AW7">
        <v>900.72</v>
      </c>
      <c r="AX7">
        <v>939</v>
      </c>
      <c r="AY7">
        <v>2012</v>
      </c>
    </row>
    <row r="8" spans="1:51" ht="14.45" x14ac:dyDescent="0.35">
      <c r="A8">
        <v>914</v>
      </c>
      <c r="B8" t="s">
        <v>302</v>
      </c>
      <c r="C8" t="s">
        <v>286</v>
      </c>
      <c r="D8" t="s">
        <v>46</v>
      </c>
      <c r="E8" t="s">
        <v>287</v>
      </c>
      <c r="F8" t="s">
        <v>288</v>
      </c>
      <c r="G8" t="s">
        <v>282</v>
      </c>
      <c r="H8" t="s">
        <v>283</v>
      </c>
      <c r="I8" t="s">
        <v>303</v>
      </c>
      <c r="J8">
        <v>19.155000000000001</v>
      </c>
      <c r="K8">
        <v>19.815000000000001</v>
      </c>
      <c r="L8">
        <v>20.407</v>
      </c>
      <c r="M8">
        <v>20.617000000000001</v>
      </c>
      <c r="N8">
        <v>20.353000000000002</v>
      </c>
      <c r="O8">
        <v>20.788</v>
      </c>
      <c r="P8">
        <v>21.437999999999999</v>
      </c>
      <c r="Q8">
        <v>21.27</v>
      </c>
      <c r="R8">
        <v>20.966999999999999</v>
      </c>
      <c r="S8">
        <v>23.029</v>
      </c>
      <c r="T8">
        <v>20.725999999999999</v>
      </c>
      <c r="U8">
        <v>20.222000000000001</v>
      </c>
      <c r="V8">
        <v>65.622</v>
      </c>
      <c r="W8">
        <v>154.51400000000001</v>
      </c>
      <c r="X8">
        <v>231.625</v>
      </c>
      <c r="Y8">
        <v>277.05700000000002</v>
      </c>
      <c r="Z8">
        <v>346.40300000000002</v>
      </c>
      <c r="AA8">
        <v>346.19799999999998</v>
      </c>
      <c r="AB8">
        <v>409.209</v>
      </c>
      <c r="AC8">
        <v>471.57799999999997</v>
      </c>
      <c r="AD8">
        <v>523.04300000000001</v>
      </c>
      <c r="AE8">
        <v>583.36900000000003</v>
      </c>
      <c r="AF8">
        <v>622.71100000000001</v>
      </c>
      <c r="AG8">
        <v>694.09799999999996</v>
      </c>
      <c r="AH8">
        <v>751.02200000000005</v>
      </c>
      <c r="AI8">
        <v>814.79700000000003</v>
      </c>
      <c r="AJ8">
        <v>882.20899999999995</v>
      </c>
      <c r="AK8">
        <v>967.67</v>
      </c>
      <c r="AL8" s="21">
        <v>1080.6759999999999</v>
      </c>
      <c r="AM8" s="21">
        <v>1143.9359999999999</v>
      </c>
      <c r="AN8" s="21">
        <v>1239.645</v>
      </c>
      <c r="AO8" s="21">
        <v>1300.624</v>
      </c>
      <c r="AP8" s="21">
        <v>1335.4880000000001</v>
      </c>
      <c r="AQ8" s="21">
        <v>1364.7819999999999</v>
      </c>
      <c r="AR8" s="21">
        <v>1400.38</v>
      </c>
      <c r="AS8" s="21">
        <v>1459.06</v>
      </c>
      <c r="AT8" s="21">
        <v>1548.704</v>
      </c>
      <c r="AU8" s="21">
        <v>1662.2360000000001</v>
      </c>
      <c r="AV8" s="21">
        <v>1788.1010000000001</v>
      </c>
      <c r="AW8" s="21">
        <v>1924.2349999999999</v>
      </c>
      <c r="AX8" s="21">
        <v>2069.0540000000001</v>
      </c>
      <c r="AY8">
        <v>2012</v>
      </c>
    </row>
    <row r="9" spans="1:51" ht="14.45" x14ac:dyDescent="0.35">
      <c r="A9">
        <v>914</v>
      </c>
      <c r="B9" t="s">
        <v>302</v>
      </c>
      <c r="C9" t="s">
        <v>289</v>
      </c>
      <c r="D9" t="s">
        <v>46</v>
      </c>
      <c r="E9" t="s">
        <v>287</v>
      </c>
      <c r="F9" t="s">
        <v>290</v>
      </c>
      <c r="G9" t="s">
        <v>291</v>
      </c>
      <c r="H9" t="s">
        <v>283</v>
      </c>
      <c r="I9" t="s">
        <v>292</v>
      </c>
      <c r="J9">
        <v>2.016</v>
      </c>
      <c r="K9">
        <v>2.3090000000000002</v>
      </c>
      <c r="L9">
        <v>2.3780000000000001</v>
      </c>
      <c r="M9">
        <v>2.403</v>
      </c>
      <c r="N9">
        <v>2.3719999999999999</v>
      </c>
      <c r="O9">
        <v>2.423</v>
      </c>
      <c r="P9">
        <v>2.68</v>
      </c>
      <c r="Q9">
        <v>2.6589999999999998</v>
      </c>
      <c r="R9">
        <v>2.621</v>
      </c>
      <c r="S9">
        <v>2.879</v>
      </c>
      <c r="T9">
        <v>2.3010000000000002</v>
      </c>
      <c r="U9">
        <v>1.381</v>
      </c>
      <c r="V9">
        <v>0.874</v>
      </c>
      <c r="W9">
        <v>1.5129999999999999</v>
      </c>
      <c r="X9">
        <v>2.4460000000000002</v>
      </c>
      <c r="Y9">
        <v>2.9860000000000002</v>
      </c>
      <c r="Z9">
        <v>3.3149999999999999</v>
      </c>
      <c r="AA9">
        <v>2.36</v>
      </c>
      <c r="AB9">
        <v>2.7080000000000002</v>
      </c>
      <c r="AC9">
        <v>3.411</v>
      </c>
      <c r="AD9">
        <v>3.64</v>
      </c>
      <c r="AE9">
        <v>4.0650000000000004</v>
      </c>
      <c r="AF9">
        <v>4.4349999999999996</v>
      </c>
      <c r="AG9">
        <v>5.7469999999999999</v>
      </c>
      <c r="AH9">
        <v>7.3150000000000004</v>
      </c>
      <c r="AI9">
        <v>8.1579999999999995</v>
      </c>
      <c r="AJ9">
        <v>9.0009999999999994</v>
      </c>
      <c r="AK9">
        <v>10.698</v>
      </c>
      <c r="AL9">
        <v>12.901</v>
      </c>
      <c r="AM9">
        <v>12.093</v>
      </c>
      <c r="AN9">
        <v>11.927</v>
      </c>
      <c r="AO9">
        <v>12.891</v>
      </c>
      <c r="AP9">
        <v>12.345000000000001</v>
      </c>
      <c r="AQ9">
        <v>12.916</v>
      </c>
      <c r="AR9">
        <v>13.276</v>
      </c>
      <c r="AS9">
        <v>11.590999999999999</v>
      </c>
      <c r="AT9">
        <v>12.204000000000001</v>
      </c>
      <c r="AU9">
        <v>13.214</v>
      </c>
      <c r="AV9">
        <v>14.340999999999999</v>
      </c>
      <c r="AW9">
        <v>15.553000000000001</v>
      </c>
      <c r="AX9">
        <v>16.995999999999999</v>
      </c>
      <c r="AY9">
        <v>2012</v>
      </c>
    </row>
    <row r="10" spans="1:51" ht="14.45" x14ac:dyDescent="0.35">
      <c r="A10">
        <v>914</v>
      </c>
      <c r="B10" t="s">
        <v>302</v>
      </c>
      <c r="C10" t="s">
        <v>293</v>
      </c>
      <c r="D10" t="s">
        <v>46</v>
      </c>
      <c r="E10" t="s">
        <v>294</v>
      </c>
      <c r="F10" t="s">
        <v>295</v>
      </c>
      <c r="G10" t="s">
        <v>296</v>
      </c>
      <c r="I10" t="s">
        <v>297</v>
      </c>
      <c r="J10">
        <v>5.9349999999999996</v>
      </c>
      <c r="K10">
        <v>5.8090000000000002</v>
      </c>
      <c r="L10">
        <v>5.8140000000000001</v>
      </c>
      <c r="M10">
        <v>5.8090000000000002</v>
      </c>
      <c r="N10">
        <v>5.6230000000000002</v>
      </c>
      <c r="O10">
        <v>5.83</v>
      </c>
      <c r="P10">
        <v>5.694</v>
      </c>
      <c r="Q10">
        <v>5.6950000000000003</v>
      </c>
      <c r="R10">
        <v>5.6929999999999996</v>
      </c>
      <c r="S10">
        <v>5.6950000000000003</v>
      </c>
      <c r="T10">
        <v>5.6950000000000003</v>
      </c>
      <c r="U10">
        <v>7.7169999999999996</v>
      </c>
      <c r="V10">
        <v>26.986999999999998</v>
      </c>
      <c r="W10">
        <v>57.976999999999997</v>
      </c>
      <c r="X10">
        <v>79.442999999999998</v>
      </c>
      <c r="Y10">
        <v>87.259</v>
      </c>
      <c r="Z10">
        <v>100</v>
      </c>
      <c r="AA10">
        <v>112.089</v>
      </c>
      <c r="AB10">
        <v>121.54</v>
      </c>
      <c r="AC10">
        <v>123.404</v>
      </c>
      <c r="AD10">
        <v>128.36799999999999</v>
      </c>
      <c r="AE10">
        <v>132.64099999999999</v>
      </c>
      <c r="AF10">
        <v>135.83799999999999</v>
      </c>
      <c r="AG10">
        <v>143.191</v>
      </c>
      <c r="AH10">
        <v>146.61699999999999</v>
      </c>
      <c r="AI10">
        <v>150.386</v>
      </c>
      <c r="AJ10">
        <v>154.44</v>
      </c>
      <c r="AK10">
        <v>159.95599999999999</v>
      </c>
      <c r="AL10">
        <v>166.11600000000001</v>
      </c>
      <c r="AM10">
        <v>170.13399999999999</v>
      </c>
      <c r="AN10">
        <v>177.77799999999999</v>
      </c>
      <c r="AO10">
        <v>181.893</v>
      </c>
      <c r="AP10">
        <v>183.785</v>
      </c>
      <c r="AQ10">
        <v>185.23699999999999</v>
      </c>
      <c r="AR10">
        <v>186.60900000000001</v>
      </c>
      <c r="AS10">
        <v>189.31700000000001</v>
      </c>
      <c r="AT10">
        <v>194.34100000000001</v>
      </c>
      <c r="AU10">
        <v>200.565</v>
      </c>
      <c r="AV10">
        <v>206.95599999999999</v>
      </c>
      <c r="AW10">
        <v>213.63300000000001</v>
      </c>
      <c r="AX10">
        <v>220.346</v>
      </c>
      <c r="AY10">
        <v>2012</v>
      </c>
    </row>
    <row r="11" spans="1:51" ht="14.45" x14ac:dyDescent="0.35">
      <c r="A11">
        <v>914</v>
      </c>
      <c r="B11" t="s">
        <v>302</v>
      </c>
      <c r="C11" t="s">
        <v>298</v>
      </c>
      <c r="D11" t="s">
        <v>46</v>
      </c>
      <c r="E11" t="s">
        <v>299</v>
      </c>
      <c r="F11" t="s">
        <v>300</v>
      </c>
      <c r="G11" t="s">
        <v>282</v>
      </c>
      <c r="H11" t="s">
        <v>283</v>
      </c>
      <c r="I11" t="s">
        <v>304</v>
      </c>
      <c r="J11" t="s">
        <v>285</v>
      </c>
      <c r="K11" t="s">
        <v>285</v>
      </c>
      <c r="L11" t="s">
        <v>285</v>
      </c>
      <c r="M11" t="s">
        <v>285</v>
      </c>
      <c r="N11" t="s">
        <v>285</v>
      </c>
      <c r="O11" t="s">
        <v>285</v>
      </c>
      <c r="P11" t="s">
        <v>285</v>
      </c>
      <c r="Q11" t="s">
        <v>285</v>
      </c>
      <c r="R11" t="s">
        <v>285</v>
      </c>
      <c r="S11" t="s">
        <v>285</v>
      </c>
      <c r="T11" t="s">
        <v>285</v>
      </c>
      <c r="U11" t="s">
        <v>285</v>
      </c>
      <c r="V11" t="s">
        <v>285</v>
      </c>
      <c r="W11" t="s">
        <v>285</v>
      </c>
      <c r="X11" t="s">
        <v>285</v>
      </c>
      <c r="Y11" t="s">
        <v>285</v>
      </c>
      <c r="Z11" t="s">
        <v>285</v>
      </c>
      <c r="AA11">
        <v>100.39100000000001</v>
      </c>
      <c r="AB11">
        <v>141.43700000000001</v>
      </c>
      <c r="AC11">
        <v>164.607</v>
      </c>
      <c r="AD11">
        <v>169.596</v>
      </c>
      <c r="AE11">
        <v>184.16300000000001</v>
      </c>
      <c r="AF11">
        <v>192.517</v>
      </c>
      <c r="AG11">
        <v>201.15199999999999</v>
      </c>
      <c r="AH11">
        <v>222.43899999999999</v>
      </c>
      <c r="AI11">
        <v>232.339</v>
      </c>
      <c r="AJ11">
        <v>254.762</v>
      </c>
      <c r="AK11">
        <v>282.98700000000002</v>
      </c>
      <c r="AL11">
        <v>342.86</v>
      </c>
      <c r="AM11">
        <v>373.83199999999999</v>
      </c>
      <c r="AN11">
        <v>364.29</v>
      </c>
      <c r="AO11">
        <v>376.18299999999999</v>
      </c>
      <c r="AP11">
        <v>376.24099999999999</v>
      </c>
      <c r="AQ11">
        <v>394.11700000000002</v>
      </c>
      <c r="AR11">
        <v>442.51799999999997</v>
      </c>
      <c r="AS11">
        <v>468.55099999999999</v>
      </c>
      <c r="AT11">
        <v>483.74700000000001</v>
      </c>
      <c r="AU11">
        <v>498.26799999999997</v>
      </c>
      <c r="AV11">
        <v>539.25900000000001</v>
      </c>
      <c r="AW11">
        <v>583.74900000000002</v>
      </c>
      <c r="AX11">
        <v>624.41</v>
      </c>
      <c r="AY11">
        <v>2014</v>
      </c>
    </row>
    <row r="12" spans="1:51" ht="14.45" x14ac:dyDescent="0.35">
      <c r="A12">
        <v>612</v>
      </c>
      <c r="B12" t="s">
        <v>305</v>
      </c>
      <c r="C12" t="s">
        <v>279</v>
      </c>
      <c r="D12" t="s">
        <v>47</v>
      </c>
      <c r="E12" t="s">
        <v>280</v>
      </c>
      <c r="F12" t="s">
        <v>281</v>
      </c>
      <c r="G12" t="s">
        <v>282</v>
      </c>
      <c r="H12" t="s">
        <v>283</v>
      </c>
      <c r="I12" t="s">
        <v>306</v>
      </c>
      <c r="J12" s="21">
        <v>2596.3679999999999</v>
      </c>
      <c r="K12" s="21">
        <v>2674.259</v>
      </c>
      <c r="L12" s="21">
        <v>2845.4119999999998</v>
      </c>
      <c r="M12" s="21">
        <v>2999.0639999999999</v>
      </c>
      <c r="N12" s="21">
        <v>3167.0120000000002</v>
      </c>
      <c r="O12" s="21">
        <v>3344.364</v>
      </c>
      <c r="P12" s="21">
        <v>3337.6759999999999</v>
      </c>
      <c r="Q12" s="21">
        <v>3314.3119999999999</v>
      </c>
      <c r="R12" s="21">
        <v>3251.34</v>
      </c>
      <c r="S12" s="21">
        <v>3407.404</v>
      </c>
      <c r="T12" s="21">
        <v>3434.663</v>
      </c>
      <c r="U12" s="21">
        <v>3393.4479999999999</v>
      </c>
      <c r="V12" s="21">
        <v>3447.7429999999999</v>
      </c>
      <c r="W12" s="21">
        <v>3375.2539999999999</v>
      </c>
      <c r="X12" s="21">
        <v>3344.877</v>
      </c>
      <c r="Y12" s="21">
        <v>3473.578</v>
      </c>
      <c r="Z12" s="21">
        <v>3605.5740000000001</v>
      </c>
      <c r="AA12" s="21">
        <v>3645.2350000000001</v>
      </c>
      <c r="AB12" s="21">
        <v>3831.0509999999999</v>
      </c>
      <c r="AC12" s="21">
        <v>3953.645</v>
      </c>
      <c r="AD12" s="21">
        <v>4103.8829999999998</v>
      </c>
      <c r="AE12" s="21">
        <v>4227</v>
      </c>
      <c r="AF12" s="21">
        <v>4463.7120000000004</v>
      </c>
      <c r="AG12" s="21">
        <v>4785.0990000000002</v>
      </c>
      <c r="AH12" s="21">
        <v>4990.8590000000004</v>
      </c>
      <c r="AI12" s="21">
        <v>5285.3190000000004</v>
      </c>
      <c r="AJ12" s="21">
        <v>5374.35</v>
      </c>
      <c r="AK12" s="21">
        <v>5555.62</v>
      </c>
      <c r="AL12" s="21">
        <v>5686.74</v>
      </c>
      <c r="AM12" s="21">
        <v>5779.5609999999997</v>
      </c>
      <c r="AN12" s="21">
        <v>5988.5559999999996</v>
      </c>
      <c r="AO12" s="21">
        <v>6157.9110000000001</v>
      </c>
      <c r="AP12" s="21">
        <v>6318.5190000000002</v>
      </c>
      <c r="AQ12" s="21">
        <v>6495.4380000000001</v>
      </c>
      <c r="AR12" s="21">
        <v>6742.2650000000003</v>
      </c>
      <c r="AS12" s="21">
        <v>6945.2560000000003</v>
      </c>
      <c r="AT12" s="21">
        <v>7214.777</v>
      </c>
      <c r="AU12" s="21">
        <v>7496.0640000000003</v>
      </c>
      <c r="AV12" s="21">
        <v>7776.3919999999998</v>
      </c>
      <c r="AW12" s="21">
        <v>8055.9610000000002</v>
      </c>
      <c r="AX12" s="21">
        <v>8337.0779999999995</v>
      </c>
      <c r="AY12">
        <v>2013</v>
      </c>
    </row>
    <row r="13" spans="1:51" ht="14.45" x14ac:dyDescent="0.35">
      <c r="A13">
        <v>612</v>
      </c>
      <c r="B13" t="s">
        <v>305</v>
      </c>
      <c r="C13" t="s">
        <v>286</v>
      </c>
      <c r="D13" t="s">
        <v>47</v>
      </c>
      <c r="E13" t="s">
        <v>287</v>
      </c>
      <c r="F13" t="s">
        <v>288</v>
      </c>
      <c r="G13" t="s">
        <v>282</v>
      </c>
      <c r="H13" t="s">
        <v>283</v>
      </c>
      <c r="I13" t="s">
        <v>306</v>
      </c>
      <c r="J13">
        <v>162.5</v>
      </c>
      <c r="K13">
        <v>191.5</v>
      </c>
      <c r="L13">
        <v>207.6</v>
      </c>
      <c r="M13">
        <v>233.7</v>
      </c>
      <c r="N13">
        <v>263.89999999999998</v>
      </c>
      <c r="O13">
        <v>291.60000000000002</v>
      </c>
      <c r="P13">
        <v>296.60000000000002</v>
      </c>
      <c r="Q13">
        <v>312.7</v>
      </c>
      <c r="R13">
        <v>347.7</v>
      </c>
      <c r="S13">
        <v>422.04300000000001</v>
      </c>
      <c r="T13">
        <v>554.4</v>
      </c>
      <c r="U13">
        <v>862.13199999999995</v>
      </c>
      <c r="V13" s="21">
        <v>1074.6949999999999</v>
      </c>
      <c r="W13" s="21">
        <v>1189.7239999999999</v>
      </c>
      <c r="X13" s="21">
        <v>1487.4</v>
      </c>
      <c r="Y13" s="21">
        <v>2004.99</v>
      </c>
      <c r="Z13" s="21">
        <v>2570</v>
      </c>
      <c r="AA13" s="21">
        <v>2780.2</v>
      </c>
      <c r="AB13" s="21">
        <v>2830.491</v>
      </c>
      <c r="AC13" s="21">
        <v>3248.1979999999999</v>
      </c>
      <c r="AD13" s="21">
        <v>4123.5</v>
      </c>
      <c r="AE13" s="21">
        <v>4227.1000000000004</v>
      </c>
      <c r="AF13" s="21">
        <v>4522.8</v>
      </c>
      <c r="AG13" s="21">
        <v>5252.3</v>
      </c>
      <c r="AH13" s="21">
        <v>6149.1</v>
      </c>
      <c r="AI13" s="21">
        <v>7562</v>
      </c>
      <c r="AJ13" s="21">
        <v>8501.6360000000004</v>
      </c>
      <c r="AK13" s="21">
        <v>9352.8860000000004</v>
      </c>
      <c r="AL13" s="21">
        <v>11043.704</v>
      </c>
      <c r="AM13" s="21">
        <v>9968.0249999999996</v>
      </c>
      <c r="AN13" s="21">
        <v>11991.564</v>
      </c>
      <c r="AO13" s="21">
        <v>14526.608</v>
      </c>
      <c r="AP13" s="21">
        <v>16208.706</v>
      </c>
      <c r="AQ13" s="21">
        <v>16643.8</v>
      </c>
      <c r="AR13" s="21">
        <v>17205.099999999999</v>
      </c>
      <c r="AS13" s="21">
        <v>16929.054</v>
      </c>
      <c r="AT13" s="21">
        <v>18273.273000000001</v>
      </c>
      <c r="AU13" s="21">
        <v>20107.13</v>
      </c>
      <c r="AV13" s="21">
        <v>21990.674999999999</v>
      </c>
      <c r="AW13" s="21">
        <v>23857.537</v>
      </c>
      <c r="AX13" s="21">
        <v>25782.866999999998</v>
      </c>
      <c r="AY13">
        <v>2013</v>
      </c>
    </row>
    <row r="14" spans="1:51" ht="14.45" x14ac:dyDescent="0.35">
      <c r="A14">
        <v>612</v>
      </c>
      <c r="B14" t="s">
        <v>305</v>
      </c>
      <c r="C14" t="s">
        <v>289</v>
      </c>
      <c r="D14" t="s">
        <v>47</v>
      </c>
      <c r="E14" t="s">
        <v>287</v>
      </c>
      <c r="F14" t="s">
        <v>290</v>
      </c>
      <c r="G14" t="s">
        <v>291</v>
      </c>
      <c r="H14" t="s">
        <v>283</v>
      </c>
      <c r="I14" t="s">
        <v>292</v>
      </c>
      <c r="J14">
        <v>42.345999999999997</v>
      </c>
      <c r="K14">
        <v>44.372</v>
      </c>
      <c r="L14">
        <v>44.78</v>
      </c>
      <c r="M14">
        <v>47.529000000000003</v>
      </c>
      <c r="N14">
        <v>51.512999999999998</v>
      </c>
      <c r="O14">
        <v>61.131999999999998</v>
      </c>
      <c r="P14">
        <v>61.534999999999997</v>
      </c>
      <c r="Q14">
        <v>63.3</v>
      </c>
      <c r="R14">
        <v>51.664000000000001</v>
      </c>
      <c r="S14">
        <v>52.558</v>
      </c>
      <c r="T14">
        <v>61.892000000000003</v>
      </c>
      <c r="U14">
        <v>46.67</v>
      </c>
      <c r="V14">
        <v>49.216999999999999</v>
      </c>
      <c r="W14">
        <v>50.963000000000001</v>
      </c>
      <c r="X14">
        <v>42.426000000000002</v>
      </c>
      <c r="Y14">
        <v>42.066000000000003</v>
      </c>
      <c r="Z14">
        <v>46.941000000000003</v>
      </c>
      <c r="AA14">
        <v>48.177999999999997</v>
      </c>
      <c r="AB14">
        <v>48.188000000000002</v>
      </c>
      <c r="AC14">
        <v>48.844999999999999</v>
      </c>
      <c r="AD14">
        <v>54.749000000000002</v>
      </c>
      <c r="AE14">
        <v>54.744999999999997</v>
      </c>
      <c r="AF14">
        <v>56.761000000000003</v>
      </c>
      <c r="AG14">
        <v>67.864000000000004</v>
      </c>
      <c r="AH14">
        <v>85.326999999999998</v>
      </c>
      <c r="AI14">
        <v>103.19799999999999</v>
      </c>
      <c r="AJ14">
        <v>117.027</v>
      </c>
      <c r="AK14">
        <v>134.977</v>
      </c>
      <c r="AL14">
        <v>171.001</v>
      </c>
      <c r="AM14">
        <v>137.054</v>
      </c>
      <c r="AN14">
        <v>161.20699999999999</v>
      </c>
      <c r="AO14">
        <v>199.39400000000001</v>
      </c>
      <c r="AP14">
        <v>209.005</v>
      </c>
      <c r="AQ14">
        <v>209.703</v>
      </c>
      <c r="AR14">
        <v>213.518</v>
      </c>
      <c r="AS14">
        <v>175.077</v>
      </c>
      <c r="AT14">
        <v>181.71</v>
      </c>
      <c r="AU14">
        <v>192.256</v>
      </c>
      <c r="AV14">
        <v>202.179</v>
      </c>
      <c r="AW14">
        <v>210.90600000000001</v>
      </c>
      <c r="AX14">
        <v>219.16</v>
      </c>
      <c r="AY14">
        <v>2013</v>
      </c>
    </row>
    <row r="15" spans="1:51" ht="14.45" x14ac:dyDescent="0.35">
      <c r="A15">
        <v>612</v>
      </c>
      <c r="B15" t="s">
        <v>305</v>
      </c>
      <c r="C15" t="s">
        <v>293</v>
      </c>
      <c r="D15" t="s">
        <v>47</v>
      </c>
      <c r="E15" t="s">
        <v>294</v>
      </c>
      <c r="F15" t="s">
        <v>295</v>
      </c>
      <c r="G15" t="s">
        <v>296</v>
      </c>
      <c r="I15" t="s">
        <v>297</v>
      </c>
      <c r="J15">
        <v>6.2590000000000003</v>
      </c>
      <c r="K15">
        <v>7.1609999999999996</v>
      </c>
      <c r="L15">
        <v>7.2960000000000003</v>
      </c>
      <c r="M15">
        <v>7.7919999999999998</v>
      </c>
      <c r="N15">
        <v>8.3330000000000002</v>
      </c>
      <c r="O15">
        <v>8.7189999999999994</v>
      </c>
      <c r="P15">
        <v>8.8859999999999992</v>
      </c>
      <c r="Q15">
        <v>9.4350000000000005</v>
      </c>
      <c r="R15">
        <v>10.694000000000001</v>
      </c>
      <c r="S15">
        <v>12.385999999999999</v>
      </c>
      <c r="T15">
        <v>16.140999999999998</v>
      </c>
      <c r="U15">
        <v>25.405999999999999</v>
      </c>
      <c r="V15">
        <v>31.170999999999999</v>
      </c>
      <c r="W15">
        <v>35.247999999999998</v>
      </c>
      <c r="X15">
        <v>44.468000000000004</v>
      </c>
      <c r="Y15">
        <v>57.720999999999997</v>
      </c>
      <c r="Z15">
        <v>71.278999999999996</v>
      </c>
      <c r="AA15">
        <v>76.269000000000005</v>
      </c>
      <c r="AB15">
        <v>73.882999999999996</v>
      </c>
      <c r="AC15">
        <v>82.156999999999996</v>
      </c>
      <c r="AD15">
        <v>100.47799999999999</v>
      </c>
      <c r="AE15">
        <v>100.002</v>
      </c>
      <c r="AF15">
        <v>101.324</v>
      </c>
      <c r="AG15">
        <v>109.764</v>
      </c>
      <c r="AH15">
        <v>123.20699999999999</v>
      </c>
      <c r="AI15">
        <v>143.07599999999999</v>
      </c>
      <c r="AJ15">
        <v>158.18899999999999</v>
      </c>
      <c r="AK15">
        <v>168.35</v>
      </c>
      <c r="AL15">
        <v>194.20099999999999</v>
      </c>
      <c r="AM15">
        <v>172.47</v>
      </c>
      <c r="AN15">
        <v>200.24100000000001</v>
      </c>
      <c r="AO15">
        <v>235.90199999999999</v>
      </c>
      <c r="AP15">
        <v>256.52699999999999</v>
      </c>
      <c r="AQ15">
        <v>256.238</v>
      </c>
      <c r="AR15">
        <v>255.18299999999999</v>
      </c>
      <c r="AS15">
        <v>243.75</v>
      </c>
      <c r="AT15">
        <v>253.27600000000001</v>
      </c>
      <c r="AU15">
        <v>268.23599999999999</v>
      </c>
      <c r="AV15">
        <v>282.78800000000001</v>
      </c>
      <c r="AW15">
        <v>296.14800000000002</v>
      </c>
      <c r="AX15">
        <v>309.255</v>
      </c>
      <c r="AY15">
        <v>2013</v>
      </c>
    </row>
    <row r="16" spans="1:51" ht="14.45" x14ac:dyDescent="0.35">
      <c r="A16">
        <v>612</v>
      </c>
      <c r="B16" t="s">
        <v>305</v>
      </c>
      <c r="C16" t="s">
        <v>298</v>
      </c>
      <c r="D16" t="s">
        <v>47</v>
      </c>
      <c r="E16" t="s">
        <v>299</v>
      </c>
      <c r="F16" t="s">
        <v>300</v>
      </c>
      <c r="G16" t="s">
        <v>282</v>
      </c>
      <c r="H16" t="s">
        <v>283</v>
      </c>
      <c r="I16" t="s">
        <v>307</v>
      </c>
      <c r="J16" t="s">
        <v>285</v>
      </c>
      <c r="K16" t="s">
        <v>285</v>
      </c>
      <c r="L16" t="s">
        <v>285</v>
      </c>
      <c r="M16" t="s">
        <v>285</v>
      </c>
      <c r="N16" t="s">
        <v>285</v>
      </c>
      <c r="O16" t="s">
        <v>285</v>
      </c>
      <c r="P16" t="s">
        <v>285</v>
      </c>
      <c r="Q16" t="s">
        <v>285</v>
      </c>
      <c r="R16" t="s">
        <v>285</v>
      </c>
      <c r="S16" t="s">
        <v>285</v>
      </c>
      <c r="T16">
        <v>142.54</v>
      </c>
      <c r="U16">
        <v>239.63</v>
      </c>
      <c r="V16">
        <v>308.72399999999999</v>
      </c>
      <c r="W16">
        <v>390.48399999999998</v>
      </c>
      <c r="X16">
        <v>461.89499999999998</v>
      </c>
      <c r="Y16">
        <v>589.08500000000004</v>
      </c>
      <c r="Z16">
        <v>724.60900000000004</v>
      </c>
      <c r="AA16">
        <v>845.19600000000003</v>
      </c>
      <c r="AB16">
        <v>875.73900000000003</v>
      </c>
      <c r="AC16" s="21">
        <v>1034.32</v>
      </c>
      <c r="AD16" s="21">
        <v>1178.1220000000001</v>
      </c>
      <c r="AE16" s="21">
        <v>1321.028</v>
      </c>
      <c r="AF16" s="21">
        <v>1550.646</v>
      </c>
      <c r="AG16" s="21">
        <v>1691.354</v>
      </c>
      <c r="AH16" s="21">
        <v>1891.769</v>
      </c>
      <c r="AI16" s="21">
        <v>2052.0369999999998</v>
      </c>
      <c r="AJ16" s="21">
        <v>2454.3870000000002</v>
      </c>
      <c r="AK16" s="21">
        <v>3114.2420000000002</v>
      </c>
      <c r="AL16" s="21">
        <v>4190.6629999999996</v>
      </c>
      <c r="AM16" s="21">
        <v>4220.9570000000003</v>
      </c>
      <c r="AN16" s="21">
        <v>4439.8540000000003</v>
      </c>
      <c r="AO16" s="21">
        <v>5853.482</v>
      </c>
      <c r="AP16" s="21">
        <v>7058.1729999999998</v>
      </c>
      <c r="AQ16" s="21">
        <v>6024.1310000000003</v>
      </c>
      <c r="AR16" s="21">
        <v>6980.2529999999997</v>
      </c>
      <c r="AS16" s="21">
        <v>7333.8469999999998</v>
      </c>
      <c r="AT16" s="21">
        <v>7334.05</v>
      </c>
      <c r="AU16" s="21">
        <v>7695.1080000000002</v>
      </c>
      <c r="AV16" s="21">
        <v>8091.1329999999998</v>
      </c>
      <c r="AW16" s="21">
        <v>8525.4159999999993</v>
      </c>
      <c r="AX16" s="21">
        <v>8974.8649999999998</v>
      </c>
      <c r="AY16">
        <v>2014</v>
      </c>
    </row>
    <row r="17" spans="1:51" ht="14.45" x14ac:dyDescent="0.35">
      <c r="A17">
        <v>614</v>
      </c>
      <c r="B17" t="s">
        <v>308</v>
      </c>
      <c r="C17" t="s">
        <v>279</v>
      </c>
      <c r="D17" t="s">
        <v>49</v>
      </c>
      <c r="E17" t="s">
        <v>280</v>
      </c>
      <c r="F17" t="s">
        <v>281</v>
      </c>
      <c r="G17" t="s">
        <v>282</v>
      </c>
      <c r="H17" t="s">
        <v>283</v>
      </c>
      <c r="I17" t="s">
        <v>309</v>
      </c>
      <c r="J17">
        <v>338.37700000000001</v>
      </c>
      <c r="K17">
        <v>323.488</v>
      </c>
      <c r="L17">
        <v>323.488</v>
      </c>
      <c r="M17">
        <v>337.07499999999999</v>
      </c>
      <c r="N17">
        <v>357.29899999999998</v>
      </c>
      <c r="O17">
        <v>369.80500000000001</v>
      </c>
      <c r="P17">
        <v>380.529</v>
      </c>
      <c r="Q17">
        <v>396.065</v>
      </c>
      <c r="R17">
        <v>420.339</v>
      </c>
      <c r="S17">
        <v>420.51400000000001</v>
      </c>
      <c r="T17">
        <v>406.00599999999997</v>
      </c>
      <c r="U17">
        <v>410.03100000000001</v>
      </c>
      <c r="V17">
        <v>386.09199999999998</v>
      </c>
      <c r="W17">
        <v>293.49400000000003</v>
      </c>
      <c r="X17">
        <v>297.42500000000001</v>
      </c>
      <c r="Y17">
        <v>342.03899999999999</v>
      </c>
      <c r="Z17">
        <v>388.36599999999999</v>
      </c>
      <c r="AA17">
        <v>416.61700000000002</v>
      </c>
      <c r="AB17">
        <v>436.161</v>
      </c>
      <c r="AC17">
        <v>445.67599999999999</v>
      </c>
      <c r="AD17">
        <v>459.28899999999999</v>
      </c>
      <c r="AE17">
        <v>478.60700000000003</v>
      </c>
      <c r="AF17">
        <v>544.01199999999994</v>
      </c>
      <c r="AG17">
        <v>572.55899999999997</v>
      </c>
      <c r="AH17">
        <v>634.851</v>
      </c>
      <c r="AI17">
        <v>750.78399999999999</v>
      </c>
      <c r="AJ17">
        <v>906.46</v>
      </c>
      <c r="AK17" s="21">
        <v>1111.2570000000001</v>
      </c>
      <c r="AL17" s="21">
        <v>1264.8009999999999</v>
      </c>
      <c r="AM17" s="21">
        <v>1295.319</v>
      </c>
      <c r="AN17" s="21">
        <v>1339.4590000000001</v>
      </c>
      <c r="AO17" s="21">
        <v>1391.9469999999999</v>
      </c>
      <c r="AP17" s="21">
        <v>1463.7080000000001</v>
      </c>
      <c r="AQ17" s="21">
        <v>1563.3030000000001</v>
      </c>
      <c r="AR17" s="21">
        <v>1638.28</v>
      </c>
      <c r="AS17" s="21">
        <v>1695.4190000000001</v>
      </c>
      <c r="AT17" s="21">
        <v>1755.17</v>
      </c>
      <c r="AU17" s="21">
        <v>1821.364</v>
      </c>
      <c r="AV17" s="21">
        <v>1898.7339999999999</v>
      </c>
      <c r="AW17" s="21">
        <v>1987.17</v>
      </c>
      <c r="AX17" s="21">
        <v>2090.067</v>
      </c>
      <c r="AY17">
        <v>2013</v>
      </c>
    </row>
    <row r="18" spans="1:51" ht="14.45" x14ac:dyDescent="0.35">
      <c r="A18">
        <v>614</v>
      </c>
      <c r="B18" t="s">
        <v>308</v>
      </c>
      <c r="C18" t="s">
        <v>286</v>
      </c>
      <c r="D18" t="s">
        <v>49</v>
      </c>
      <c r="E18" t="s">
        <v>287</v>
      </c>
      <c r="F18" t="s">
        <v>288</v>
      </c>
      <c r="G18" t="s">
        <v>282</v>
      </c>
      <c r="H18" t="s">
        <v>283</v>
      </c>
      <c r="I18" t="s">
        <v>309</v>
      </c>
      <c r="J18" t="s">
        <v>310</v>
      </c>
      <c r="K18" t="s">
        <v>310</v>
      </c>
      <c r="L18" t="s">
        <v>310</v>
      </c>
      <c r="M18" t="s">
        <v>310</v>
      </c>
      <c r="N18" t="s">
        <v>310</v>
      </c>
      <c r="O18" t="s">
        <v>310</v>
      </c>
      <c r="P18" t="s">
        <v>310</v>
      </c>
      <c r="Q18" t="s">
        <v>310</v>
      </c>
      <c r="R18" t="s">
        <v>310</v>
      </c>
      <c r="S18" t="s">
        <v>310</v>
      </c>
      <c r="T18" t="s">
        <v>310</v>
      </c>
      <c r="U18" t="s">
        <v>310</v>
      </c>
      <c r="V18" t="s">
        <v>310</v>
      </c>
      <c r="W18" t="s">
        <v>310</v>
      </c>
      <c r="X18">
        <v>1E-3</v>
      </c>
      <c r="Y18">
        <v>1.4999999999999999E-2</v>
      </c>
      <c r="Z18">
        <v>0.83499999999999996</v>
      </c>
      <c r="AA18">
        <v>1.752</v>
      </c>
      <c r="AB18">
        <v>2.556</v>
      </c>
      <c r="AC18">
        <v>17.170999999999999</v>
      </c>
      <c r="AD18">
        <v>91.665999999999997</v>
      </c>
      <c r="AE18">
        <v>197.11099999999999</v>
      </c>
      <c r="AF18">
        <v>544.01199999999994</v>
      </c>
      <c r="AG18" s="21">
        <v>1058.585</v>
      </c>
      <c r="AH18" s="21">
        <v>1640.8240000000001</v>
      </c>
      <c r="AI18" s="21">
        <v>2460.8249999999998</v>
      </c>
      <c r="AJ18" s="21">
        <v>3358.5410000000002</v>
      </c>
      <c r="AK18" s="21">
        <v>4636.8010000000004</v>
      </c>
      <c r="AL18" s="21">
        <v>6316.1639999999998</v>
      </c>
      <c r="AM18" s="21">
        <v>5988.6750000000002</v>
      </c>
      <c r="AN18" s="21">
        <v>7579.5469999999996</v>
      </c>
      <c r="AO18" s="21">
        <v>9780.098</v>
      </c>
      <c r="AP18" s="21">
        <v>11011.428</v>
      </c>
      <c r="AQ18" s="21">
        <v>11985.048000000001</v>
      </c>
      <c r="AR18" s="21">
        <v>12713.053</v>
      </c>
      <c r="AS18" s="21">
        <v>12227.291999999999</v>
      </c>
      <c r="AT18" s="21">
        <v>14658.388999999999</v>
      </c>
      <c r="AU18" s="21">
        <v>17323.901999999998</v>
      </c>
      <c r="AV18" s="21">
        <v>20250.074000000001</v>
      </c>
      <c r="AW18" s="21">
        <v>23278.022000000001</v>
      </c>
      <c r="AX18" s="21">
        <v>26595.843000000001</v>
      </c>
      <c r="AY18">
        <v>2013</v>
      </c>
    </row>
    <row r="19" spans="1:51" ht="14.45" x14ac:dyDescent="0.35">
      <c r="A19">
        <v>614</v>
      </c>
      <c r="B19" t="s">
        <v>308</v>
      </c>
      <c r="C19" t="s">
        <v>289</v>
      </c>
      <c r="D19" t="s">
        <v>49</v>
      </c>
      <c r="E19" t="s">
        <v>287</v>
      </c>
      <c r="F19" t="s">
        <v>290</v>
      </c>
      <c r="G19" t="s">
        <v>291</v>
      </c>
      <c r="H19" t="s">
        <v>283</v>
      </c>
      <c r="I19" t="s">
        <v>292</v>
      </c>
      <c r="J19">
        <v>5.9340000000000002</v>
      </c>
      <c r="K19">
        <v>5.5540000000000003</v>
      </c>
      <c r="L19">
        <v>5.5540000000000003</v>
      </c>
      <c r="M19">
        <v>5.7880000000000003</v>
      </c>
      <c r="N19">
        <v>6.1349999999999998</v>
      </c>
      <c r="O19">
        <v>7.5590000000000002</v>
      </c>
      <c r="P19">
        <v>7.077</v>
      </c>
      <c r="Q19">
        <v>8.0890000000000004</v>
      </c>
      <c r="R19">
        <v>8.7750000000000004</v>
      </c>
      <c r="S19">
        <v>10.208</v>
      </c>
      <c r="T19">
        <v>11.236000000000001</v>
      </c>
      <c r="U19">
        <v>10.891</v>
      </c>
      <c r="V19">
        <v>8.3979999999999997</v>
      </c>
      <c r="W19">
        <v>6.0949999999999998</v>
      </c>
      <c r="X19">
        <v>4.4379999999999997</v>
      </c>
      <c r="Y19">
        <v>5.5389999999999997</v>
      </c>
      <c r="Z19">
        <v>6.5350000000000001</v>
      </c>
      <c r="AA19">
        <v>7.6749999999999998</v>
      </c>
      <c r="AB19">
        <v>6.5060000000000002</v>
      </c>
      <c r="AC19">
        <v>6.1529999999999996</v>
      </c>
      <c r="AD19">
        <v>9.1300000000000008</v>
      </c>
      <c r="AE19">
        <v>8.9359999999999999</v>
      </c>
      <c r="AF19">
        <v>12.497</v>
      </c>
      <c r="AG19">
        <v>14.189</v>
      </c>
      <c r="AH19">
        <v>19.640999999999998</v>
      </c>
      <c r="AI19">
        <v>28.234000000000002</v>
      </c>
      <c r="AJ19">
        <v>41.789000000000001</v>
      </c>
      <c r="AK19">
        <v>60.448999999999998</v>
      </c>
      <c r="AL19">
        <v>84.177999999999997</v>
      </c>
      <c r="AM19">
        <v>75.492000000000004</v>
      </c>
      <c r="AN19">
        <v>82.471000000000004</v>
      </c>
      <c r="AO19">
        <v>104.116</v>
      </c>
      <c r="AP19">
        <v>115.342</v>
      </c>
      <c r="AQ19">
        <v>124.17400000000001</v>
      </c>
      <c r="AR19">
        <v>129.32599999999999</v>
      </c>
      <c r="AS19">
        <v>102.011</v>
      </c>
      <c r="AT19">
        <v>98.814999999999998</v>
      </c>
      <c r="AU19">
        <v>105.369</v>
      </c>
      <c r="AV19">
        <v>112.533</v>
      </c>
      <c r="AW19">
        <v>119.40300000000001</v>
      </c>
      <c r="AX19">
        <v>127.15</v>
      </c>
      <c r="AY19">
        <v>2013</v>
      </c>
    </row>
    <row r="20" spans="1:51" ht="14.45" x14ac:dyDescent="0.35">
      <c r="A20">
        <v>614</v>
      </c>
      <c r="B20" t="s">
        <v>308</v>
      </c>
      <c r="C20" t="s">
        <v>293</v>
      </c>
      <c r="D20" t="s">
        <v>49</v>
      </c>
      <c r="E20" t="s">
        <v>294</v>
      </c>
      <c r="F20" t="s">
        <v>295</v>
      </c>
      <c r="G20" t="s">
        <v>296</v>
      </c>
      <c r="I20" t="s">
        <v>297</v>
      </c>
      <c r="J20" t="s">
        <v>310</v>
      </c>
      <c r="K20" t="s">
        <v>310</v>
      </c>
      <c r="L20" t="s">
        <v>310</v>
      </c>
      <c r="M20" t="s">
        <v>310</v>
      </c>
      <c r="N20" t="s">
        <v>310</v>
      </c>
      <c r="O20" t="s">
        <v>310</v>
      </c>
      <c r="P20" t="s">
        <v>310</v>
      </c>
      <c r="Q20" t="s">
        <v>310</v>
      </c>
      <c r="R20" t="s">
        <v>310</v>
      </c>
      <c r="S20" t="s">
        <v>310</v>
      </c>
      <c r="T20" t="s">
        <v>310</v>
      </c>
      <c r="U20" t="s">
        <v>310</v>
      </c>
      <c r="V20" t="s">
        <v>310</v>
      </c>
      <c r="W20" t="s">
        <v>310</v>
      </c>
      <c r="X20" t="s">
        <v>310</v>
      </c>
      <c r="Y20">
        <v>4.0000000000000001E-3</v>
      </c>
      <c r="Z20">
        <v>0.215</v>
      </c>
      <c r="AA20">
        <v>0.42</v>
      </c>
      <c r="AB20">
        <v>0.58599999999999997</v>
      </c>
      <c r="AC20">
        <v>3.8530000000000002</v>
      </c>
      <c r="AD20">
        <v>19.957999999999998</v>
      </c>
      <c r="AE20">
        <v>41.183999999999997</v>
      </c>
      <c r="AF20">
        <v>100</v>
      </c>
      <c r="AG20">
        <v>184.886</v>
      </c>
      <c r="AH20">
        <v>258.45800000000003</v>
      </c>
      <c r="AI20">
        <v>327.767</v>
      </c>
      <c r="AJ20">
        <v>370.512</v>
      </c>
      <c r="AK20">
        <v>417.25700000000001</v>
      </c>
      <c r="AL20">
        <v>499.38</v>
      </c>
      <c r="AM20">
        <v>462.33199999999999</v>
      </c>
      <c r="AN20">
        <v>565.86599999999999</v>
      </c>
      <c r="AO20">
        <v>702.62</v>
      </c>
      <c r="AP20">
        <v>752.29700000000003</v>
      </c>
      <c r="AQ20">
        <v>766.649</v>
      </c>
      <c r="AR20">
        <v>776</v>
      </c>
      <c r="AS20">
        <v>721.19600000000003</v>
      </c>
      <c r="AT20">
        <v>835.15499999999997</v>
      </c>
      <c r="AU20">
        <v>951.15</v>
      </c>
      <c r="AV20" s="21">
        <v>1066.5039999999999</v>
      </c>
      <c r="AW20" s="21">
        <v>1171.4159999999999</v>
      </c>
      <c r="AX20" s="21">
        <v>1272.4870000000001</v>
      </c>
      <c r="AY20">
        <v>2013</v>
      </c>
    </row>
    <row r="21" spans="1:51" ht="14.45" x14ac:dyDescent="0.35">
      <c r="A21">
        <v>614</v>
      </c>
      <c r="B21" t="s">
        <v>308</v>
      </c>
      <c r="C21" t="s">
        <v>298</v>
      </c>
      <c r="D21" t="s">
        <v>49</v>
      </c>
      <c r="E21" t="s">
        <v>299</v>
      </c>
      <c r="F21" t="s">
        <v>300</v>
      </c>
      <c r="G21" t="s">
        <v>282</v>
      </c>
      <c r="H21" t="s">
        <v>283</v>
      </c>
      <c r="I21" t="s">
        <v>311</v>
      </c>
      <c r="J21" t="s">
        <v>285</v>
      </c>
      <c r="K21" t="s">
        <v>285</v>
      </c>
      <c r="L21" t="s">
        <v>285</v>
      </c>
      <c r="M21" t="s">
        <v>285</v>
      </c>
      <c r="N21" t="s">
        <v>285</v>
      </c>
      <c r="O21" t="s">
        <v>285</v>
      </c>
      <c r="P21" t="s">
        <v>285</v>
      </c>
      <c r="Q21" t="s">
        <v>285</v>
      </c>
      <c r="R21" t="s">
        <v>285</v>
      </c>
      <c r="S21" t="s">
        <v>285</v>
      </c>
      <c r="T21" t="s">
        <v>285</v>
      </c>
      <c r="U21" t="s">
        <v>285</v>
      </c>
      <c r="V21" t="s">
        <v>285</v>
      </c>
      <c r="W21" t="s">
        <v>285</v>
      </c>
      <c r="X21" t="s">
        <v>285</v>
      </c>
      <c r="Y21" t="s">
        <v>285</v>
      </c>
      <c r="Z21">
        <v>0.33900000000000002</v>
      </c>
      <c r="AA21">
        <v>0.754</v>
      </c>
      <c r="AB21">
        <v>1.073</v>
      </c>
      <c r="AC21">
        <v>10.872999999999999</v>
      </c>
      <c r="AD21">
        <v>45.484000000000002</v>
      </c>
      <c r="AE21">
        <v>82.661000000000001</v>
      </c>
      <c r="AF21">
        <v>207.75299999999999</v>
      </c>
      <c r="AG21">
        <v>457.154</v>
      </c>
      <c r="AH21">
        <v>586.399</v>
      </c>
      <c r="AI21">
        <v>854.78499999999997</v>
      </c>
      <c r="AJ21" s="21">
        <v>1288.3530000000001</v>
      </c>
      <c r="AK21" s="21">
        <v>1908.8420000000001</v>
      </c>
      <c r="AL21" s="21">
        <v>3498.7890000000002</v>
      </c>
      <c r="AM21" s="21">
        <v>2510.1970000000001</v>
      </c>
      <c r="AN21" s="21">
        <v>3034.0259999999998</v>
      </c>
      <c r="AO21" s="21">
        <v>3927.547</v>
      </c>
      <c r="AP21" s="21">
        <v>4548.7659999999996</v>
      </c>
      <c r="AQ21" s="21">
        <v>4888.6940000000004</v>
      </c>
      <c r="AR21" s="21">
        <v>5222.0159999999996</v>
      </c>
      <c r="AS21" s="21">
        <v>3781.6849999999999</v>
      </c>
      <c r="AT21" s="21">
        <v>4248.9359999999997</v>
      </c>
      <c r="AU21" s="21">
        <v>5164.7529999999997</v>
      </c>
      <c r="AV21" s="21">
        <v>5795.43</v>
      </c>
      <c r="AW21" s="21">
        <v>6402.3469999999998</v>
      </c>
      <c r="AX21" s="21">
        <v>7092.8490000000002</v>
      </c>
      <c r="AY21">
        <v>2013</v>
      </c>
    </row>
    <row r="22" spans="1:51" ht="14.45" x14ac:dyDescent="0.35">
      <c r="A22">
        <v>311</v>
      </c>
      <c r="B22" t="s">
        <v>312</v>
      </c>
      <c r="C22" t="s">
        <v>279</v>
      </c>
      <c r="D22" t="s">
        <v>50</v>
      </c>
      <c r="E22" t="s">
        <v>280</v>
      </c>
      <c r="F22" t="s">
        <v>281</v>
      </c>
      <c r="G22" t="s">
        <v>282</v>
      </c>
      <c r="H22" t="s">
        <v>283</v>
      </c>
      <c r="I22" t="s">
        <v>313</v>
      </c>
      <c r="J22">
        <v>0.84399999999999997</v>
      </c>
      <c r="K22">
        <v>0.872</v>
      </c>
      <c r="L22">
        <v>0.86399999999999999</v>
      </c>
      <c r="M22">
        <v>0.91800000000000004</v>
      </c>
      <c r="N22">
        <v>1.0129999999999999</v>
      </c>
      <c r="O22">
        <v>1.089</v>
      </c>
      <c r="P22">
        <v>1.179</v>
      </c>
      <c r="Q22">
        <v>1.2629999999999999</v>
      </c>
      <c r="R22">
        <v>1.331</v>
      </c>
      <c r="S22">
        <v>1.4119999999999999</v>
      </c>
      <c r="T22">
        <v>1.4510000000000001</v>
      </c>
      <c r="U22">
        <v>1.49</v>
      </c>
      <c r="V22">
        <v>1.5049999999999999</v>
      </c>
      <c r="W22">
        <v>1.587</v>
      </c>
      <c r="X22">
        <v>1.6879999999999999</v>
      </c>
      <c r="Y22">
        <v>1.603</v>
      </c>
      <c r="Z22">
        <v>1.7</v>
      </c>
      <c r="AA22">
        <v>1.8029999999999999</v>
      </c>
      <c r="AB22">
        <v>1.897</v>
      </c>
      <c r="AC22">
        <v>1.98</v>
      </c>
      <c r="AD22">
        <v>2.048</v>
      </c>
      <c r="AE22">
        <v>1.9570000000000001</v>
      </c>
      <c r="AF22">
        <v>2.0070000000000001</v>
      </c>
      <c r="AG22">
        <v>2.1219999999999999</v>
      </c>
      <c r="AH22">
        <v>2.19</v>
      </c>
      <c r="AI22">
        <v>2.3479999999999999</v>
      </c>
      <c r="AJ22">
        <v>2.6469999999999998</v>
      </c>
      <c r="AK22">
        <v>2.8340000000000001</v>
      </c>
      <c r="AL22">
        <v>2.8780000000000001</v>
      </c>
      <c r="AM22">
        <v>2.5710000000000002</v>
      </c>
      <c r="AN22">
        <v>2.351</v>
      </c>
      <c r="AO22">
        <v>2.3079999999999998</v>
      </c>
      <c r="AP22">
        <v>2.391</v>
      </c>
      <c r="AQ22">
        <v>2.4279999999999999</v>
      </c>
      <c r="AR22">
        <v>2.5299999999999998</v>
      </c>
      <c r="AS22">
        <v>2.5840000000000001</v>
      </c>
      <c r="AT22">
        <v>2.6389999999999998</v>
      </c>
      <c r="AU22">
        <v>2.702</v>
      </c>
      <c r="AV22">
        <v>2.7749999999999999</v>
      </c>
      <c r="AW22">
        <v>2.85</v>
      </c>
      <c r="AX22">
        <v>2.927</v>
      </c>
      <c r="AY22">
        <v>2014</v>
      </c>
    </row>
    <row r="23" spans="1:51" ht="14.45" x14ac:dyDescent="0.35">
      <c r="A23">
        <v>311</v>
      </c>
      <c r="B23" t="s">
        <v>312</v>
      </c>
      <c r="C23" t="s">
        <v>286</v>
      </c>
      <c r="D23" t="s">
        <v>50</v>
      </c>
      <c r="E23" t="s">
        <v>287</v>
      </c>
      <c r="F23" t="s">
        <v>288</v>
      </c>
      <c r="G23" t="s">
        <v>282</v>
      </c>
      <c r="H23" t="s">
        <v>283</v>
      </c>
      <c r="I23" t="s">
        <v>313</v>
      </c>
      <c r="J23">
        <v>0.35499999999999998</v>
      </c>
      <c r="K23">
        <v>0.39900000000000002</v>
      </c>
      <c r="L23">
        <v>0.44400000000000001</v>
      </c>
      <c r="M23">
        <v>0.49199999999999999</v>
      </c>
      <c r="N23">
        <v>0.56299999999999994</v>
      </c>
      <c r="O23">
        <v>0.65</v>
      </c>
      <c r="P23">
        <v>0.78400000000000003</v>
      </c>
      <c r="Q23">
        <v>0.91</v>
      </c>
      <c r="R23">
        <v>1.0760000000000001</v>
      </c>
      <c r="S23">
        <v>1.1850000000000001</v>
      </c>
      <c r="T23">
        <v>1.2410000000000001</v>
      </c>
      <c r="U23">
        <v>1.3009999999999999</v>
      </c>
      <c r="V23">
        <v>1.3480000000000001</v>
      </c>
      <c r="W23">
        <v>1.4450000000000001</v>
      </c>
      <c r="X23">
        <v>1.591</v>
      </c>
      <c r="Y23">
        <v>1.5589999999999999</v>
      </c>
      <c r="Z23">
        <v>1.7110000000000001</v>
      </c>
      <c r="AA23">
        <v>1.8380000000000001</v>
      </c>
      <c r="AB23">
        <v>1.9650000000000001</v>
      </c>
      <c r="AC23">
        <v>2.069</v>
      </c>
      <c r="AD23">
        <v>2.1160000000000001</v>
      </c>
      <c r="AE23">
        <v>2.089</v>
      </c>
      <c r="AF23">
        <v>2.1669999999999998</v>
      </c>
      <c r="AG23">
        <v>2.2679999999999998</v>
      </c>
      <c r="AH23">
        <v>2.4260000000000002</v>
      </c>
      <c r="AI23">
        <v>2.6930000000000001</v>
      </c>
      <c r="AJ23">
        <v>3.0649999999999999</v>
      </c>
      <c r="AK23">
        <v>3.4809999999999999</v>
      </c>
      <c r="AL23">
        <v>3.6379999999999999</v>
      </c>
      <c r="AM23">
        <v>3.2570000000000001</v>
      </c>
      <c r="AN23">
        <v>3.0659999999999998</v>
      </c>
      <c r="AO23">
        <v>3.0510000000000002</v>
      </c>
      <c r="AP23">
        <v>3.2530000000000001</v>
      </c>
      <c r="AQ23">
        <v>3.2</v>
      </c>
      <c r="AR23">
        <v>3.37</v>
      </c>
      <c r="AS23">
        <v>3.47</v>
      </c>
      <c r="AT23">
        <v>3.5859999999999999</v>
      </c>
      <c r="AU23">
        <v>3.7429999999999999</v>
      </c>
      <c r="AV23">
        <v>3.9369999999999998</v>
      </c>
      <c r="AW23">
        <v>4.1470000000000002</v>
      </c>
      <c r="AX23">
        <v>4.367</v>
      </c>
      <c r="AY23">
        <v>2014</v>
      </c>
    </row>
    <row r="24" spans="1:51" ht="14.45" x14ac:dyDescent="0.35">
      <c r="A24">
        <v>311</v>
      </c>
      <c r="B24" t="s">
        <v>312</v>
      </c>
      <c r="C24" t="s">
        <v>289</v>
      </c>
      <c r="D24" t="s">
        <v>50</v>
      </c>
      <c r="E24" t="s">
        <v>287</v>
      </c>
      <c r="F24" t="s">
        <v>290</v>
      </c>
      <c r="G24" t="s">
        <v>291</v>
      </c>
      <c r="H24" t="s">
        <v>283</v>
      </c>
      <c r="I24" t="s">
        <v>292</v>
      </c>
      <c r="J24">
        <v>0.13100000000000001</v>
      </c>
      <c r="K24">
        <v>0.14799999999999999</v>
      </c>
      <c r="L24">
        <v>0.16400000000000001</v>
      </c>
      <c r="M24">
        <v>0.182</v>
      </c>
      <c r="N24">
        <v>0.20799999999999999</v>
      </c>
      <c r="O24">
        <v>0.24099999999999999</v>
      </c>
      <c r="P24">
        <v>0.28999999999999998</v>
      </c>
      <c r="Q24">
        <v>0.33700000000000002</v>
      </c>
      <c r="R24">
        <v>0.39900000000000002</v>
      </c>
      <c r="S24">
        <v>0.439</v>
      </c>
      <c r="T24">
        <v>0.45900000000000002</v>
      </c>
      <c r="U24">
        <v>0.48199999999999998</v>
      </c>
      <c r="V24">
        <v>0.499</v>
      </c>
      <c r="W24">
        <v>0.53500000000000003</v>
      </c>
      <c r="X24">
        <v>0.58899999999999997</v>
      </c>
      <c r="Y24">
        <v>0.57699999999999996</v>
      </c>
      <c r="Z24">
        <v>0.63400000000000001</v>
      </c>
      <c r="AA24">
        <v>0.68100000000000005</v>
      </c>
      <c r="AB24">
        <v>0.72799999999999998</v>
      </c>
      <c r="AC24">
        <v>0.76600000000000001</v>
      </c>
      <c r="AD24">
        <v>0.78400000000000003</v>
      </c>
      <c r="AE24">
        <v>0.77400000000000002</v>
      </c>
      <c r="AF24">
        <v>0.80300000000000005</v>
      </c>
      <c r="AG24">
        <v>0.84</v>
      </c>
      <c r="AH24">
        <v>0.89800000000000002</v>
      </c>
      <c r="AI24">
        <v>0.997</v>
      </c>
      <c r="AJ24">
        <v>1.135</v>
      </c>
      <c r="AK24">
        <v>1.2889999999999999</v>
      </c>
      <c r="AL24">
        <v>1.347</v>
      </c>
      <c r="AM24">
        <v>1.206</v>
      </c>
      <c r="AN24">
        <v>1.1359999999999999</v>
      </c>
      <c r="AO24">
        <v>1.1299999999999999</v>
      </c>
      <c r="AP24">
        <v>1.2050000000000001</v>
      </c>
      <c r="AQ24">
        <v>1.1850000000000001</v>
      </c>
      <c r="AR24">
        <v>1.248</v>
      </c>
      <c r="AS24">
        <v>1.2849999999999999</v>
      </c>
      <c r="AT24">
        <v>1.3280000000000001</v>
      </c>
      <c r="AU24">
        <v>1.3859999999999999</v>
      </c>
      <c r="AV24">
        <v>1.458</v>
      </c>
      <c r="AW24">
        <v>1.536</v>
      </c>
      <c r="AX24">
        <v>1.617</v>
      </c>
      <c r="AY24">
        <v>2014</v>
      </c>
    </row>
    <row r="25" spans="1:51" ht="14.45" x14ac:dyDescent="0.35">
      <c r="A25">
        <v>311</v>
      </c>
      <c r="B25" t="s">
        <v>312</v>
      </c>
      <c r="C25" t="s">
        <v>293</v>
      </c>
      <c r="D25" t="s">
        <v>50</v>
      </c>
      <c r="E25" t="s">
        <v>294</v>
      </c>
      <c r="F25" t="s">
        <v>295</v>
      </c>
      <c r="G25" t="s">
        <v>296</v>
      </c>
      <c r="I25" t="s">
        <v>297</v>
      </c>
      <c r="J25">
        <v>42.051000000000002</v>
      </c>
      <c r="K25">
        <v>45.774000000000001</v>
      </c>
      <c r="L25">
        <v>51.384999999999998</v>
      </c>
      <c r="M25">
        <v>53.594999999999999</v>
      </c>
      <c r="N25">
        <v>55.543999999999997</v>
      </c>
      <c r="O25">
        <v>59.735999999999997</v>
      </c>
      <c r="P25">
        <v>66.537999999999997</v>
      </c>
      <c r="Q25">
        <v>72.094999999999999</v>
      </c>
      <c r="R25">
        <v>80.855000000000004</v>
      </c>
      <c r="S25">
        <v>83.888000000000005</v>
      </c>
      <c r="T25">
        <v>85.477999999999994</v>
      </c>
      <c r="U25">
        <v>87.296999999999997</v>
      </c>
      <c r="V25">
        <v>89.587000000000003</v>
      </c>
      <c r="W25">
        <v>91.042000000000002</v>
      </c>
      <c r="X25">
        <v>94.286000000000001</v>
      </c>
      <c r="Y25">
        <v>97.254999999999995</v>
      </c>
      <c r="Z25">
        <v>100.628</v>
      </c>
      <c r="AA25">
        <v>101.9</v>
      </c>
      <c r="AB25">
        <v>103.622</v>
      </c>
      <c r="AC25">
        <v>104.486</v>
      </c>
      <c r="AD25">
        <v>103.36</v>
      </c>
      <c r="AE25">
        <v>106.732</v>
      </c>
      <c r="AF25">
        <v>107.964</v>
      </c>
      <c r="AG25">
        <v>106.905</v>
      </c>
      <c r="AH25">
        <v>110.748</v>
      </c>
      <c r="AI25">
        <v>114.682</v>
      </c>
      <c r="AJ25">
        <v>115.79900000000001</v>
      </c>
      <c r="AK25">
        <v>122.836</v>
      </c>
      <c r="AL25">
        <v>126.42100000000001</v>
      </c>
      <c r="AM25">
        <v>126.712</v>
      </c>
      <c r="AN25">
        <v>130.38800000000001</v>
      </c>
      <c r="AO25">
        <v>132.21100000000001</v>
      </c>
      <c r="AP25">
        <v>136.05199999999999</v>
      </c>
      <c r="AQ25">
        <v>131.80099999999999</v>
      </c>
      <c r="AR25">
        <v>133.22200000000001</v>
      </c>
      <c r="AS25">
        <v>134.28800000000001</v>
      </c>
      <c r="AT25">
        <v>135.89699999999999</v>
      </c>
      <c r="AU25">
        <v>138.50700000000001</v>
      </c>
      <c r="AV25">
        <v>141.87299999999999</v>
      </c>
      <c r="AW25">
        <v>145.477</v>
      </c>
      <c r="AX25">
        <v>149.173</v>
      </c>
      <c r="AY25">
        <v>2014</v>
      </c>
    </row>
    <row r="26" spans="1:51" ht="14.45" x14ac:dyDescent="0.35">
      <c r="A26">
        <v>311</v>
      </c>
      <c r="B26" t="s">
        <v>312</v>
      </c>
      <c r="C26" t="s">
        <v>298</v>
      </c>
      <c r="D26" t="s">
        <v>50</v>
      </c>
      <c r="E26" t="s">
        <v>299</v>
      </c>
      <c r="F26" t="s">
        <v>300</v>
      </c>
      <c r="G26" t="s">
        <v>282</v>
      </c>
      <c r="H26" t="s">
        <v>283</v>
      </c>
      <c r="I26" t="s">
        <v>314</v>
      </c>
      <c r="J26" t="s">
        <v>285</v>
      </c>
      <c r="K26" t="s">
        <v>285</v>
      </c>
      <c r="L26" t="s">
        <v>285</v>
      </c>
      <c r="M26" t="s">
        <v>285</v>
      </c>
      <c r="N26" t="s">
        <v>285</v>
      </c>
      <c r="O26" t="s">
        <v>285</v>
      </c>
      <c r="P26" t="s">
        <v>285</v>
      </c>
      <c r="Q26" t="s">
        <v>285</v>
      </c>
      <c r="R26" t="s">
        <v>285</v>
      </c>
      <c r="S26" t="s">
        <v>285</v>
      </c>
      <c r="T26">
        <v>0.23400000000000001</v>
      </c>
      <c r="U26">
        <v>0.28299999999999997</v>
      </c>
      <c r="V26">
        <v>0.26500000000000001</v>
      </c>
      <c r="W26">
        <v>0.29699999999999999</v>
      </c>
      <c r="X26">
        <v>0.35699999999999998</v>
      </c>
      <c r="Y26">
        <v>0.34899999999999998</v>
      </c>
      <c r="Z26">
        <v>0.35899999999999999</v>
      </c>
      <c r="AA26">
        <v>0.34399999999999997</v>
      </c>
      <c r="AB26">
        <v>0.53200000000000003</v>
      </c>
      <c r="AC26">
        <v>0.45500000000000002</v>
      </c>
      <c r="AD26">
        <v>0.69299999999999995</v>
      </c>
      <c r="AE26">
        <v>0.66800000000000004</v>
      </c>
      <c r="AF26">
        <v>0.84299999999999997</v>
      </c>
      <c r="AG26">
        <v>0.88400000000000001</v>
      </c>
      <c r="AH26">
        <v>0.79800000000000004</v>
      </c>
      <c r="AI26">
        <v>0.94199999999999995</v>
      </c>
      <c r="AJ26">
        <v>0.95199999999999996</v>
      </c>
      <c r="AK26">
        <v>0.93200000000000005</v>
      </c>
      <c r="AL26">
        <v>0.98599999999999999</v>
      </c>
      <c r="AM26">
        <v>1.2030000000000001</v>
      </c>
      <c r="AN26">
        <v>0.69699999999999995</v>
      </c>
      <c r="AO26">
        <v>0.73299999999999998</v>
      </c>
      <c r="AP26">
        <v>0.68300000000000005</v>
      </c>
      <c r="AQ26">
        <v>0.74099999999999999</v>
      </c>
      <c r="AR26">
        <v>0.77600000000000002</v>
      </c>
      <c r="AS26">
        <v>1.0489999999999999</v>
      </c>
      <c r="AT26">
        <v>0.70299999999999996</v>
      </c>
      <c r="AU26">
        <v>0.72599999999999998</v>
      </c>
      <c r="AV26">
        <v>0.76400000000000001</v>
      </c>
      <c r="AW26">
        <v>0.79700000000000004</v>
      </c>
      <c r="AX26">
        <v>0.83599999999999997</v>
      </c>
      <c r="AY26">
        <v>2014</v>
      </c>
    </row>
    <row r="27" spans="1:51" ht="14.45" x14ac:dyDescent="0.35">
      <c r="A27">
        <v>213</v>
      </c>
      <c r="B27" t="s">
        <v>315</v>
      </c>
      <c r="C27" t="s">
        <v>279</v>
      </c>
      <c r="D27" t="s">
        <v>51</v>
      </c>
      <c r="E27" t="s">
        <v>280</v>
      </c>
      <c r="F27" t="s">
        <v>281</v>
      </c>
      <c r="G27" t="s">
        <v>282</v>
      </c>
      <c r="H27" t="s">
        <v>283</v>
      </c>
      <c r="I27" t="s">
        <v>316</v>
      </c>
      <c r="J27">
        <v>394.72500000000002</v>
      </c>
      <c r="K27">
        <v>372.053</v>
      </c>
      <c r="L27">
        <v>360.33800000000002</v>
      </c>
      <c r="M27">
        <v>373.791</v>
      </c>
      <c r="N27">
        <v>381.26799999999997</v>
      </c>
      <c r="O27">
        <v>354.76499999999999</v>
      </c>
      <c r="P27">
        <v>380.11500000000001</v>
      </c>
      <c r="Q27">
        <v>389.72699999999998</v>
      </c>
      <c r="R27">
        <v>382.10199999999998</v>
      </c>
      <c r="S27">
        <v>355.32799999999997</v>
      </c>
      <c r="T27">
        <v>350.57499999999999</v>
      </c>
      <c r="U27">
        <v>387.37900000000002</v>
      </c>
      <c r="V27">
        <v>427.27699999999999</v>
      </c>
      <c r="W27">
        <v>453.98599999999999</v>
      </c>
      <c r="X27">
        <v>480.48099999999999</v>
      </c>
      <c r="Y27">
        <v>466.81099999999998</v>
      </c>
      <c r="Z27">
        <v>492.60899999999998</v>
      </c>
      <c r="AA27">
        <v>532.56500000000005</v>
      </c>
      <c r="AB27">
        <v>553.07000000000005</v>
      </c>
      <c r="AC27">
        <v>534.346</v>
      </c>
      <c r="AD27">
        <v>530.13</v>
      </c>
      <c r="AE27">
        <v>506.75799999999998</v>
      </c>
      <c r="AF27">
        <v>451.54899999999998</v>
      </c>
      <c r="AG27">
        <v>491.452</v>
      </c>
      <c r="AH27">
        <v>535.82799999999997</v>
      </c>
      <c r="AI27">
        <v>585.26599999999996</v>
      </c>
      <c r="AJ27">
        <v>634.28300000000002</v>
      </c>
      <c r="AK27">
        <v>684.80700000000002</v>
      </c>
      <c r="AL27">
        <v>705.86500000000001</v>
      </c>
      <c r="AM27">
        <v>706.21799999999996</v>
      </c>
      <c r="AN27">
        <v>772.96699999999998</v>
      </c>
      <c r="AO27">
        <v>837.79100000000005</v>
      </c>
      <c r="AP27">
        <v>844.50800000000004</v>
      </c>
      <c r="AQ27">
        <v>868.875</v>
      </c>
      <c r="AR27">
        <v>872.91099999999994</v>
      </c>
      <c r="AS27">
        <v>876.49800000000005</v>
      </c>
      <c r="AT27">
        <v>869.97199999999998</v>
      </c>
      <c r="AU27">
        <v>870.01099999999997</v>
      </c>
      <c r="AV27">
        <v>871.26700000000005</v>
      </c>
      <c r="AW27">
        <v>873.09500000000003</v>
      </c>
      <c r="AX27">
        <v>875.14400000000001</v>
      </c>
      <c r="AY27">
        <v>2014</v>
      </c>
    </row>
    <row r="28" spans="1:51" ht="14.45" x14ac:dyDescent="0.35">
      <c r="A28">
        <v>213</v>
      </c>
      <c r="B28" t="s">
        <v>315</v>
      </c>
      <c r="C28" t="s">
        <v>286</v>
      </c>
      <c r="D28" t="s">
        <v>51</v>
      </c>
      <c r="E28" t="s">
        <v>287</v>
      </c>
      <c r="F28" t="s">
        <v>288</v>
      </c>
      <c r="G28" t="s">
        <v>282</v>
      </c>
      <c r="H28" t="s">
        <v>283</v>
      </c>
      <c r="I28" t="s">
        <v>316</v>
      </c>
      <c r="J28" t="s">
        <v>310</v>
      </c>
      <c r="K28" t="s">
        <v>310</v>
      </c>
      <c r="L28" t="s">
        <v>310</v>
      </c>
      <c r="M28" t="s">
        <v>310</v>
      </c>
      <c r="N28">
        <v>1E-3</v>
      </c>
      <c r="O28">
        <v>6.0000000000000001E-3</v>
      </c>
      <c r="P28">
        <v>1.2E-2</v>
      </c>
      <c r="Q28">
        <v>2.8000000000000001E-2</v>
      </c>
      <c r="R28">
        <v>0.13300000000000001</v>
      </c>
      <c r="S28">
        <v>3.8849999999999998</v>
      </c>
      <c r="T28">
        <v>82.52</v>
      </c>
      <c r="U28">
        <v>216.58699999999999</v>
      </c>
      <c r="V28">
        <v>271.35000000000002</v>
      </c>
      <c r="W28">
        <v>283.16500000000002</v>
      </c>
      <c r="X28">
        <v>308.33199999999999</v>
      </c>
      <c r="Y28">
        <v>309.35899999999998</v>
      </c>
      <c r="Z28">
        <v>325.97199999999998</v>
      </c>
      <c r="AA28">
        <v>350.745</v>
      </c>
      <c r="AB28">
        <v>358.13799999999998</v>
      </c>
      <c r="AC28">
        <v>339.83600000000001</v>
      </c>
      <c r="AD28">
        <v>340.74</v>
      </c>
      <c r="AE28">
        <v>322.23500000000001</v>
      </c>
      <c r="AF28">
        <v>373.22899999999998</v>
      </c>
      <c r="AG28">
        <v>450.017</v>
      </c>
      <c r="AH28">
        <v>535.82799999999997</v>
      </c>
      <c r="AI28">
        <v>647.25699999999995</v>
      </c>
      <c r="AJ28">
        <v>808.59299999999996</v>
      </c>
      <c r="AK28" s="21">
        <v>1027.3389999999999</v>
      </c>
      <c r="AL28" s="21">
        <v>1283.9059999999999</v>
      </c>
      <c r="AM28" s="21">
        <v>1411.5260000000001</v>
      </c>
      <c r="AN28" s="21">
        <v>1810.83</v>
      </c>
      <c r="AO28" s="21">
        <v>2312.009</v>
      </c>
      <c r="AP28" s="21">
        <v>2765.5749999999998</v>
      </c>
      <c r="AQ28" s="21">
        <v>3406.2649999999999</v>
      </c>
      <c r="AR28" s="21">
        <v>4412.3739999999998</v>
      </c>
      <c r="AS28" s="21">
        <v>5235.5169999999998</v>
      </c>
      <c r="AT28" s="21">
        <v>6463.183</v>
      </c>
      <c r="AU28" s="21">
        <v>8031.9629999999997</v>
      </c>
      <c r="AV28" s="21">
        <v>9970.43</v>
      </c>
      <c r="AW28" s="21">
        <v>12244.682000000001</v>
      </c>
      <c r="AX28" s="21">
        <v>14838.313</v>
      </c>
      <c r="AY28">
        <v>2014</v>
      </c>
    </row>
    <row r="29" spans="1:51" ht="14.45" x14ac:dyDescent="0.35">
      <c r="A29">
        <v>213</v>
      </c>
      <c r="B29" t="s">
        <v>315</v>
      </c>
      <c r="C29" t="s">
        <v>289</v>
      </c>
      <c r="D29" t="s">
        <v>51</v>
      </c>
      <c r="E29" t="s">
        <v>287</v>
      </c>
      <c r="F29" t="s">
        <v>290</v>
      </c>
      <c r="G29" t="s">
        <v>291</v>
      </c>
      <c r="H29" t="s">
        <v>283</v>
      </c>
      <c r="I29" t="s">
        <v>292</v>
      </c>
      <c r="J29">
        <v>250.255</v>
      </c>
      <c r="K29">
        <v>203.251</v>
      </c>
      <c r="L29">
        <v>100.928</v>
      </c>
      <c r="M29">
        <v>124.505</v>
      </c>
      <c r="N29">
        <v>139.79300000000001</v>
      </c>
      <c r="O29">
        <v>105.586</v>
      </c>
      <c r="P29">
        <v>126.96599999999999</v>
      </c>
      <c r="Q29">
        <v>130.17500000000001</v>
      </c>
      <c r="R29">
        <v>152.47499999999999</v>
      </c>
      <c r="S29">
        <v>97.825000000000003</v>
      </c>
      <c r="T29">
        <v>169.221</v>
      </c>
      <c r="U29">
        <v>226.999</v>
      </c>
      <c r="V29">
        <v>273.911</v>
      </c>
      <c r="W29">
        <v>283.16500000000002</v>
      </c>
      <c r="X29">
        <v>308.33199999999999</v>
      </c>
      <c r="Y29">
        <v>309.35899999999998</v>
      </c>
      <c r="Z29">
        <v>325.97199999999998</v>
      </c>
      <c r="AA29">
        <v>350.745</v>
      </c>
      <c r="AB29">
        <v>358.13799999999998</v>
      </c>
      <c r="AC29">
        <v>339.83600000000001</v>
      </c>
      <c r="AD29">
        <v>340.74</v>
      </c>
      <c r="AE29">
        <v>322.23500000000001</v>
      </c>
      <c r="AF29">
        <v>116.69499999999999</v>
      </c>
      <c r="AG29">
        <v>152.80699999999999</v>
      </c>
      <c r="AH29">
        <v>181.89400000000001</v>
      </c>
      <c r="AI29">
        <v>220.90700000000001</v>
      </c>
      <c r="AJ29">
        <v>262.81400000000002</v>
      </c>
      <c r="AK29">
        <v>329.27499999999998</v>
      </c>
      <c r="AL29">
        <v>403.74400000000003</v>
      </c>
      <c r="AM29">
        <v>376.82600000000002</v>
      </c>
      <c r="AN29">
        <v>461.65199999999999</v>
      </c>
      <c r="AO29">
        <v>558.68100000000004</v>
      </c>
      <c r="AP29">
        <v>607.596</v>
      </c>
      <c r="AQ29">
        <v>622.05399999999997</v>
      </c>
      <c r="AR29">
        <v>543.06100000000004</v>
      </c>
      <c r="AS29">
        <v>578.70500000000004</v>
      </c>
      <c r="AT29">
        <v>578.69200000000001</v>
      </c>
      <c r="AU29">
        <v>589.58500000000004</v>
      </c>
      <c r="AV29">
        <v>602.86800000000005</v>
      </c>
      <c r="AW29">
        <v>617.38599999999997</v>
      </c>
      <c r="AX29">
        <v>633.88900000000001</v>
      </c>
      <c r="AY29">
        <v>2014</v>
      </c>
    </row>
    <row r="30" spans="1:51" ht="14.45" x14ac:dyDescent="0.35">
      <c r="A30">
        <v>213</v>
      </c>
      <c r="B30" t="s">
        <v>315</v>
      </c>
      <c r="C30" t="s">
        <v>293</v>
      </c>
      <c r="D30" t="s">
        <v>51</v>
      </c>
      <c r="E30" t="s">
        <v>294</v>
      </c>
      <c r="F30" t="s">
        <v>295</v>
      </c>
      <c r="G30" t="s">
        <v>296</v>
      </c>
      <c r="I30" t="s">
        <v>297</v>
      </c>
      <c r="J30" t="s">
        <v>310</v>
      </c>
      <c r="K30" t="s">
        <v>310</v>
      </c>
      <c r="L30" t="s">
        <v>310</v>
      </c>
      <c r="M30" t="s">
        <v>310</v>
      </c>
      <c r="N30" t="s">
        <v>310</v>
      </c>
      <c r="O30">
        <v>2E-3</v>
      </c>
      <c r="P30">
        <v>3.0000000000000001E-3</v>
      </c>
      <c r="Q30">
        <v>7.0000000000000001E-3</v>
      </c>
      <c r="R30">
        <v>3.5000000000000003E-2</v>
      </c>
      <c r="S30">
        <v>1.093</v>
      </c>
      <c r="T30">
        <v>23.538</v>
      </c>
      <c r="U30">
        <v>55.911000000000001</v>
      </c>
      <c r="V30">
        <v>63.506999999999998</v>
      </c>
      <c r="W30">
        <v>62.372999999999998</v>
      </c>
      <c r="X30">
        <v>64.171000000000006</v>
      </c>
      <c r="Y30">
        <v>66.271000000000001</v>
      </c>
      <c r="Z30">
        <v>66.171999999999997</v>
      </c>
      <c r="AA30">
        <v>65.86</v>
      </c>
      <c r="AB30">
        <v>64.754999999999995</v>
      </c>
      <c r="AC30">
        <v>63.598999999999997</v>
      </c>
      <c r="AD30">
        <v>64.275000000000006</v>
      </c>
      <c r="AE30">
        <v>63.588000000000001</v>
      </c>
      <c r="AF30">
        <v>82.655000000000001</v>
      </c>
      <c r="AG30">
        <v>91.569000000000003</v>
      </c>
      <c r="AH30">
        <v>100</v>
      </c>
      <c r="AI30">
        <v>110.592</v>
      </c>
      <c r="AJ30">
        <v>127.48099999999999</v>
      </c>
      <c r="AK30">
        <v>150.01900000000001</v>
      </c>
      <c r="AL30">
        <v>181.89099999999999</v>
      </c>
      <c r="AM30">
        <v>199.87100000000001</v>
      </c>
      <c r="AN30">
        <v>234.27</v>
      </c>
      <c r="AO30">
        <v>275.96499999999997</v>
      </c>
      <c r="AP30">
        <v>327.47800000000001</v>
      </c>
      <c r="AQ30">
        <v>392.03199999999998</v>
      </c>
      <c r="AR30">
        <v>505.47800000000001</v>
      </c>
      <c r="AS30">
        <v>597.322</v>
      </c>
      <c r="AT30">
        <v>742.91800000000001</v>
      </c>
      <c r="AU30">
        <v>923.20299999999997</v>
      </c>
      <c r="AV30" s="21">
        <v>1144.3589999999999</v>
      </c>
      <c r="AW30" s="21">
        <v>1402.4459999999999</v>
      </c>
      <c r="AX30" s="21">
        <v>1695.528</v>
      </c>
      <c r="AY30">
        <v>2014</v>
      </c>
    </row>
    <row r="31" spans="1:51" ht="14.45" x14ac:dyDescent="0.35">
      <c r="A31">
        <v>213</v>
      </c>
      <c r="B31" t="s">
        <v>315</v>
      </c>
      <c r="C31" t="s">
        <v>298</v>
      </c>
      <c r="D31" t="s">
        <v>51</v>
      </c>
      <c r="E31" t="s">
        <v>299</v>
      </c>
      <c r="F31" t="s">
        <v>300</v>
      </c>
      <c r="G31" t="s">
        <v>282</v>
      </c>
      <c r="H31" t="s">
        <v>283</v>
      </c>
      <c r="I31" t="s">
        <v>317</v>
      </c>
      <c r="J31" t="s">
        <v>285</v>
      </c>
      <c r="K31" t="s">
        <v>285</v>
      </c>
      <c r="L31" t="s">
        <v>285</v>
      </c>
      <c r="M31" t="s">
        <v>285</v>
      </c>
      <c r="N31" t="s">
        <v>285</v>
      </c>
      <c r="O31" t="s">
        <v>285</v>
      </c>
      <c r="P31" t="s">
        <v>285</v>
      </c>
      <c r="Q31" t="s">
        <v>285</v>
      </c>
      <c r="R31" t="s">
        <v>285</v>
      </c>
      <c r="S31" t="s">
        <v>285</v>
      </c>
      <c r="T31" t="s">
        <v>285</v>
      </c>
      <c r="U31" t="s">
        <v>285</v>
      </c>
      <c r="V31" t="s">
        <v>285</v>
      </c>
      <c r="W31" t="s">
        <v>285</v>
      </c>
      <c r="X31" t="s">
        <v>285</v>
      </c>
      <c r="Y31">
        <v>65.956999999999994</v>
      </c>
      <c r="Z31">
        <v>69.031999999999996</v>
      </c>
      <c r="AA31">
        <v>73.938999999999993</v>
      </c>
      <c r="AB31">
        <v>77.307000000000002</v>
      </c>
      <c r="AC31">
        <v>80.73</v>
      </c>
      <c r="AD31">
        <v>80.221000000000004</v>
      </c>
      <c r="AE31">
        <v>79.400999999999996</v>
      </c>
      <c r="AF31">
        <v>76.367999999999995</v>
      </c>
      <c r="AG31">
        <v>92.521000000000001</v>
      </c>
      <c r="AH31">
        <v>111.566</v>
      </c>
      <c r="AI31">
        <v>142.26</v>
      </c>
      <c r="AJ31">
        <v>180.74199999999999</v>
      </c>
      <c r="AK31">
        <v>252.90600000000001</v>
      </c>
      <c r="AL31">
        <v>334.988</v>
      </c>
      <c r="AM31">
        <v>415.43200000000002</v>
      </c>
      <c r="AN31">
        <v>535.71699999999998</v>
      </c>
      <c r="AO31">
        <v>732.91399999999999</v>
      </c>
      <c r="AP31">
        <v>936.15499999999997</v>
      </c>
      <c r="AQ31" s="21">
        <v>1206.287</v>
      </c>
      <c r="AR31" s="21">
        <v>1683.127</v>
      </c>
      <c r="AS31" s="21">
        <v>2111.5909999999999</v>
      </c>
      <c r="AT31" s="21">
        <v>2582.4920000000002</v>
      </c>
      <c r="AU31" s="21">
        <v>3236.1289999999999</v>
      </c>
      <c r="AV31" s="21">
        <v>4039.6460000000002</v>
      </c>
      <c r="AW31" s="21">
        <v>4991.63</v>
      </c>
      <c r="AX31" s="21">
        <v>6102.49</v>
      </c>
      <c r="AY31">
        <v>2014</v>
      </c>
    </row>
    <row r="32" spans="1:51" ht="14.45" x14ac:dyDescent="0.35">
      <c r="A32">
        <v>911</v>
      </c>
      <c r="B32" t="s">
        <v>318</v>
      </c>
      <c r="C32" t="s">
        <v>279</v>
      </c>
      <c r="D32" t="s">
        <v>52</v>
      </c>
      <c r="E32" t="s">
        <v>280</v>
      </c>
      <c r="F32" t="s">
        <v>281</v>
      </c>
      <c r="G32" t="s">
        <v>282</v>
      </c>
      <c r="H32" t="s">
        <v>283</v>
      </c>
      <c r="I32" t="s">
        <v>319</v>
      </c>
      <c r="J32" t="s">
        <v>285</v>
      </c>
      <c r="K32" t="s">
        <v>285</v>
      </c>
      <c r="L32" t="s">
        <v>285</v>
      </c>
      <c r="M32" t="s">
        <v>285</v>
      </c>
      <c r="N32" t="s">
        <v>285</v>
      </c>
      <c r="O32" t="s">
        <v>285</v>
      </c>
      <c r="P32" t="s">
        <v>285</v>
      </c>
      <c r="Q32" t="s">
        <v>285</v>
      </c>
      <c r="R32" t="s">
        <v>285</v>
      </c>
      <c r="S32" t="s">
        <v>285</v>
      </c>
      <c r="T32" t="s">
        <v>285</v>
      </c>
      <c r="U32" t="s">
        <v>285</v>
      </c>
      <c r="V32" s="21">
        <v>1005.093</v>
      </c>
      <c r="W32">
        <v>863.83699999999999</v>
      </c>
      <c r="X32">
        <v>910.48400000000004</v>
      </c>
      <c r="Y32">
        <v>983.62199999999996</v>
      </c>
      <c r="Z32" s="21">
        <v>1034.4680000000001</v>
      </c>
      <c r="AA32" s="21">
        <v>1069.509</v>
      </c>
      <c r="AB32" s="21">
        <v>1136.579</v>
      </c>
      <c r="AC32" s="21">
        <v>1172.6110000000001</v>
      </c>
      <c r="AD32" s="21">
        <v>1241.239</v>
      </c>
      <c r="AE32" s="21">
        <v>1358.76</v>
      </c>
      <c r="AF32" s="21">
        <v>1559.952</v>
      </c>
      <c r="AG32" s="21">
        <v>1779.1590000000001</v>
      </c>
      <c r="AH32" s="21">
        <v>1965.4849999999999</v>
      </c>
      <c r="AI32" s="21">
        <v>2242.8809999999999</v>
      </c>
      <c r="AJ32" s="21">
        <v>2538.8960000000002</v>
      </c>
      <c r="AK32" s="21">
        <v>2887.9740000000002</v>
      </c>
      <c r="AL32" s="21">
        <v>3088.6210000000001</v>
      </c>
      <c r="AM32" s="21">
        <v>2651.5839999999998</v>
      </c>
      <c r="AN32" s="21">
        <v>2709.9160000000002</v>
      </c>
      <c r="AO32" s="21">
        <v>2837.2730000000001</v>
      </c>
      <c r="AP32" s="21">
        <v>3039.694</v>
      </c>
      <c r="AQ32" s="21">
        <v>3147.0749999999998</v>
      </c>
      <c r="AR32" s="21">
        <v>3255.0610000000001</v>
      </c>
      <c r="AS32" s="21">
        <v>3335.2730000000001</v>
      </c>
      <c r="AT32" s="21">
        <v>3407.538</v>
      </c>
      <c r="AU32" s="21">
        <v>3501.2449999999999</v>
      </c>
      <c r="AV32" s="21">
        <v>3606.2829999999999</v>
      </c>
      <c r="AW32" s="21">
        <v>3732.5030000000002</v>
      </c>
      <c r="AX32" s="21">
        <v>3863.14</v>
      </c>
      <c r="AY32">
        <v>2014</v>
      </c>
    </row>
    <row r="33" spans="1:51" ht="14.45" x14ac:dyDescent="0.35">
      <c r="A33">
        <v>911</v>
      </c>
      <c r="B33" t="s">
        <v>318</v>
      </c>
      <c r="C33" t="s">
        <v>286</v>
      </c>
      <c r="D33" t="s">
        <v>52</v>
      </c>
      <c r="E33" t="s">
        <v>287</v>
      </c>
      <c r="F33" t="s">
        <v>288</v>
      </c>
      <c r="G33" t="s">
        <v>282</v>
      </c>
      <c r="H33" t="s">
        <v>283</v>
      </c>
      <c r="I33" t="s">
        <v>319</v>
      </c>
      <c r="J33" t="s">
        <v>285</v>
      </c>
      <c r="K33" t="s">
        <v>285</v>
      </c>
      <c r="L33" t="s">
        <v>285</v>
      </c>
      <c r="M33" t="s">
        <v>285</v>
      </c>
      <c r="N33" t="s">
        <v>285</v>
      </c>
      <c r="O33" t="s">
        <v>285</v>
      </c>
      <c r="P33" t="s">
        <v>285</v>
      </c>
      <c r="Q33" t="s">
        <v>285</v>
      </c>
      <c r="R33" t="s">
        <v>285</v>
      </c>
      <c r="S33" t="s">
        <v>285</v>
      </c>
      <c r="T33" t="s">
        <v>285</v>
      </c>
      <c r="U33" t="s">
        <v>285</v>
      </c>
      <c r="V33">
        <v>0.29499999999999998</v>
      </c>
      <c r="W33">
        <v>3.8969999999999998</v>
      </c>
      <c r="X33">
        <v>187.065</v>
      </c>
      <c r="Y33">
        <v>522.25599999999997</v>
      </c>
      <c r="Z33">
        <v>661.20899999999995</v>
      </c>
      <c r="AA33">
        <v>804.33600000000001</v>
      </c>
      <c r="AB33">
        <v>955.38499999999999</v>
      </c>
      <c r="AC33">
        <v>987.44399999999996</v>
      </c>
      <c r="AD33" s="21">
        <v>1031.338</v>
      </c>
      <c r="AE33" s="21">
        <v>1175.877</v>
      </c>
      <c r="AF33" s="21">
        <v>1362.472</v>
      </c>
      <c r="AG33" s="21">
        <v>1624.643</v>
      </c>
      <c r="AH33" s="21">
        <v>1907.9449999999999</v>
      </c>
      <c r="AI33" s="21">
        <v>2242.8809999999999</v>
      </c>
      <c r="AJ33" s="21">
        <v>2656.19</v>
      </c>
      <c r="AK33" s="21">
        <v>3149.2829999999999</v>
      </c>
      <c r="AL33" s="21">
        <v>3568.2280000000001</v>
      </c>
      <c r="AM33" s="21">
        <v>3141.6509999999998</v>
      </c>
      <c r="AN33" s="21">
        <v>3460.203</v>
      </c>
      <c r="AO33" s="21">
        <v>3777.9459999999999</v>
      </c>
      <c r="AP33" s="21">
        <v>4266.4610000000002</v>
      </c>
      <c r="AQ33" s="21">
        <v>4555.6379999999999</v>
      </c>
      <c r="AR33" s="21">
        <v>4843.1530000000002</v>
      </c>
      <c r="AS33" s="21">
        <v>5122.3789999999999</v>
      </c>
      <c r="AT33" s="21">
        <v>5442.7830000000004</v>
      </c>
      <c r="AU33" s="21">
        <v>5816.1580000000004</v>
      </c>
      <c r="AV33" s="21">
        <v>6230.268</v>
      </c>
      <c r="AW33" s="21">
        <v>6706.2610000000004</v>
      </c>
      <c r="AX33" s="21">
        <v>7218.6189999999997</v>
      </c>
      <c r="AY33">
        <v>2014</v>
      </c>
    </row>
    <row r="34" spans="1:51" ht="14.45" x14ac:dyDescent="0.35">
      <c r="A34">
        <v>911</v>
      </c>
      <c r="B34" t="s">
        <v>318</v>
      </c>
      <c r="C34" t="s">
        <v>289</v>
      </c>
      <c r="D34" t="s">
        <v>52</v>
      </c>
      <c r="E34" t="s">
        <v>287</v>
      </c>
      <c r="F34" t="s">
        <v>290</v>
      </c>
      <c r="G34" t="s">
        <v>291</v>
      </c>
      <c r="H34" t="s">
        <v>283</v>
      </c>
      <c r="I34" t="s">
        <v>292</v>
      </c>
      <c r="J34" t="s">
        <v>285</v>
      </c>
      <c r="K34" t="s">
        <v>285</v>
      </c>
      <c r="L34" t="s">
        <v>285</v>
      </c>
      <c r="M34" t="s">
        <v>285</v>
      </c>
      <c r="N34" t="s">
        <v>285</v>
      </c>
      <c r="O34" t="s">
        <v>285</v>
      </c>
      <c r="P34" t="s">
        <v>285</v>
      </c>
      <c r="Q34" t="s">
        <v>285</v>
      </c>
      <c r="R34" t="s">
        <v>285</v>
      </c>
      <c r="S34" t="s">
        <v>285</v>
      </c>
      <c r="T34" t="s">
        <v>285</v>
      </c>
      <c r="U34" t="s">
        <v>285</v>
      </c>
      <c r="V34">
        <v>0.108</v>
      </c>
      <c r="W34">
        <v>0.83499999999999996</v>
      </c>
      <c r="X34">
        <v>0.64800000000000002</v>
      </c>
      <c r="Y34">
        <v>1.2869999999999999</v>
      </c>
      <c r="Z34">
        <v>1.597</v>
      </c>
      <c r="AA34">
        <v>1.639</v>
      </c>
      <c r="AB34">
        <v>1.8919999999999999</v>
      </c>
      <c r="AC34">
        <v>1.845</v>
      </c>
      <c r="AD34">
        <v>1.9119999999999999</v>
      </c>
      <c r="AE34">
        <v>2.1179999999999999</v>
      </c>
      <c r="AF34">
        <v>2.3759999999999999</v>
      </c>
      <c r="AG34">
        <v>2.8069999999999999</v>
      </c>
      <c r="AH34">
        <v>3.577</v>
      </c>
      <c r="AI34">
        <v>4.9000000000000004</v>
      </c>
      <c r="AJ34">
        <v>6.3840000000000003</v>
      </c>
      <c r="AK34">
        <v>9.2059999999999995</v>
      </c>
      <c r="AL34">
        <v>11.662000000000001</v>
      </c>
      <c r="AM34">
        <v>8.6479999999999997</v>
      </c>
      <c r="AN34">
        <v>9.26</v>
      </c>
      <c r="AO34">
        <v>10.141999999999999</v>
      </c>
      <c r="AP34">
        <v>10.619</v>
      </c>
      <c r="AQ34">
        <v>11.121</v>
      </c>
      <c r="AR34">
        <v>11.644</v>
      </c>
      <c r="AS34">
        <v>10.606999999999999</v>
      </c>
      <c r="AT34">
        <v>10.672000000000001</v>
      </c>
      <c r="AU34">
        <v>11.074</v>
      </c>
      <c r="AV34">
        <v>11.63</v>
      </c>
      <c r="AW34">
        <v>12.273</v>
      </c>
      <c r="AX34">
        <v>12.939</v>
      </c>
      <c r="AY34">
        <v>2014</v>
      </c>
    </row>
    <row r="35" spans="1:51" ht="14.45" x14ac:dyDescent="0.35">
      <c r="A35">
        <v>911</v>
      </c>
      <c r="B35" t="s">
        <v>318</v>
      </c>
      <c r="C35" t="s">
        <v>293</v>
      </c>
      <c r="D35" t="s">
        <v>52</v>
      </c>
      <c r="E35" t="s">
        <v>294</v>
      </c>
      <c r="F35" t="s">
        <v>295</v>
      </c>
      <c r="G35" t="s">
        <v>296</v>
      </c>
      <c r="I35" t="s">
        <v>297</v>
      </c>
      <c r="J35" t="s">
        <v>285</v>
      </c>
      <c r="K35" t="s">
        <v>285</v>
      </c>
      <c r="L35" t="s">
        <v>285</v>
      </c>
      <c r="M35" t="s">
        <v>285</v>
      </c>
      <c r="N35" t="s">
        <v>285</v>
      </c>
      <c r="O35" t="s">
        <v>285</v>
      </c>
      <c r="P35" t="s">
        <v>285</v>
      </c>
      <c r="Q35" t="s">
        <v>285</v>
      </c>
      <c r="R35" t="s">
        <v>285</v>
      </c>
      <c r="S35" t="s">
        <v>285</v>
      </c>
      <c r="T35" t="s">
        <v>285</v>
      </c>
      <c r="U35" t="s">
        <v>285</v>
      </c>
      <c r="V35">
        <v>2.9000000000000001E-2</v>
      </c>
      <c r="W35">
        <v>0.45100000000000001</v>
      </c>
      <c r="X35">
        <v>20.545999999999999</v>
      </c>
      <c r="Y35">
        <v>53.094999999999999</v>
      </c>
      <c r="Z35">
        <v>63.917999999999999</v>
      </c>
      <c r="AA35">
        <v>75.206000000000003</v>
      </c>
      <c r="AB35">
        <v>84.058000000000007</v>
      </c>
      <c r="AC35">
        <v>84.209000000000003</v>
      </c>
      <c r="AD35">
        <v>83.088999999999999</v>
      </c>
      <c r="AE35">
        <v>86.54</v>
      </c>
      <c r="AF35">
        <v>87.340999999999994</v>
      </c>
      <c r="AG35">
        <v>91.314999999999998</v>
      </c>
      <c r="AH35">
        <v>97.072999999999993</v>
      </c>
      <c r="AI35">
        <v>100</v>
      </c>
      <c r="AJ35">
        <v>104.62</v>
      </c>
      <c r="AK35">
        <v>109.048</v>
      </c>
      <c r="AL35">
        <v>115.52800000000001</v>
      </c>
      <c r="AM35">
        <v>118.482</v>
      </c>
      <c r="AN35">
        <v>127.687</v>
      </c>
      <c r="AO35">
        <v>133.154</v>
      </c>
      <c r="AP35">
        <v>140.358</v>
      </c>
      <c r="AQ35">
        <v>144.75800000000001</v>
      </c>
      <c r="AR35">
        <v>148.78800000000001</v>
      </c>
      <c r="AS35">
        <v>153.58199999999999</v>
      </c>
      <c r="AT35">
        <v>159.72800000000001</v>
      </c>
      <c r="AU35">
        <v>166.11699999999999</v>
      </c>
      <c r="AV35">
        <v>172.762</v>
      </c>
      <c r="AW35">
        <v>179.672</v>
      </c>
      <c r="AX35">
        <v>186.85900000000001</v>
      </c>
      <c r="AY35">
        <v>2014</v>
      </c>
    </row>
    <row r="36" spans="1:51" ht="14.45" x14ac:dyDescent="0.35">
      <c r="A36">
        <v>911</v>
      </c>
      <c r="B36" t="s">
        <v>318</v>
      </c>
      <c r="C36" t="s">
        <v>298</v>
      </c>
      <c r="D36" t="s">
        <v>52</v>
      </c>
      <c r="E36" t="s">
        <v>299</v>
      </c>
      <c r="F36" t="s">
        <v>300</v>
      </c>
      <c r="G36" t="s">
        <v>282</v>
      </c>
      <c r="H36" t="s">
        <v>283</v>
      </c>
      <c r="I36" t="s">
        <v>320</v>
      </c>
      <c r="J36" t="s">
        <v>285</v>
      </c>
      <c r="K36" t="s">
        <v>285</v>
      </c>
      <c r="L36" t="s">
        <v>285</v>
      </c>
      <c r="M36" t="s">
        <v>285</v>
      </c>
      <c r="N36" t="s">
        <v>285</v>
      </c>
      <c r="O36" t="s">
        <v>285</v>
      </c>
      <c r="P36" t="s">
        <v>285</v>
      </c>
      <c r="Q36" t="s">
        <v>285</v>
      </c>
      <c r="R36" t="s">
        <v>285</v>
      </c>
      <c r="S36" t="s">
        <v>285</v>
      </c>
      <c r="T36" t="s">
        <v>285</v>
      </c>
      <c r="U36" t="s">
        <v>285</v>
      </c>
      <c r="V36" t="s">
        <v>285</v>
      </c>
      <c r="W36" t="s">
        <v>285</v>
      </c>
      <c r="X36" t="s">
        <v>285</v>
      </c>
      <c r="Y36" t="s">
        <v>285</v>
      </c>
      <c r="Z36" t="s">
        <v>285</v>
      </c>
      <c r="AA36" t="s">
        <v>285</v>
      </c>
      <c r="AB36" t="s">
        <v>285</v>
      </c>
      <c r="AC36" t="s">
        <v>285</v>
      </c>
      <c r="AD36" t="s">
        <v>285</v>
      </c>
      <c r="AE36" t="s">
        <v>285</v>
      </c>
      <c r="AF36" t="s">
        <v>285</v>
      </c>
      <c r="AG36" t="s">
        <v>285</v>
      </c>
      <c r="AH36" t="s">
        <v>285</v>
      </c>
      <c r="AI36">
        <v>445.685</v>
      </c>
      <c r="AJ36">
        <v>531.25</v>
      </c>
      <c r="AK36">
        <v>706.05899999999997</v>
      </c>
      <c r="AL36">
        <v>793.43</v>
      </c>
      <c r="AM36">
        <v>897.05100000000004</v>
      </c>
      <c r="AN36">
        <v>906.59100000000001</v>
      </c>
      <c r="AO36">
        <v>943.14</v>
      </c>
      <c r="AP36">
        <v>956.31799999999998</v>
      </c>
      <c r="AQ36" s="21">
        <v>1084.0909999999999</v>
      </c>
      <c r="AR36" s="21">
        <v>1158.422</v>
      </c>
      <c r="AS36" s="21">
        <v>1302.8420000000001</v>
      </c>
      <c r="AT36" s="21">
        <v>1367.3209999999999</v>
      </c>
      <c r="AU36" s="21">
        <v>1424.4380000000001</v>
      </c>
      <c r="AV36" s="21">
        <v>1497.9159999999999</v>
      </c>
      <c r="AW36" s="21">
        <v>1619.3219999999999</v>
      </c>
      <c r="AX36" s="21">
        <v>1742.7860000000001</v>
      </c>
      <c r="AY36">
        <v>2014</v>
      </c>
    </row>
    <row r="37" spans="1:51" ht="14.45" x14ac:dyDescent="0.35">
      <c r="A37">
        <v>193</v>
      </c>
      <c r="B37" t="s">
        <v>321</v>
      </c>
      <c r="C37" t="s">
        <v>279</v>
      </c>
      <c r="D37" t="s">
        <v>53</v>
      </c>
      <c r="E37" t="s">
        <v>280</v>
      </c>
      <c r="F37" t="s">
        <v>281</v>
      </c>
      <c r="G37" t="s">
        <v>282</v>
      </c>
      <c r="H37" t="s">
        <v>283</v>
      </c>
      <c r="I37" t="s">
        <v>322</v>
      </c>
      <c r="J37">
        <v>543.17999999999995</v>
      </c>
      <c r="K37">
        <v>565.59799999999996</v>
      </c>
      <c r="L37">
        <v>565.952</v>
      </c>
      <c r="M37">
        <v>563.27200000000005</v>
      </c>
      <c r="N37">
        <v>599.01800000000003</v>
      </c>
      <c r="O37">
        <v>631.702</v>
      </c>
      <c r="P37">
        <v>647.16700000000003</v>
      </c>
      <c r="Q37">
        <v>678.83100000000002</v>
      </c>
      <c r="R37">
        <v>707.70299999999997</v>
      </c>
      <c r="S37">
        <v>740.03700000000003</v>
      </c>
      <c r="T37">
        <v>751.15800000000002</v>
      </c>
      <c r="U37">
        <v>742.79700000000003</v>
      </c>
      <c r="V37">
        <v>762.49400000000003</v>
      </c>
      <c r="W37">
        <v>792.60900000000004</v>
      </c>
      <c r="X37">
        <v>831.34799999999996</v>
      </c>
      <c r="Y37">
        <v>855.91300000000001</v>
      </c>
      <c r="Z37">
        <v>892.69600000000003</v>
      </c>
      <c r="AA37">
        <v>929.86599999999999</v>
      </c>
      <c r="AB37">
        <v>975.11599999999999</v>
      </c>
      <c r="AC37" s="21">
        <v>1016.492</v>
      </c>
      <c r="AD37" s="21">
        <v>1047.8689999999999</v>
      </c>
      <c r="AE37" s="21">
        <v>1074.846</v>
      </c>
      <c r="AF37" s="21">
        <v>1117.8030000000001</v>
      </c>
      <c r="AG37" s="21">
        <v>1151.57</v>
      </c>
      <c r="AH37" s="21">
        <v>1198.0450000000001</v>
      </c>
      <c r="AI37" s="21">
        <v>1236.5530000000001</v>
      </c>
      <c r="AJ37" s="21">
        <v>1269.3779999999999</v>
      </c>
      <c r="AK37" s="21">
        <v>1326.7529999999999</v>
      </c>
      <c r="AL37" s="21">
        <v>1362.192</v>
      </c>
      <c r="AM37" s="21">
        <v>1383.6420000000001</v>
      </c>
      <c r="AN37" s="21">
        <v>1414.7750000000001</v>
      </c>
      <c r="AO37" s="21">
        <v>1453.2809999999999</v>
      </c>
      <c r="AP37" s="21">
        <v>1505.606</v>
      </c>
      <c r="AQ37" s="21">
        <v>1536.7249999999999</v>
      </c>
      <c r="AR37" s="21">
        <v>1578.693</v>
      </c>
      <c r="AS37" s="21">
        <v>1616.1579999999999</v>
      </c>
      <c r="AT37" s="21">
        <v>1662.2719999999999</v>
      </c>
      <c r="AU37" s="21">
        <v>1713.1379999999999</v>
      </c>
      <c r="AV37" s="21">
        <v>1763.972</v>
      </c>
      <c r="AW37" s="21">
        <v>1815.92</v>
      </c>
      <c r="AX37" s="21">
        <v>1867.461</v>
      </c>
      <c r="AY37">
        <v>2014</v>
      </c>
    </row>
    <row r="38" spans="1:51" ht="14.45" x14ac:dyDescent="0.35">
      <c r="A38">
        <v>193</v>
      </c>
      <c r="B38" t="s">
        <v>321</v>
      </c>
      <c r="C38" t="s">
        <v>286</v>
      </c>
      <c r="D38" t="s">
        <v>53</v>
      </c>
      <c r="E38" t="s">
        <v>287</v>
      </c>
      <c r="F38" t="s">
        <v>288</v>
      </c>
      <c r="G38" t="s">
        <v>282</v>
      </c>
      <c r="H38" t="s">
        <v>283</v>
      </c>
      <c r="I38" t="s">
        <v>322</v>
      </c>
      <c r="J38">
        <v>142.87700000000001</v>
      </c>
      <c r="K38">
        <v>163.81800000000001</v>
      </c>
      <c r="L38">
        <v>183.72300000000001</v>
      </c>
      <c r="M38">
        <v>198.755</v>
      </c>
      <c r="N38">
        <v>223.97</v>
      </c>
      <c r="O38">
        <v>248.66300000000001</v>
      </c>
      <c r="P38">
        <v>270.32</v>
      </c>
      <c r="Q38">
        <v>303.84300000000002</v>
      </c>
      <c r="R38">
        <v>345.49299999999999</v>
      </c>
      <c r="S38">
        <v>388.36799999999999</v>
      </c>
      <c r="T38">
        <v>414.04500000000002</v>
      </c>
      <c r="U38">
        <v>416.06200000000001</v>
      </c>
      <c r="V38">
        <v>432.21699999999998</v>
      </c>
      <c r="W38">
        <v>454.803</v>
      </c>
      <c r="X38">
        <v>482.15600000000001</v>
      </c>
      <c r="Y38">
        <v>511.75900000000001</v>
      </c>
      <c r="Z38">
        <v>542.92700000000002</v>
      </c>
      <c r="AA38">
        <v>573.06200000000001</v>
      </c>
      <c r="AB38">
        <v>604.70799999999997</v>
      </c>
      <c r="AC38">
        <v>637.14300000000003</v>
      </c>
      <c r="AD38">
        <v>685.20100000000002</v>
      </c>
      <c r="AE38">
        <v>727.45799999999997</v>
      </c>
      <c r="AF38">
        <v>779.71600000000001</v>
      </c>
      <c r="AG38">
        <v>828.83</v>
      </c>
      <c r="AH38">
        <v>891.74099999999999</v>
      </c>
      <c r="AI38">
        <v>961.22699999999998</v>
      </c>
      <c r="AJ38" s="21">
        <v>1037.616</v>
      </c>
      <c r="AK38" s="21">
        <v>1131.605</v>
      </c>
      <c r="AL38" s="21">
        <v>1235.299</v>
      </c>
      <c r="AM38" s="21">
        <v>1258.6179999999999</v>
      </c>
      <c r="AN38" s="21">
        <v>1357.2190000000001</v>
      </c>
      <c r="AO38" s="21">
        <v>1454.143</v>
      </c>
      <c r="AP38" s="21">
        <v>1502.075</v>
      </c>
      <c r="AQ38" s="21">
        <v>1550.883</v>
      </c>
      <c r="AR38" s="21">
        <v>1600.5029999999999</v>
      </c>
      <c r="AS38" s="21">
        <v>1637.3330000000001</v>
      </c>
      <c r="AT38" s="21">
        <v>1711.7570000000001</v>
      </c>
      <c r="AU38" s="21">
        <v>1798.0160000000001</v>
      </c>
      <c r="AV38" s="21">
        <v>1890.434</v>
      </c>
      <c r="AW38" s="21">
        <v>1989.2280000000001</v>
      </c>
      <c r="AX38" s="21">
        <v>2093.107</v>
      </c>
      <c r="AY38">
        <v>2014</v>
      </c>
    </row>
    <row r="39" spans="1:51" ht="14.45" x14ac:dyDescent="0.35">
      <c r="A39">
        <v>193</v>
      </c>
      <c r="B39" t="s">
        <v>321</v>
      </c>
      <c r="C39" t="s">
        <v>289</v>
      </c>
      <c r="D39" t="s">
        <v>53</v>
      </c>
      <c r="E39" t="s">
        <v>287</v>
      </c>
      <c r="F39" t="s">
        <v>290</v>
      </c>
      <c r="G39" t="s">
        <v>291</v>
      </c>
      <c r="H39" t="s">
        <v>283</v>
      </c>
      <c r="I39" t="s">
        <v>292</v>
      </c>
      <c r="J39">
        <v>162.81</v>
      </c>
      <c r="K39">
        <v>188.27799999999999</v>
      </c>
      <c r="L39">
        <v>186.91800000000001</v>
      </c>
      <c r="M39">
        <v>179.352</v>
      </c>
      <c r="N39">
        <v>196.99799999999999</v>
      </c>
      <c r="O39">
        <v>174.26300000000001</v>
      </c>
      <c r="P39">
        <v>181.35</v>
      </c>
      <c r="Q39">
        <v>212.95099999999999</v>
      </c>
      <c r="R39">
        <v>269.976</v>
      </c>
      <c r="S39">
        <v>307.18400000000003</v>
      </c>
      <c r="T39">
        <v>323.26299999999998</v>
      </c>
      <c r="U39">
        <v>324.108</v>
      </c>
      <c r="V39">
        <v>317.43200000000002</v>
      </c>
      <c r="W39">
        <v>309.13</v>
      </c>
      <c r="X39">
        <v>352.52199999999999</v>
      </c>
      <c r="Y39">
        <v>379.35300000000001</v>
      </c>
      <c r="Z39">
        <v>424.87599999999998</v>
      </c>
      <c r="AA39">
        <v>425.31700000000001</v>
      </c>
      <c r="AB39">
        <v>379.88499999999999</v>
      </c>
      <c r="AC39">
        <v>411.07499999999999</v>
      </c>
      <c r="AD39">
        <v>397.303</v>
      </c>
      <c r="AE39">
        <v>376.26299999999998</v>
      </c>
      <c r="AF39">
        <v>423.64699999999999</v>
      </c>
      <c r="AG39">
        <v>537.56399999999996</v>
      </c>
      <c r="AH39">
        <v>655.81100000000004</v>
      </c>
      <c r="AI39">
        <v>734.05700000000002</v>
      </c>
      <c r="AJ39">
        <v>781.35299999999995</v>
      </c>
      <c r="AK39">
        <v>946.89200000000005</v>
      </c>
      <c r="AL39" s="21">
        <v>1036.17</v>
      </c>
      <c r="AM39">
        <v>981.61699999999996</v>
      </c>
      <c r="AN39" s="21">
        <v>1244.973</v>
      </c>
      <c r="AO39" s="21">
        <v>1499.9469999999999</v>
      </c>
      <c r="AP39" s="21">
        <v>1555.2629999999999</v>
      </c>
      <c r="AQ39" s="21">
        <v>1497.2180000000001</v>
      </c>
      <c r="AR39" s="21">
        <v>1442.722</v>
      </c>
      <c r="AS39" s="21">
        <v>1240.8030000000001</v>
      </c>
      <c r="AT39" s="21">
        <v>1252.999</v>
      </c>
      <c r="AU39" s="21">
        <v>1317.1579999999999</v>
      </c>
      <c r="AV39" s="21">
        <v>1381.511</v>
      </c>
      <c r="AW39" s="21">
        <v>1442.4659999999999</v>
      </c>
      <c r="AX39" s="21">
        <v>1515.6959999999999</v>
      </c>
      <c r="AY39">
        <v>2014</v>
      </c>
    </row>
    <row r="40" spans="1:51" ht="14.45" x14ac:dyDescent="0.35">
      <c r="A40">
        <v>193</v>
      </c>
      <c r="B40" t="s">
        <v>321</v>
      </c>
      <c r="C40" t="s">
        <v>293</v>
      </c>
      <c r="D40" t="s">
        <v>53</v>
      </c>
      <c r="E40" t="s">
        <v>294</v>
      </c>
      <c r="F40" t="s">
        <v>295</v>
      </c>
      <c r="G40" t="s">
        <v>296</v>
      </c>
      <c r="I40" t="s">
        <v>297</v>
      </c>
      <c r="J40">
        <v>26.303999999999998</v>
      </c>
      <c r="K40">
        <v>28.963999999999999</v>
      </c>
      <c r="L40">
        <v>32.463000000000001</v>
      </c>
      <c r="M40">
        <v>35.286000000000001</v>
      </c>
      <c r="N40">
        <v>37.39</v>
      </c>
      <c r="O40">
        <v>39.363999999999997</v>
      </c>
      <c r="P40">
        <v>41.77</v>
      </c>
      <c r="Q40">
        <v>44.76</v>
      </c>
      <c r="R40">
        <v>48.819000000000003</v>
      </c>
      <c r="S40">
        <v>52.48</v>
      </c>
      <c r="T40">
        <v>55.121000000000002</v>
      </c>
      <c r="U40">
        <v>56.012999999999998</v>
      </c>
      <c r="V40">
        <v>56.685000000000002</v>
      </c>
      <c r="W40">
        <v>57.38</v>
      </c>
      <c r="X40">
        <v>57.997</v>
      </c>
      <c r="Y40">
        <v>59.790999999999997</v>
      </c>
      <c r="Z40">
        <v>60.819000000000003</v>
      </c>
      <c r="AA40">
        <v>61.628</v>
      </c>
      <c r="AB40">
        <v>62.014000000000003</v>
      </c>
      <c r="AC40">
        <v>62.680999999999997</v>
      </c>
      <c r="AD40">
        <v>65.39</v>
      </c>
      <c r="AE40">
        <v>67.680000000000007</v>
      </c>
      <c r="AF40">
        <v>69.754000000000005</v>
      </c>
      <c r="AG40">
        <v>71.974000000000004</v>
      </c>
      <c r="AH40">
        <v>74.433000000000007</v>
      </c>
      <c r="AI40">
        <v>77.733999999999995</v>
      </c>
      <c r="AJ40">
        <v>81.742000000000004</v>
      </c>
      <c r="AK40">
        <v>85.290999999999997</v>
      </c>
      <c r="AL40">
        <v>90.685000000000002</v>
      </c>
      <c r="AM40">
        <v>90.963999999999999</v>
      </c>
      <c r="AN40">
        <v>95.932000000000002</v>
      </c>
      <c r="AO40">
        <v>100.059</v>
      </c>
      <c r="AP40">
        <v>99.765000000000001</v>
      </c>
      <c r="AQ40">
        <v>100.92100000000001</v>
      </c>
      <c r="AR40">
        <v>101.38200000000001</v>
      </c>
      <c r="AS40">
        <v>101.31</v>
      </c>
      <c r="AT40">
        <v>102.977</v>
      </c>
      <c r="AU40">
        <v>104.955</v>
      </c>
      <c r="AV40">
        <v>107.169</v>
      </c>
      <c r="AW40">
        <v>109.544</v>
      </c>
      <c r="AX40">
        <v>112.083</v>
      </c>
      <c r="AY40">
        <v>2014</v>
      </c>
    </row>
    <row r="41" spans="1:51" ht="14.45" x14ac:dyDescent="0.35">
      <c r="A41">
        <v>193</v>
      </c>
      <c r="B41" t="s">
        <v>321</v>
      </c>
      <c r="C41" t="s">
        <v>298</v>
      </c>
      <c r="D41" t="s">
        <v>53</v>
      </c>
      <c r="E41" t="s">
        <v>299</v>
      </c>
      <c r="F41" t="s">
        <v>300</v>
      </c>
      <c r="G41" t="s">
        <v>282</v>
      </c>
      <c r="H41" t="s">
        <v>283</v>
      </c>
      <c r="I41" t="s">
        <v>323</v>
      </c>
      <c r="J41" t="s">
        <v>285</v>
      </c>
      <c r="K41" t="s">
        <v>285</v>
      </c>
      <c r="L41" t="s">
        <v>285</v>
      </c>
      <c r="M41" t="s">
        <v>285</v>
      </c>
      <c r="N41" t="s">
        <v>285</v>
      </c>
      <c r="O41" t="s">
        <v>285</v>
      </c>
      <c r="P41" t="s">
        <v>285</v>
      </c>
      <c r="Q41" t="s">
        <v>285</v>
      </c>
      <c r="R41">
        <v>104.26</v>
      </c>
      <c r="S41">
        <v>113.262</v>
      </c>
      <c r="T41">
        <v>124.312</v>
      </c>
      <c r="U41">
        <v>135.34200000000001</v>
      </c>
      <c r="V41">
        <v>144.803</v>
      </c>
      <c r="W41">
        <v>152.55799999999999</v>
      </c>
      <c r="X41">
        <v>160.20599999999999</v>
      </c>
      <c r="Y41">
        <v>169.32499999999999</v>
      </c>
      <c r="Z41">
        <v>178.864</v>
      </c>
      <c r="AA41">
        <v>184.88300000000001</v>
      </c>
      <c r="AB41">
        <v>206.42099999999999</v>
      </c>
      <c r="AC41">
        <v>227.30099999999999</v>
      </c>
      <c r="AD41">
        <v>237.96799999999999</v>
      </c>
      <c r="AE41">
        <v>260.233</v>
      </c>
      <c r="AF41">
        <v>273.54700000000003</v>
      </c>
      <c r="AG41">
        <v>290.65499999999997</v>
      </c>
      <c r="AH41">
        <v>311.553</v>
      </c>
      <c r="AI41">
        <v>333.38799999999998</v>
      </c>
      <c r="AJ41">
        <v>359.17200000000003</v>
      </c>
      <c r="AK41">
        <v>388.67099999999999</v>
      </c>
      <c r="AL41">
        <v>433.35</v>
      </c>
      <c r="AM41">
        <v>477.73899999999998</v>
      </c>
      <c r="AN41">
        <v>504.048</v>
      </c>
      <c r="AO41">
        <v>532.41399999999999</v>
      </c>
      <c r="AP41">
        <v>553.755</v>
      </c>
      <c r="AQ41">
        <v>572.18399999999997</v>
      </c>
      <c r="AR41">
        <v>592.86400000000003</v>
      </c>
      <c r="AS41">
        <v>610.14700000000005</v>
      </c>
      <c r="AT41">
        <v>632.20899999999995</v>
      </c>
      <c r="AU41">
        <v>654.20299999999997</v>
      </c>
      <c r="AV41">
        <v>682.57799999999997</v>
      </c>
      <c r="AW41">
        <v>719.31799999999998</v>
      </c>
      <c r="AX41">
        <v>756.971</v>
      </c>
      <c r="AY41">
        <v>2014</v>
      </c>
    </row>
    <row r="42" spans="1:51" ht="14.45" x14ac:dyDescent="0.35">
      <c r="A42">
        <v>122</v>
      </c>
      <c r="B42" t="s">
        <v>324</v>
      </c>
      <c r="C42" t="s">
        <v>279</v>
      </c>
      <c r="D42" t="s">
        <v>43</v>
      </c>
      <c r="E42" t="s">
        <v>280</v>
      </c>
      <c r="F42" t="s">
        <v>281</v>
      </c>
      <c r="G42" t="s">
        <v>282</v>
      </c>
      <c r="H42" t="s">
        <v>283</v>
      </c>
      <c r="I42" t="s">
        <v>325</v>
      </c>
      <c r="J42">
        <v>160.18700000000001</v>
      </c>
      <c r="K42">
        <v>160.02699999999999</v>
      </c>
      <c r="L42">
        <v>163.08000000000001</v>
      </c>
      <c r="M42">
        <v>167.654</v>
      </c>
      <c r="N42">
        <v>168.21</v>
      </c>
      <c r="O42">
        <v>171.983</v>
      </c>
      <c r="P42">
        <v>176.00899999999999</v>
      </c>
      <c r="Q42">
        <v>178.96600000000001</v>
      </c>
      <c r="R42">
        <v>180.68600000000001</v>
      </c>
      <c r="S42">
        <v>187.709</v>
      </c>
      <c r="T42">
        <v>195.86600000000001</v>
      </c>
      <c r="U42">
        <v>202.607</v>
      </c>
      <c r="V42">
        <v>206.84899999999999</v>
      </c>
      <c r="W42">
        <v>207.93899999999999</v>
      </c>
      <c r="X42">
        <v>212.934</v>
      </c>
      <c r="Y42">
        <v>218.61500000000001</v>
      </c>
      <c r="Z42">
        <v>223.858</v>
      </c>
      <c r="AA42">
        <v>228.79400000000001</v>
      </c>
      <c r="AB42">
        <v>236.93899999999999</v>
      </c>
      <c r="AC42">
        <v>245.44499999999999</v>
      </c>
      <c r="AD42">
        <v>253.71299999999999</v>
      </c>
      <c r="AE42">
        <v>257.13900000000001</v>
      </c>
      <c r="AF42">
        <v>261.39699999999999</v>
      </c>
      <c r="AG42">
        <v>263.37400000000002</v>
      </c>
      <c r="AH42">
        <v>270.5</v>
      </c>
      <c r="AI42">
        <v>276.29000000000002</v>
      </c>
      <c r="AJ42">
        <v>285.548</v>
      </c>
      <c r="AK42">
        <v>295.88900000000001</v>
      </c>
      <c r="AL42">
        <v>300.46800000000002</v>
      </c>
      <c r="AM42">
        <v>289.053</v>
      </c>
      <c r="AN42">
        <v>294.62799999999999</v>
      </c>
      <c r="AO42">
        <v>302.90100000000001</v>
      </c>
      <c r="AP42">
        <v>305.19499999999999</v>
      </c>
      <c r="AQ42">
        <v>306.17500000000001</v>
      </c>
      <c r="AR42">
        <v>307.25700000000001</v>
      </c>
      <c r="AS42">
        <v>309.61</v>
      </c>
      <c r="AT42">
        <v>314.52600000000001</v>
      </c>
      <c r="AU42">
        <v>319.06</v>
      </c>
      <c r="AV42">
        <v>322.74599999999998</v>
      </c>
      <c r="AW42">
        <v>326.25700000000001</v>
      </c>
      <c r="AX42">
        <v>329.75799999999998</v>
      </c>
      <c r="AY42">
        <v>2014</v>
      </c>
    </row>
    <row r="43" spans="1:51" ht="14.45" x14ac:dyDescent="0.35">
      <c r="A43">
        <v>122</v>
      </c>
      <c r="B43" t="s">
        <v>324</v>
      </c>
      <c r="C43" t="s">
        <v>286</v>
      </c>
      <c r="D43" t="s">
        <v>43</v>
      </c>
      <c r="E43" t="s">
        <v>287</v>
      </c>
      <c r="F43" t="s">
        <v>288</v>
      </c>
      <c r="G43" t="s">
        <v>282</v>
      </c>
      <c r="H43" t="s">
        <v>283</v>
      </c>
      <c r="I43" t="s">
        <v>325</v>
      </c>
      <c r="J43">
        <v>75.811000000000007</v>
      </c>
      <c r="K43">
        <v>80.703999999999994</v>
      </c>
      <c r="L43">
        <v>86.63</v>
      </c>
      <c r="M43">
        <v>92.316000000000003</v>
      </c>
      <c r="N43">
        <v>96.914000000000001</v>
      </c>
      <c r="O43">
        <v>102.143</v>
      </c>
      <c r="P43">
        <v>107.36199999999999</v>
      </c>
      <c r="Q43">
        <v>111.471</v>
      </c>
      <c r="R43">
        <v>119.357</v>
      </c>
      <c r="S43">
        <v>127.673</v>
      </c>
      <c r="T43">
        <v>137.21700000000001</v>
      </c>
      <c r="U43">
        <v>147.10900000000001</v>
      </c>
      <c r="V43">
        <v>155.41399999999999</v>
      </c>
      <c r="W43">
        <v>160.54</v>
      </c>
      <c r="X43">
        <v>168.548</v>
      </c>
      <c r="Y43">
        <v>176.18299999999999</v>
      </c>
      <c r="Z43">
        <v>182.13300000000001</v>
      </c>
      <c r="AA43">
        <v>188.31</v>
      </c>
      <c r="AB43">
        <v>195.828</v>
      </c>
      <c r="AC43">
        <v>203.41800000000001</v>
      </c>
      <c r="AD43">
        <v>213.196</v>
      </c>
      <c r="AE43">
        <v>220.096</v>
      </c>
      <c r="AF43">
        <v>226.303</v>
      </c>
      <c r="AG43">
        <v>230.999</v>
      </c>
      <c r="AH43">
        <v>241.505</v>
      </c>
      <c r="AI43">
        <v>253.00899999999999</v>
      </c>
      <c r="AJ43">
        <v>266.47800000000001</v>
      </c>
      <c r="AK43">
        <v>282.34699999999998</v>
      </c>
      <c r="AL43">
        <v>291.93</v>
      </c>
      <c r="AM43">
        <v>286.18799999999999</v>
      </c>
      <c r="AN43">
        <v>294.62799999999999</v>
      </c>
      <c r="AO43">
        <v>308.63</v>
      </c>
      <c r="AP43">
        <v>317.05599999999998</v>
      </c>
      <c r="AQ43">
        <v>322.87799999999999</v>
      </c>
      <c r="AR43">
        <v>329.29599999999999</v>
      </c>
      <c r="AS43">
        <v>334.90300000000002</v>
      </c>
      <c r="AT43">
        <v>345.49900000000002</v>
      </c>
      <c r="AU43">
        <v>356.36599999999999</v>
      </c>
      <c r="AV43">
        <v>366.435</v>
      </c>
      <c r="AW43">
        <v>376.911</v>
      </c>
      <c r="AX43">
        <v>387.61200000000002</v>
      </c>
      <c r="AY43">
        <v>2014</v>
      </c>
    </row>
    <row r="44" spans="1:51" ht="14.45" x14ac:dyDescent="0.35">
      <c r="A44">
        <v>122</v>
      </c>
      <c r="B44" t="s">
        <v>324</v>
      </c>
      <c r="C44" t="s">
        <v>289</v>
      </c>
      <c r="D44" t="s">
        <v>43</v>
      </c>
      <c r="E44" t="s">
        <v>287</v>
      </c>
      <c r="F44" t="s">
        <v>290</v>
      </c>
      <c r="G44" t="s">
        <v>291</v>
      </c>
      <c r="H44" t="s">
        <v>283</v>
      </c>
      <c r="I44" t="s">
        <v>292</v>
      </c>
      <c r="J44">
        <v>80.742999999999995</v>
      </c>
      <c r="K44">
        <v>69.965000000000003</v>
      </c>
      <c r="L44">
        <v>69.953999999999994</v>
      </c>
      <c r="M44">
        <v>70.873999999999995</v>
      </c>
      <c r="N44">
        <v>66.856999999999999</v>
      </c>
      <c r="O44">
        <v>68.47</v>
      </c>
      <c r="P44">
        <v>97.156999999999996</v>
      </c>
      <c r="Q44">
        <v>121.499</v>
      </c>
      <c r="R44">
        <v>133.29300000000001</v>
      </c>
      <c r="S44">
        <v>132.965</v>
      </c>
      <c r="T44">
        <v>166.49299999999999</v>
      </c>
      <c r="U44">
        <v>174.04499999999999</v>
      </c>
      <c r="V44">
        <v>195.06899999999999</v>
      </c>
      <c r="W44">
        <v>189.958</v>
      </c>
      <c r="X44">
        <v>203.51400000000001</v>
      </c>
      <c r="Y44">
        <v>240.74700000000001</v>
      </c>
      <c r="Z44">
        <v>236.828</v>
      </c>
      <c r="AA44">
        <v>212.61</v>
      </c>
      <c r="AB44">
        <v>217.994</v>
      </c>
      <c r="AC44">
        <v>217.01</v>
      </c>
      <c r="AD44">
        <v>196.99799999999999</v>
      </c>
      <c r="AE44">
        <v>197.12299999999999</v>
      </c>
      <c r="AF44">
        <v>213.72499999999999</v>
      </c>
      <c r="AG44">
        <v>261.22000000000003</v>
      </c>
      <c r="AH44">
        <v>300.26400000000001</v>
      </c>
      <c r="AI44">
        <v>315.18700000000001</v>
      </c>
      <c r="AJ44">
        <v>334.60300000000001</v>
      </c>
      <c r="AK44">
        <v>386.995</v>
      </c>
      <c r="AL44">
        <v>429.63799999999998</v>
      </c>
      <c r="AM44">
        <v>398.60199999999998</v>
      </c>
      <c r="AN44">
        <v>390.93900000000002</v>
      </c>
      <c r="AO44">
        <v>429.43099999999998</v>
      </c>
      <c r="AP44">
        <v>407.59899999999999</v>
      </c>
      <c r="AQ44">
        <v>428.83300000000003</v>
      </c>
      <c r="AR44">
        <v>437.58199999999999</v>
      </c>
      <c r="AS44">
        <v>372.60599999999999</v>
      </c>
      <c r="AT44">
        <v>386.22699999999998</v>
      </c>
      <c r="AU44">
        <v>402.79300000000001</v>
      </c>
      <c r="AV44">
        <v>418.40199999999999</v>
      </c>
      <c r="AW44">
        <v>433.75</v>
      </c>
      <c r="AX44">
        <v>452.65699999999998</v>
      </c>
      <c r="AY44">
        <v>2014</v>
      </c>
    </row>
    <row r="45" spans="1:51" ht="14.45" x14ac:dyDescent="0.35">
      <c r="A45">
        <v>122</v>
      </c>
      <c r="B45" t="s">
        <v>324</v>
      </c>
      <c r="C45" t="s">
        <v>293</v>
      </c>
      <c r="D45" t="s">
        <v>43</v>
      </c>
      <c r="E45" t="s">
        <v>294</v>
      </c>
      <c r="F45" t="s">
        <v>295</v>
      </c>
      <c r="G45" t="s">
        <v>296</v>
      </c>
      <c r="I45" t="s">
        <v>297</v>
      </c>
      <c r="J45">
        <v>47.326000000000001</v>
      </c>
      <c r="K45">
        <v>50.432000000000002</v>
      </c>
      <c r="L45">
        <v>53.121000000000002</v>
      </c>
      <c r="M45">
        <v>55.064</v>
      </c>
      <c r="N45">
        <v>57.615000000000002</v>
      </c>
      <c r="O45">
        <v>59.390999999999998</v>
      </c>
      <c r="P45">
        <v>60.997999999999998</v>
      </c>
      <c r="Q45">
        <v>62.286000000000001</v>
      </c>
      <c r="R45">
        <v>66.058000000000007</v>
      </c>
      <c r="S45">
        <v>68.016000000000005</v>
      </c>
      <c r="T45">
        <v>70.057000000000002</v>
      </c>
      <c r="U45">
        <v>72.608000000000004</v>
      </c>
      <c r="V45">
        <v>75.134</v>
      </c>
      <c r="W45">
        <v>77.206000000000003</v>
      </c>
      <c r="X45">
        <v>79.155000000000001</v>
      </c>
      <c r="Y45">
        <v>80.590999999999994</v>
      </c>
      <c r="Z45">
        <v>81.361000000000004</v>
      </c>
      <c r="AA45">
        <v>82.305000000000007</v>
      </c>
      <c r="AB45">
        <v>82.649000000000001</v>
      </c>
      <c r="AC45">
        <v>82.876999999999995</v>
      </c>
      <c r="AD45">
        <v>84.031000000000006</v>
      </c>
      <c r="AE45">
        <v>85.593999999999994</v>
      </c>
      <c r="AF45">
        <v>86.573999999999998</v>
      </c>
      <c r="AG45">
        <v>87.707999999999998</v>
      </c>
      <c r="AH45">
        <v>89.281000000000006</v>
      </c>
      <c r="AI45">
        <v>91.573999999999998</v>
      </c>
      <c r="AJ45">
        <v>93.322000000000003</v>
      </c>
      <c r="AK45">
        <v>95.423000000000002</v>
      </c>
      <c r="AL45">
        <v>97.159000000000006</v>
      </c>
      <c r="AM45">
        <v>99.009</v>
      </c>
      <c r="AN45">
        <v>100</v>
      </c>
      <c r="AO45">
        <v>101.892</v>
      </c>
      <c r="AP45">
        <v>103.886</v>
      </c>
      <c r="AQ45">
        <v>105.455</v>
      </c>
      <c r="AR45">
        <v>107.173</v>
      </c>
      <c r="AS45">
        <v>108.169</v>
      </c>
      <c r="AT45">
        <v>109.848</v>
      </c>
      <c r="AU45">
        <v>111.69199999999999</v>
      </c>
      <c r="AV45">
        <v>113.53700000000001</v>
      </c>
      <c r="AW45">
        <v>115.526</v>
      </c>
      <c r="AX45">
        <v>117.544</v>
      </c>
      <c r="AY45">
        <v>2014</v>
      </c>
    </row>
    <row r="46" spans="1:51" ht="14.45" x14ac:dyDescent="0.35">
      <c r="A46">
        <v>122</v>
      </c>
      <c r="B46" t="s">
        <v>324</v>
      </c>
      <c r="C46" t="s">
        <v>298</v>
      </c>
      <c r="D46" t="s">
        <v>43</v>
      </c>
      <c r="E46" t="s">
        <v>299</v>
      </c>
      <c r="F46" t="s">
        <v>300</v>
      </c>
      <c r="G46" t="s">
        <v>282</v>
      </c>
      <c r="H46" t="s">
        <v>283</v>
      </c>
      <c r="I46" t="s">
        <v>326</v>
      </c>
      <c r="J46" t="s">
        <v>285</v>
      </c>
      <c r="K46" t="s">
        <v>285</v>
      </c>
      <c r="L46" t="s">
        <v>285</v>
      </c>
      <c r="M46" t="s">
        <v>285</v>
      </c>
      <c r="N46" t="s">
        <v>285</v>
      </c>
      <c r="O46" t="s">
        <v>285</v>
      </c>
      <c r="P46" t="s">
        <v>285</v>
      </c>
      <c r="Q46" t="s">
        <v>285</v>
      </c>
      <c r="R46">
        <v>56.401000000000003</v>
      </c>
      <c r="S46">
        <v>58.7</v>
      </c>
      <c r="T46">
        <v>63.478000000000002</v>
      </c>
      <c r="U46">
        <v>69.551000000000002</v>
      </c>
      <c r="V46">
        <v>75.650999999999996</v>
      </c>
      <c r="W46">
        <v>86.131</v>
      </c>
      <c r="X46">
        <v>90.441999999999993</v>
      </c>
      <c r="Y46">
        <v>97.694999999999993</v>
      </c>
      <c r="Z46">
        <v>100.657</v>
      </c>
      <c r="AA46">
        <v>97.762</v>
      </c>
      <c r="AB46">
        <v>101.57599999999999</v>
      </c>
      <c r="AC46">
        <v>105.214</v>
      </c>
      <c r="AD46">
        <v>107.313</v>
      </c>
      <c r="AE46">
        <v>112.282</v>
      </c>
      <c r="AF46">
        <v>114.721</v>
      </c>
      <c r="AG46">
        <v>117.837</v>
      </c>
      <c r="AH46">
        <v>129.04900000000001</v>
      </c>
      <c r="AI46">
        <v>128.97999999999999</v>
      </c>
      <c r="AJ46">
        <v>133.77799999999999</v>
      </c>
      <c r="AK46">
        <v>138.63200000000001</v>
      </c>
      <c r="AL46">
        <v>145.309</v>
      </c>
      <c r="AM46">
        <v>154.80799999999999</v>
      </c>
      <c r="AN46">
        <v>155.33600000000001</v>
      </c>
      <c r="AO46">
        <v>156.80600000000001</v>
      </c>
      <c r="AP46">
        <v>161.46600000000001</v>
      </c>
      <c r="AQ46">
        <v>164.05199999999999</v>
      </c>
      <c r="AR46">
        <v>171.93600000000001</v>
      </c>
      <c r="AS46">
        <v>174.07900000000001</v>
      </c>
      <c r="AT46">
        <v>176.602</v>
      </c>
      <c r="AU46">
        <v>181.072</v>
      </c>
      <c r="AV46">
        <v>185.67599999999999</v>
      </c>
      <c r="AW46">
        <v>190.453</v>
      </c>
      <c r="AX46">
        <v>195.91399999999999</v>
      </c>
      <c r="AY46">
        <v>2014</v>
      </c>
    </row>
    <row r="47" spans="1:51" ht="14.45" x14ac:dyDescent="0.35">
      <c r="A47">
        <v>912</v>
      </c>
      <c r="B47" t="s">
        <v>327</v>
      </c>
      <c r="C47" t="s">
        <v>279</v>
      </c>
      <c r="D47" t="s">
        <v>54</v>
      </c>
      <c r="E47" t="s">
        <v>280</v>
      </c>
      <c r="F47" t="s">
        <v>281</v>
      </c>
      <c r="G47" t="s">
        <v>282</v>
      </c>
      <c r="H47" t="s">
        <v>283</v>
      </c>
      <c r="I47" t="s">
        <v>328</v>
      </c>
      <c r="J47" t="s">
        <v>285</v>
      </c>
      <c r="K47" t="s">
        <v>285</v>
      </c>
      <c r="L47" t="s">
        <v>285</v>
      </c>
      <c r="M47" t="s">
        <v>285</v>
      </c>
      <c r="N47" t="s">
        <v>285</v>
      </c>
      <c r="O47" t="s">
        <v>285</v>
      </c>
      <c r="P47" t="s">
        <v>285</v>
      </c>
      <c r="Q47" t="s">
        <v>285</v>
      </c>
      <c r="R47" t="s">
        <v>285</v>
      </c>
      <c r="S47" t="s">
        <v>285</v>
      </c>
      <c r="T47" t="s">
        <v>285</v>
      </c>
      <c r="U47" t="s">
        <v>285</v>
      </c>
      <c r="V47">
        <v>7.4660000000000002</v>
      </c>
      <c r="W47">
        <v>5.742</v>
      </c>
      <c r="X47">
        <v>4.6120000000000001</v>
      </c>
      <c r="Y47">
        <v>4.0110000000000001</v>
      </c>
      <c r="Z47">
        <v>4.1130000000000004</v>
      </c>
      <c r="AA47">
        <v>4.4779999999999998</v>
      </c>
      <c r="AB47">
        <v>4.7469999999999999</v>
      </c>
      <c r="AC47">
        <v>5.2880000000000003</v>
      </c>
      <c r="AD47">
        <v>5.6180000000000003</v>
      </c>
      <c r="AE47">
        <v>5.9820000000000002</v>
      </c>
      <c r="AF47">
        <v>6.4690000000000003</v>
      </c>
      <c r="AG47">
        <v>7.1470000000000002</v>
      </c>
      <c r="AH47">
        <v>7.875</v>
      </c>
      <c r="AI47">
        <v>9.9550000000000001</v>
      </c>
      <c r="AJ47">
        <v>13.388999999999999</v>
      </c>
      <c r="AK47">
        <v>16.736000000000001</v>
      </c>
      <c r="AL47">
        <v>18.544</v>
      </c>
      <c r="AM47">
        <v>20.268000000000001</v>
      </c>
      <c r="AN47">
        <v>21.273</v>
      </c>
      <c r="AO47">
        <v>21.292999999999999</v>
      </c>
      <c r="AP47">
        <v>21.754000000000001</v>
      </c>
      <c r="AQ47">
        <v>23.015999999999998</v>
      </c>
      <c r="AR47">
        <v>23.658999999999999</v>
      </c>
      <c r="AS47">
        <v>24.614999999999998</v>
      </c>
      <c r="AT47">
        <v>25.238</v>
      </c>
      <c r="AU47">
        <v>25.96</v>
      </c>
      <c r="AV47">
        <v>27.05</v>
      </c>
      <c r="AW47">
        <v>28.193999999999999</v>
      </c>
      <c r="AX47">
        <v>29.161999999999999</v>
      </c>
      <c r="AY47">
        <v>2014</v>
      </c>
    </row>
    <row r="48" spans="1:51" ht="14.45" x14ac:dyDescent="0.35">
      <c r="A48">
        <v>912</v>
      </c>
      <c r="B48" t="s">
        <v>327</v>
      </c>
      <c r="C48" t="s">
        <v>286</v>
      </c>
      <c r="D48" t="s">
        <v>54</v>
      </c>
      <c r="E48" t="s">
        <v>287</v>
      </c>
      <c r="F48" t="s">
        <v>288</v>
      </c>
      <c r="G48" t="s">
        <v>282</v>
      </c>
      <c r="H48" t="s">
        <v>283</v>
      </c>
      <c r="I48" t="s">
        <v>328</v>
      </c>
      <c r="J48" t="s">
        <v>285</v>
      </c>
      <c r="K48" t="s">
        <v>285</v>
      </c>
      <c r="L48" t="s">
        <v>285</v>
      </c>
      <c r="M48" t="s">
        <v>285</v>
      </c>
      <c r="N48" t="s">
        <v>285</v>
      </c>
      <c r="O48" t="s">
        <v>285</v>
      </c>
      <c r="P48" t="s">
        <v>285</v>
      </c>
      <c r="Q48" t="s">
        <v>285</v>
      </c>
      <c r="R48" t="s">
        <v>285</v>
      </c>
      <c r="S48" t="s">
        <v>285</v>
      </c>
      <c r="T48" t="s">
        <v>285</v>
      </c>
      <c r="U48" t="s">
        <v>285</v>
      </c>
      <c r="V48">
        <v>5.0000000000000001E-3</v>
      </c>
      <c r="W48">
        <v>3.1E-2</v>
      </c>
      <c r="X48">
        <v>0.70899999999999996</v>
      </c>
      <c r="Y48">
        <v>2.1339999999999999</v>
      </c>
      <c r="Z48">
        <v>2.7320000000000002</v>
      </c>
      <c r="AA48">
        <v>3.1579999999999999</v>
      </c>
      <c r="AB48">
        <v>3.3119999999999998</v>
      </c>
      <c r="AC48">
        <v>3.7749999999999999</v>
      </c>
      <c r="AD48">
        <v>4.718</v>
      </c>
      <c r="AE48">
        <v>5.3159999999999998</v>
      </c>
      <c r="AF48">
        <v>6.0620000000000003</v>
      </c>
      <c r="AG48">
        <v>7.1470000000000002</v>
      </c>
      <c r="AH48">
        <v>8.5299999999999994</v>
      </c>
      <c r="AI48">
        <v>12.523</v>
      </c>
      <c r="AJ48">
        <v>18.745999999999999</v>
      </c>
      <c r="AK48">
        <v>28.361000000000001</v>
      </c>
      <c r="AL48">
        <v>38.006</v>
      </c>
      <c r="AM48">
        <v>35.601999999999997</v>
      </c>
      <c r="AN48">
        <v>42.465000000000003</v>
      </c>
      <c r="AO48">
        <v>51.158000000000001</v>
      </c>
      <c r="AP48">
        <v>53.968000000000004</v>
      </c>
      <c r="AQ48">
        <v>57.707999999999998</v>
      </c>
      <c r="AR48">
        <v>58.107999999999997</v>
      </c>
      <c r="AS48">
        <v>64.855000000000004</v>
      </c>
      <c r="AT48">
        <v>66.777000000000001</v>
      </c>
      <c r="AU48">
        <v>74.468999999999994</v>
      </c>
      <c r="AV48">
        <v>77.974000000000004</v>
      </c>
      <c r="AW48">
        <v>88.19</v>
      </c>
      <c r="AX48">
        <v>91.632999999999996</v>
      </c>
      <c r="AY48">
        <v>2014</v>
      </c>
    </row>
    <row r="49" spans="1:51" ht="14.45" x14ac:dyDescent="0.35">
      <c r="A49">
        <v>912</v>
      </c>
      <c r="B49" t="s">
        <v>327</v>
      </c>
      <c r="C49" t="s">
        <v>289</v>
      </c>
      <c r="D49" t="s">
        <v>54</v>
      </c>
      <c r="E49" t="s">
        <v>287</v>
      </c>
      <c r="F49" t="s">
        <v>290</v>
      </c>
      <c r="G49" t="s">
        <v>291</v>
      </c>
      <c r="H49" t="s">
        <v>283</v>
      </c>
      <c r="I49" t="s">
        <v>292</v>
      </c>
      <c r="J49" t="s">
        <v>285</v>
      </c>
      <c r="K49" t="s">
        <v>285</v>
      </c>
      <c r="L49" t="s">
        <v>285</v>
      </c>
      <c r="M49" t="s">
        <v>285</v>
      </c>
      <c r="N49" t="s">
        <v>285</v>
      </c>
      <c r="O49" t="s">
        <v>285</v>
      </c>
      <c r="P49" t="s">
        <v>285</v>
      </c>
      <c r="Q49" t="s">
        <v>285</v>
      </c>
      <c r="R49" t="s">
        <v>285</v>
      </c>
      <c r="S49" t="s">
        <v>285</v>
      </c>
      <c r="T49" t="s">
        <v>285</v>
      </c>
      <c r="U49" t="s">
        <v>285</v>
      </c>
      <c r="V49">
        <v>1.1930000000000001</v>
      </c>
      <c r="W49">
        <v>1.3089999999999999</v>
      </c>
      <c r="X49">
        <v>2.258</v>
      </c>
      <c r="Y49">
        <v>2.4169999999999998</v>
      </c>
      <c r="Z49">
        <v>3.177</v>
      </c>
      <c r="AA49">
        <v>3.9630000000000001</v>
      </c>
      <c r="AB49">
        <v>4.28</v>
      </c>
      <c r="AC49">
        <v>4.5810000000000004</v>
      </c>
      <c r="AD49">
        <v>5.2729999999999997</v>
      </c>
      <c r="AE49">
        <v>5.71</v>
      </c>
      <c r="AF49">
        <v>6.2320000000000002</v>
      </c>
      <c r="AG49">
        <v>7.2759999999999998</v>
      </c>
      <c r="AH49">
        <v>8.6820000000000004</v>
      </c>
      <c r="AI49">
        <v>13.244999999999999</v>
      </c>
      <c r="AJ49">
        <v>21.027000000000001</v>
      </c>
      <c r="AK49">
        <v>33.090000000000003</v>
      </c>
      <c r="AL49">
        <v>46.378</v>
      </c>
      <c r="AM49">
        <v>44.289000000000001</v>
      </c>
      <c r="AN49">
        <v>52.912999999999997</v>
      </c>
      <c r="AO49">
        <v>64.819000000000003</v>
      </c>
      <c r="AP49">
        <v>68.7</v>
      </c>
      <c r="AQ49">
        <v>73.537000000000006</v>
      </c>
      <c r="AR49">
        <v>74.144999999999996</v>
      </c>
      <c r="AS49">
        <v>63.982999999999997</v>
      </c>
      <c r="AT49">
        <v>63.601999999999997</v>
      </c>
      <c r="AU49">
        <v>70.927000000000007</v>
      </c>
      <c r="AV49">
        <v>74.266000000000005</v>
      </c>
      <c r="AW49">
        <v>83.995999999999995</v>
      </c>
      <c r="AX49">
        <v>87.275999999999996</v>
      </c>
      <c r="AY49">
        <v>2014</v>
      </c>
    </row>
    <row r="50" spans="1:51" ht="14.45" x14ac:dyDescent="0.35">
      <c r="A50">
        <v>912</v>
      </c>
      <c r="B50" t="s">
        <v>327</v>
      </c>
      <c r="C50" t="s">
        <v>293</v>
      </c>
      <c r="D50" t="s">
        <v>54</v>
      </c>
      <c r="E50" t="s">
        <v>294</v>
      </c>
      <c r="F50" t="s">
        <v>295</v>
      </c>
      <c r="G50" t="s">
        <v>296</v>
      </c>
      <c r="I50" t="s">
        <v>297</v>
      </c>
      <c r="J50" t="s">
        <v>285</v>
      </c>
      <c r="K50" t="s">
        <v>285</v>
      </c>
      <c r="L50" t="s">
        <v>285</v>
      </c>
      <c r="M50" t="s">
        <v>285</v>
      </c>
      <c r="N50" t="s">
        <v>285</v>
      </c>
      <c r="O50" t="s">
        <v>285</v>
      </c>
      <c r="P50" t="s">
        <v>285</v>
      </c>
      <c r="Q50" t="s">
        <v>285</v>
      </c>
      <c r="R50" t="s">
        <v>285</v>
      </c>
      <c r="S50" t="s">
        <v>285</v>
      </c>
      <c r="T50" t="s">
        <v>285</v>
      </c>
      <c r="U50" t="s">
        <v>285</v>
      </c>
      <c r="V50">
        <v>6.5000000000000002E-2</v>
      </c>
      <c r="W50">
        <v>0.54700000000000004</v>
      </c>
      <c r="X50">
        <v>15.369</v>
      </c>
      <c r="Y50">
        <v>53.194000000000003</v>
      </c>
      <c r="Z50">
        <v>66.436000000000007</v>
      </c>
      <c r="AA50">
        <v>70.522999999999996</v>
      </c>
      <c r="AB50">
        <v>69.759</v>
      </c>
      <c r="AC50">
        <v>71.385000000000005</v>
      </c>
      <c r="AD50">
        <v>83.988</v>
      </c>
      <c r="AE50">
        <v>88.861000000000004</v>
      </c>
      <c r="AF50">
        <v>93.72</v>
      </c>
      <c r="AG50">
        <v>100</v>
      </c>
      <c r="AH50">
        <v>108.31399999999999</v>
      </c>
      <c r="AI50">
        <v>125.797</v>
      </c>
      <c r="AJ50">
        <v>140.01499999999999</v>
      </c>
      <c r="AK50">
        <v>169.45699999999999</v>
      </c>
      <c r="AL50">
        <v>204.953</v>
      </c>
      <c r="AM50">
        <v>175.65199999999999</v>
      </c>
      <c r="AN50">
        <v>199.61699999999999</v>
      </c>
      <c r="AO50">
        <v>240.25200000000001</v>
      </c>
      <c r="AP50">
        <v>248.08500000000001</v>
      </c>
      <c r="AQ50">
        <v>250.727</v>
      </c>
      <c r="AR50">
        <v>245.60599999999999</v>
      </c>
      <c r="AS50">
        <v>263.47500000000002</v>
      </c>
      <c r="AT50">
        <v>264.58800000000002</v>
      </c>
      <c r="AU50">
        <v>286.85599999999999</v>
      </c>
      <c r="AV50">
        <v>288.26100000000002</v>
      </c>
      <c r="AW50">
        <v>312.798</v>
      </c>
      <c r="AX50">
        <v>314.21800000000002</v>
      </c>
      <c r="AY50">
        <v>2014</v>
      </c>
    </row>
    <row r="51" spans="1:51" ht="14.45" x14ac:dyDescent="0.35">
      <c r="A51">
        <v>912</v>
      </c>
      <c r="B51" t="s">
        <v>327</v>
      </c>
      <c r="C51" t="s">
        <v>298</v>
      </c>
      <c r="D51" t="s">
        <v>54</v>
      </c>
      <c r="E51" t="s">
        <v>299</v>
      </c>
      <c r="F51" t="s">
        <v>300</v>
      </c>
      <c r="G51" t="s">
        <v>282</v>
      </c>
      <c r="H51" t="s">
        <v>283</v>
      </c>
      <c r="I51" t="s">
        <v>329</v>
      </c>
      <c r="J51" t="s">
        <v>285</v>
      </c>
      <c r="K51" t="s">
        <v>285</v>
      </c>
      <c r="L51" t="s">
        <v>285</v>
      </c>
      <c r="M51" t="s">
        <v>285</v>
      </c>
      <c r="N51" t="s">
        <v>285</v>
      </c>
      <c r="O51" t="s">
        <v>285</v>
      </c>
      <c r="P51" t="s">
        <v>285</v>
      </c>
      <c r="Q51" t="s">
        <v>285</v>
      </c>
      <c r="R51" t="s">
        <v>285</v>
      </c>
      <c r="S51" t="s">
        <v>285</v>
      </c>
      <c r="T51" t="s">
        <v>285</v>
      </c>
      <c r="U51" t="s">
        <v>285</v>
      </c>
      <c r="V51" t="s">
        <v>285</v>
      </c>
      <c r="W51" t="s">
        <v>285</v>
      </c>
      <c r="X51">
        <v>0.17199999999999999</v>
      </c>
      <c r="Y51">
        <v>0.47899999999999998</v>
      </c>
      <c r="Z51">
        <v>0.55600000000000005</v>
      </c>
      <c r="AA51">
        <v>0.65600000000000003</v>
      </c>
      <c r="AB51">
        <v>0.81599999999999995</v>
      </c>
      <c r="AC51">
        <v>0.88900000000000001</v>
      </c>
      <c r="AD51">
        <v>0.98299999999999998</v>
      </c>
      <c r="AE51">
        <v>0.99199999999999999</v>
      </c>
      <c r="AF51">
        <v>1.6779999999999999</v>
      </c>
      <c r="AG51">
        <v>2.0379999999999998</v>
      </c>
      <c r="AH51">
        <v>2.2069999999999999</v>
      </c>
      <c r="AI51">
        <v>2.839</v>
      </c>
      <c r="AJ51">
        <v>5.0369999999999999</v>
      </c>
      <c r="AK51">
        <v>7.3559999999999999</v>
      </c>
      <c r="AL51">
        <v>11.829000000000001</v>
      </c>
      <c r="AM51">
        <v>12.028</v>
      </c>
      <c r="AN51">
        <v>13.45</v>
      </c>
      <c r="AO51">
        <v>17.367999999999999</v>
      </c>
      <c r="AP51">
        <v>19.782</v>
      </c>
      <c r="AQ51">
        <v>21.931999999999999</v>
      </c>
      <c r="AR51">
        <v>22.79</v>
      </c>
      <c r="AS51">
        <v>22.527000000000001</v>
      </c>
      <c r="AT51">
        <v>21.28</v>
      </c>
      <c r="AU51">
        <v>22.948</v>
      </c>
      <c r="AV51">
        <v>25.100999999999999</v>
      </c>
      <c r="AW51">
        <v>26.155999999999999</v>
      </c>
      <c r="AX51">
        <v>27.439</v>
      </c>
      <c r="AY51">
        <v>2014</v>
      </c>
    </row>
    <row r="52" spans="1:51" ht="14.45" x14ac:dyDescent="0.35">
      <c r="A52">
        <v>313</v>
      </c>
      <c r="B52" t="s">
        <v>330</v>
      </c>
      <c r="C52" t="s">
        <v>279</v>
      </c>
      <c r="D52" t="s">
        <v>55</v>
      </c>
      <c r="E52" t="s">
        <v>280</v>
      </c>
      <c r="F52" t="s">
        <v>281</v>
      </c>
      <c r="G52" t="s">
        <v>282</v>
      </c>
      <c r="H52" t="s">
        <v>283</v>
      </c>
      <c r="I52" t="s">
        <v>331</v>
      </c>
      <c r="J52">
        <v>4.258</v>
      </c>
      <c r="K52">
        <v>4.1340000000000003</v>
      </c>
      <c r="L52">
        <v>4.3949999999999996</v>
      </c>
      <c r="M52">
        <v>4.694</v>
      </c>
      <c r="N52">
        <v>4.806</v>
      </c>
      <c r="O52">
        <v>5.0030000000000001</v>
      </c>
      <c r="P52">
        <v>5.133</v>
      </c>
      <c r="Q52">
        <v>5.3230000000000004</v>
      </c>
      <c r="R52">
        <v>5.4429999999999996</v>
      </c>
      <c r="S52">
        <v>5.569</v>
      </c>
      <c r="T52">
        <v>5.6269999999999998</v>
      </c>
      <c r="U52">
        <v>5.3920000000000003</v>
      </c>
      <c r="V52">
        <v>5.1859999999999999</v>
      </c>
      <c r="W52">
        <v>5.202</v>
      </c>
      <c r="X52">
        <v>5.3650000000000002</v>
      </c>
      <c r="Y52">
        <v>5.6</v>
      </c>
      <c r="Z52">
        <v>5.8369999999999997</v>
      </c>
      <c r="AA52">
        <v>6.1260000000000003</v>
      </c>
      <c r="AB52">
        <v>6.4139999999999997</v>
      </c>
      <c r="AC52">
        <v>6.8730000000000002</v>
      </c>
      <c r="AD52">
        <v>7.1580000000000004</v>
      </c>
      <c r="AE52">
        <v>7.3460000000000001</v>
      </c>
      <c r="AF52">
        <v>7.5449999999999999</v>
      </c>
      <c r="AG52">
        <v>7.4489999999999998</v>
      </c>
      <c r="AH52">
        <v>7.5149999999999997</v>
      </c>
      <c r="AI52">
        <v>7.77</v>
      </c>
      <c r="AJ52">
        <v>7.9660000000000002</v>
      </c>
      <c r="AK52">
        <v>8.0809999999999995</v>
      </c>
      <c r="AL52">
        <v>7.8929999999999998</v>
      </c>
      <c r="AM52">
        <v>7.5629999999999997</v>
      </c>
      <c r="AN52">
        <v>7.68</v>
      </c>
      <c r="AO52">
        <v>7.7270000000000003</v>
      </c>
      <c r="AP52">
        <v>7.8979999999999997</v>
      </c>
      <c r="AQ52">
        <v>7.9</v>
      </c>
      <c r="AR52">
        <v>7.9809999999999999</v>
      </c>
      <c r="AS52">
        <v>8.0779999999999994</v>
      </c>
      <c r="AT52">
        <v>8.26</v>
      </c>
      <c r="AU52">
        <v>8.4849999999999994</v>
      </c>
      <c r="AV52">
        <v>8.6289999999999996</v>
      </c>
      <c r="AW52">
        <v>8.7750000000000004</v>
      </c>
      <c r="AX52">
        <v>8.91</v>
      </c>
      <c r="AY52">
        <v>2014</v>
      </c>
    </row>
    <row r="53" spans="1:51" ht="14.45" x14ac:dyDescent="0.35">
      <c r="A53">
        <v>313</v>
      </c>
      <c r="B53" t="s">
        <v>330</v>
      </c>
      <c r="C53" t="s">
        <v>286</v>
      </c>
      <c r="D53" t="s">
        <v>55</v>
      </c>
      <c r="E53" t="s">
        <v>287</v>
      </c>
      <c r="F53" t="s">
        <v>288</v>
      </c>
      <c r="G53" t="s">
        <v>282</v>
      </c>
      <c r="H53" t="s">
        <v>283</v>
      </c>
      <c r="I53" t="s">
        <v>331</v>
      </c>
      <c r="J53">
        <v>2.0350000000000001</v>
      </c>
      <c r="K53">
        <v>2.109</v>
      </c>
      <c r="L53">
        <v>2.3740000000000001</v>
      </c>
      <c r="M53">
        <v>2.6429999999999998</v>
      </c>
      <c r="N53">
        <v>2.8220000000000001</v>
      </c>
      <c r="O53">
        <v>3.0739999999999998</v>
      </c>
      <c r="P53">
        <v>3.323</v>
      </c>
      <c r="Q53">
        <v>3.6579999999999999</v>
      </c>
      <c r="R53">
        <v>3.8039999999999998</v>
      </c>
      <c r="S53">
        <v>4.2880000000000003</v>
      </c>
      <c r="T53">
        <v>4.0880000000000001</v>
      </c>
      <c r="U53">
        <v>4.0179999999999998</v>
      </c>
      <c r="V53">
        <v>4.0149999999999997</v>
      </c>
      <c r="W53">
        <v>3.9929999999999999</v>
      </c>
      <c r="X53">
        <v>4.2080000000000002</v>
      </c>
      <c r="Y53">
        <v>4.4290000000000003</v>
      </c>
      <c r="Z53">
        <v>4.6609999999999996</v>
      </c>
      <c r="AA53">
        <v>4.9610000000000003</v>
      </c>
      <c r="AB53">
        <v>5.3540000000000001</v>
      </c>
      <c r="AC53">
        <v>6.02</v>
      </c>
      <c r="AD53">
        <v>6.3280000000000003</v>
      </c>
      <c r="AE53">
        <v>6.5170000000000003</v>
      </c>
      <c r="AF53">
        <v>6.9580000000000002</v>
      </c>
      <c r="AG53">
        <v>6.9489999999999998</v>
      </c>
      <c r="AH53">
        <v>7.0940000000000003</v>
      </c>
      <c r="AI53">
        <v>7.7060000000000004</v>
      </c>
      <c r="AJ53">
        <v>7.9660000000000002</v>
      </c>
      <c r="AK53">
        <v>8.3190000000000008</v>
      </c>
      <c r="AL53">
        <v>8.2469999999999999</v>
      </c>
      <c r="AM53">
        <v>7.82</v>
      </c>
      <c r="AN53">
        <v>7.91</v>
      </c>
      <c r="AO53">
        <v>7.89</v>
      </c>
      <c r="AP53">
        <v>8.234</v>
      </c>
      <c r="AQ53">
        <v>8.4320000000000004</v>
      </c>
      <c r="AR53">
        <v>8.5109999999999992</v>
      </c>
      <c r="AS53">
        <v>8.8840000000000003</v>
      </c>
      <c r="AT53">
        <v>9.1989999999999998</v>
      </c>
      <c r="AU53">
        <v>9.5510000000000002</v>
      </c>
      <c r="AV53">
        <v>9.8130000000000006</v>
      </c>
      <c r="AW53">
        <v>10.114000000000001</v>
      </c>
      <c r="AX53">
        <v>10.401999999999999</v>
      </c>
      <c r="AY53">
        <v>2014</v>
      </c>
    </row>
    <row r="54" spans="1:51" ht="14.45" x14ac:dyDescent="0.35">
      <c r="A54">
        <v>313</v>
      </c>
      <c r="B54" t="s">
        <v>330</v>
      </c>
      <c r="C54" t="s">
        <v>289</v>
      </c>
      <c r="D54" t="s">
        <v>55</v>
      </c>
      <c r="E54" t="s">
        <v>287</v>
      </c>
      <c r="F54" t="s">
        <v>290</v>
      </c>
      <c r="G54" t="s">
        <v>291</v>
      </c>
      <c r="H54" t="s">
        <v>283</v>
      </c>
      <c r="I54" t="s">
        <v>292</v>
      </c>
      <c r="J54">
        <v>2.0350000000000001</v>
      </c>
      <c r="K54">
        <v>2.109</v>
      </c>
      <c r="L54">
        <v>2.3740000000000001</v>
      </c>
      <c r="M54">
        <v>2.6429999999999998</v>
      </c>
      <c r="N54">
        <v>2.8220000000000001</v>
      </c>
      <c r="O54">
        <v>3.0739999999999998</v>
      </c>
      <c r="P54">
        <v>3.323</v>
      </c>
      <c r="Q54">
        <v>3.6579999999999999</v>
      </c>
      <c r="R54">
        <v>3.8039999999999998</v>
      </c>
      <c r="S54">
        <v>4.2880000000000003</v>
      </c>
      <c r="T54">
        <v>4.0880000000000001</v>
      </c>
      <c r="U54">
        <v>4.0179999999999998</v>
      </c>
      <c r="V54">
        <v>4.0149999999999997</v>
      </c>
      <c r="W54">
        <v>3.9929999999999999</v>
      </c>
      <c r="X54">
        <v>4.2080000000000002</v>
      </c>
      <c r="Y54">
        <v>4.4290000000000003</v>
      </c>
      <c r="Z54">
        <v>4.6609999999999996</v>
      </c>
      <c r="AA54">
        <v>4.9610000000000003</v>
      </c>
      <c r="AB54">
        <v>5.3540000000000001</v>
      </c>
      <c r="AC54">
        <v>6.02</v>
      </c>
      <c r="AD54">
        <v>6.3280000000000003</v>
      </c>
      <c r="AE54">
        <v>6.5170000000000003</v>
      </c>
      <c r="AF54">
        <v>6.9580000000000002</v>
      </c>
      <c r="AG54">
        <v>6.9489999999999998</v>
      </c>
      <c r="AH54">
        <v>7.0940000000000003</v>
      </c>
      <c r="AI54">
        <v>7.7060000000000004</v>
      </c>
      <c r="AJ54">
        <v>7.9660000000000002</v>
      </c>
      <c r="AK54">
        <v>8.3190000000000008</v>
      </c>
      <c r="AL54">
        <v>8.2469999999999999</v>
      </c>
      <c r="AM54">
        <v>7.82</v>
      </c>
      <c r="AN54">
        <v>7.91</v>
      </c>
      <c r="AO54">
        <v>7.89</v>
      </c>
      <c r="AP54">
        <v>8.234</v>
      </c>
      <c r="AQ54">
        <v>8.4320000000000004</v>
      </c>
      <c r="AR54">
        <v>8.5109999999999992</v>
      </c>
      <c r="AS54">
        <v>8.8840000000000003</v>
      </c>
      <c r="AT54">
        <v>9.1989999999999998</v>
      </c>
      <c r="AU54">
        <v>9.5510000000000002</v>
      </c>
      <c r="AV54">
        <v>9.8130000000000006</v>
      </c>
      <c r="AW54">
        <v>10.114000000000001</v>
      </c>
      <c r="AX54">
        <v>10.401999999999999</v>
      </c>
      <c r="AY54">
        <v>2014</v>
      </c>
    </row>
    <row r="55" spans="1:51" ht="14.45" x14ac:dyDescent="0.35">
      <c r="A55">
        <v>313</v>
      </c>
      <c r="B55" t="s">
        <v>330</v>
      </c>
      <c r="C55" t="s">
        <v>293</v>
      </c>
      <c r="D55" t="s">
        <v>55</v>
      </c>
      <c r="E55" t="s">
        <v>294</v>
      </c>
      <c r="F55" t="s">
        <v>295</v>
      </c>
      <c r="G55" t="s">
        <v>296</v>
      </c>
      <c r="I55" t="s">
        <v>297</v>
      </c>
      <c r="J55">
        <v>47.805</v>
      </c>
      <c r="K55">
        <v>51.005000000000003</v>
      </c>
      <c r="L55">
        <v>54.027999999999999</v>
      </c>
      <c r="M55">
        <v>56.304000000000002</v>
      </c>
      <c r="N55">
        <v>58.723999999999997</v>
      </c>
      <c r="O55">
        <v>61.430999999999997</v>
      </c>
      <c r="P55">
        <v>64.724999999999994</v>
      </c>
      <c r="Q55">
        <v>68.72</v>
      </c>
      <c r="R55">
        <v>69.873999999999995</v>
      </c>
      <c r="S55">
        <v>76.994</v>
      </c>
      <c r="T55">
        <v>72.653000000000006</v>
      </c>
      <c r="U55">
        <v>74.516999999999996</v>
      </c>
      <c r="V55">
        <v>77.432000000000002</v>
      </c>
      <c r="W55">
        <v>76.763999999999996</v>
      </c>
      <c r="X55">
        <v>78.436000000000007</v>
      </c>
      <c r="Y55">
        <v>79.081999999999994</v>
      </c>
      <c r="Z55">
        <v>79.861000000000004</v>
      </c>
      <c r="AA55">
        <v>80.989999999999995</v>
      </c>
      <c r="AB55">
        <v>83.46</v>
      </c>
      <c r="AC55">
        <v>87.591999999999999</v>
      </c>
      <c r="AD55">
        <v>88.399000000000001</v>
      </c>
      <c r="AE55">
        <v>88.712000000000003</v>
      </c>
      <c r="AF55">
        <v>92.225999999999999</v>
      </c>
      <c r="AG55">
        <v>93.290999999999997</v>
      </c>
      <c r="AH55">
        <v>94.405000000000001</v>
      </c>
      <c r="AI55">
        <v>99.179000000000002</v>
      </c>
      <c r="AJ55">
        <v>100</v>
      </c>
      <c r="AK55">
        <v>102.94799999999999</v>
      </c>
      <c r="AL55">
        <v>104.48</v>
      </c>
      <c r="AM55">
        <v>103.39700000000001</v>
      </c>
      <c r="AN55">
        <v>102.991</v>
      </c>
      <c r="AO55">
        <v>102.107</v>
      </c>
      <c r="AP55">
        <v>104.25700000000001</v>
      </c>
      <c r="AQ55">
        <v>106.73099999999999</v>
      </c>
      <c r="AR55">
        <v>106.637</v>
      </c>
      <c r="AS55">
        <v>109.98099999999999</v>
      </c>
      <c r="AT55">
        <v>111.366</v>
      </c>
      <c r="AU55">
        <v>112.56100000000001</v>
      </c>
      <c r="AV55">
        <v>113.71599999999999</v>
      </c>
      <c r="AW55">
        <v>115.26900000000001</v>
      </c>
      <c r="AX55">
        <v>116.744</v>
      </c>
      <c r="AY55">
        <v>2014</v>
      </c>
    </row>
    <row r="56" spans="1:51" ht="14.45" x14ac:dyDescent="0.35">
      <c r="A56">
        <v>313</v>
      </c>
      <c r="B56" t="s">
        <v>330</v>
      </c>
      <c r="C56" t="s">
        <v>298</v>
      </c>
      <c r="D56" t="s">
        <v>55</v>
      </c>
      <c r="E56" t="s">
        <v>299</v>
      </c>
      <c r="F56" t="s">
        <v>300</v>
      </c>
      <c r="G56" t="s">
        <v>282</v>
      </c>
      <c r="H56" t="s">
        <v>283</v>
      </c>
      <c r="I56" t="s">
        <v>332</v>
      </c>
      <c r="J56" t="s">
        <v>285</v>
      </c>
      <c r="K56" t="s">
        <v>285</v>
      </c>
      <c r="L56" t="s">
        <v>285</v>
      </c>
      <c r="M56" t="s">
        <v>285</v>
      </c>
      <c r="N56" t="s">
        <v>285</v>
      </c>
      <c r="O56" t="s">
        <v>285</v>
      </c>
      <c r="P56" t="s">
        <v>285</v>
      </c>
      <c r="Q56" t="s">
        <v>285</v>
      </c>
      <c r="R56" t="s">
        <v>285</v>
      </c>
      <c r="S56" t="s">
        <v>285</v>
      </c>
      <c r="T56">
        <v>0.55000000000000004</v>
      </c>
      <c r="U56">
        <v>0.56599999999999995</v>
      </c>
      <c r="V56">
        <v>0.59799999999999998</v>
      </c>
      <c r="W56">
        <v>0.58399999999999996</v>
      </c>
      <c r="X56">
        <v>0.61</v>
      </c>
      <c r="Y56">
        <v>0.63800000000000001</v>
      </c>
      <c r="Z56">
        <v>0.67900000000000005</v>
      </c>
      <c r="AA56">
        <v>0.80100000000000005</v>
      </c>
      <c r="AB56">
        <v>0.80300000000000005</v>
      </c>
      <c r="AC56">
        <v>0.65100000000000002</v>
      </c>
      <c r="AD56">
        <v>0.92500000000000004</v>
      </c>
      <c r="AE56">
        <v>0.93400000000000005</v>
      </c>
      <c r="AF56">
        <v>1</v>
      </c>
      <c r="AG56">
        <v>1.0469999999999999</v>
      </c>
      <c r="AH56">
        <v>1.075</v>
      </c>
      <c r="AI56">
        <v>1.143</v>
      </c>
      <c r="AJ56">
        <v>1.2729999999999999</v>
      </c>
      <c r="AK56">
        <v>1.452</v>
      </c>
      <c r="AL56">
        <v>1.5209999999999999</v>
      </c>
      <c r="AM56">
        <v>1.5620000000000001</v>
      </c>
      <c r="AN56">
        <v>1.5529999999999999</v>
      </c>
      <c r="AO56">
        <v>1.7310000000000001</v>
      </c>
      <c r="AP56">
        <v>1.7949999999999999</v>
      </c>
      <c r="AQ56">
        <v>1.804</v>
      </c>
      <c r="AR56">
        <v>1.7290000000000001</v>
      </c>
      <c r="AS56">
        <v>1.788</v>
      </c>
      <c r="AT56">
        <v>1.869</v>
      </c>
      <c r="AU56">
        <v>1.9219999999999999</v>
      </c>
      <c r="AV56">
        <v>1.976</v>
      </c>
      <c r="AW56">
        <v>2.028</v>
      </c>
      <c r="AX56">
        <v>2.0859999999999999</v>
      </c>
      <c r="AY56">
        <v>2015</v>
      </c>
    </row>
    <row r="57" spans="1:51" ht="14.45" x14ac:dyDescent="0.35">
      <c r="A57">
        <v>419</v>
      </c>
      <c r="B57" t="s">
        <v>333</v>
      </c>
      <c r="C57" t="s">
        <v>279</v>
      </c>
      <c r="D57" t="s">
        <v>56</v>
      </c>
      <c r="E57" t="s">
        <v>280</v>
      </c>
      <c r="F57" t="s">
        <v>281</v>
      </c>
      <c r="G57" t="s">
        <v>282</v>
      </c>
      <c r="H57" t="s">
        <v>283</v>
      </c>
      <c r="I57" t="s">
        <v>334</v>
      </c>
      <c r="J57">
        <v>2.7719999999999998</v>
      </c>
      <c r="K57">
        <v>2.8490000000000002</v>
      </c>
      <c r="L57">
        <v>3.0310000000000001</v>
      </c>
      <c r="M57">
        <v>3.2429999999999999</v>
      </c>
      <c r="N57">
        <v>3.379</v>
      </c>
      <c r="O57">
        <v>3.3479999999999999</v>
      </c>
      <c r="P57">
        <v>3.3639999999999999</v>
      </c>
      <c r="Q57">
        <v>3.323</v>
      </c>
      <c r="R57">
        <v>3.52</v>
      </c>
      <c r="S57">
        <v>3.556</v>
      </c>
      <c r="T57">
        <v>3.681</v>
      </c>
      <c r="U57">
        <v>3.7650000000000001</v>
      </c>
      <c r="V57">
        <v>4.0330000000000004</v>
      </c>
      <c r="W57">
        <v>4.34</v>
      </c>
      <c r="X57">
        <v>4.4790000000000001</v>
      </c>
      <c r="Y57">
        <v>4.5650000000000004</v>
      </c>
      <c r="Z57">
        <v>4.7140000000000004</v>
      </c>
      <c r="AA57">
        <v>4.8239999999999998</v>
      </c>
      <c r="AB57">
        <v>5.0579999999999998</v>
      </c>
      <c r="AC57">
        <v>5.36</v>
      </c>
      <c r="AD57">
        <v>5.7359999999999998</v>
      </c>
      <c r="AE57">
        <v>5.8789999999999996</v>
      </c>
      <c r="AF57">
        <v>6.0759999999999996</v>
      </c>
      <c r="AG57">
        <v>6.4589999999999996</v>
      </c>
      <c r="AH57">
        <v>6.91</v>
      </c>
      <c r="AI57">
        <v>7.3769999999999998</v>
      </c>
      <c r="AJ57">
        <v>7.8550000000000004</v>
      </c>
      <c r="AK57">
        <v>8.5060000000000002</v>
      </c>
      <c r="AL57">
        <v>9.0370000000000008</v>
      </c>
      <c r="AM57">
        <v>9.2669999999999995</v>
      </c>
      <c r="AN57">
        <v>9.6679999999999993</v>
      </c>
      <c r="AO57">
        <v>9.8710000000000004</v>
      </c>
      <c r="AP57">
        <v>10.226000000000001</v>
      </c>
      <c r="AQ57">
        <v>10.771000000000001</v>
      </c>
      <c r="AR57">
        <v>11.257</v>
      </c>
      <c r="AS57">
        <v>11.637</v>
      </c>
      <c r="AT57">
        <v>12.010999999999999</v>
      </c>
      <c r="AU57">
        <v>12.352</v>
      </c>
      <c r="AV57">
        <v>12.705</v>
      </c>
      <c r="AW57">
        <v>13.122</v>
      </c>
      <c r="AX57">
        <v>13.555999999999999</v>
      </c>
      <c r="AY57">
        <v>2014</v>
      </c>
    </row>
    <row r="58" spans="1:51" ht="14.45" x14ac:dyDescent="0.35">
      <c r="A58">
        <v>419</v>
      </c>
      <c r="B58" t="s">
        <v>333</v>
      </c>
      <c r="C58" t="s">
        <v>286</v>
      </c>
      <c r="D58" t="s">
        <v>56</v>
      </c>
      <c r="E58" t="s">
        <v>287</v>
      </c>
      <c r="F58" t="s">
        <v>288</v>
      </c>
      <c r="G58" t="s">
        <v>282</v>
      </c>
      <c r="H58" t="s">
        <v>283</v>
      </c>
      <c r="I58" t="s">
        <v>334</v>
      </c>
      <c r="J58">
        <v>1.3540000000000001</v>
      </c>
      <c r="K58">
        <v>1.5249999999999999</v>
      </c>
      <c r="L58">
        <v>1.603</v>
      </c>
      <c r="M58">
        <v>1.6419999999999999</v>
      </c>
      <c r="N58">
        <v>1.7050000000000001</v>
      </c>
      <c r="O58">
        <v>1.609</v>
      </c>
      <c r="P58">
        <v>1.2589999999999999</v>
      </c>
      <c r="Q58">
        <v>1.363</v>
      </c>
      <c r="R58">
        <v>1.6850000000000001</v>
      </c>
      <c r="S58">
        <v>1.758</v>
      </c>
      <c r="T58">
        <v>1.867</v>
      </c>
      <c r="U58">
        <v>1.958</v>
      </c>
      <c r="V58">
        <v>2.0459999999999998</v>
      </c>
      <c r="W58">
        <v>2.2509999999999999</v>
      </c>
      <c r="X58">
        <v>2.411</v>
      </c>
      <c r="Y58">
        <v>2.552</v>
      </c>
      <c r="Z58">
        <v>2.653</v>
      </c>
      <c r="AA58">
        <v>2.7519999999999998</v>
      </c>
      <c r="AB58">
        <v>2.63</v>
      </c>
      <c r="AC58">
        <v>2.851</v>
      </c>
      <c r="AD58">
        <v>3.4079999999999999</v>
      </c>
      <c r="AE58">
        <v>3.4550000000000001</v>
      </c>
      <c r="AF58">
        <v>3.6070000000000002</v>
      </c>
      <c r="AG58">
        <v>4.1639999999999997</v>
      </c>
      <c r="AH58">
        <v>4.944</v>
      </c>
      <c r="AI58">
        <v>6.0039999999999996</v>
      </c>
      <c r="AJ58">
        <v>6.9580000000000002</v>
      </c>
      <c r="AK58">
        <v>8.17</v>
      </c>
      <c r="AL58">
        <v>9.6669999999999998</v>
      </c>
      <c r="AM58">
        <v>8.625</v>
      </c>
      <c r="AN58">
        <v>9.6679999999999993</v>
      </c>
      <c r="AO58">
        <v>10.920999999999999</v>
      </c>
      <c r="AP58">
        <v>11.564</v>
      </c>
      <c r="AQ58">
        <v>12.37</v>
      </c>
      <c r="AR58">
        <v>12.734999999999999</v>
      </c>
      <c r="AS58">
        <v>11.625999999999999</v>
      </c>
      <c r="AT58">
        <v>12.161</v>
      </c>
      <c r="AU58">
        <v>12.906000000000001</v>
      </c>
      <c r="AV58">
        <v>13.664999999999999</v>
      </c>
      <c r="AW58">
        <v>14.459</v>
      </c>
      <c r="AX58">
        <v>15.24</v>
      </c>
      <c r="AY58">
        <v>2014</v>
      </c>
    </row>
    <row r="59" spans="1:51" ht="14.45" x14ac:dyDescent="0.35">
      <c r="A59">
        <v>419</v>
      </c>
      <c r="B59" t="s">
        <v>333</v>
      </c>
      <c r="C59" t="s">
        <v>289</v>
      </c>
      <c r="D59" t="s">
        <v>56</v>
      </c>
      <c r="E59" t="s">
        <v>287</v>
      </c>
      <c r="F59" t="s">
        <v>290</v>
      </c>
      <c r="G59" t="s">
        <v>291</v>
      </c>
      <c r="H59" t="s">
        <v>283</v>
      </c>
      <c r="I59" t="s">
        <v>292</v>
      </c>
      <c r="J59">
        <v>3.593</v>
      </c>
      <c r="K59">
        <v>4.056</v>
      </c>
      <c r="L59">
        <v>4.2640000000000002</v>
      </c>
      <c r="M59">
        <v>4.3680000000000003</v>
      </c>
      <c r="N59">
        <v>4.5339999999999998</v>
      </c>
      <c r="O59">
        <v>4.2779999999999996</v>
      </c>
      <c r="P59">
        <v>3.347</v>
      </c>
      <c r="Q59">
        <v>3.6259999999999999</v>
      </c>
      <c r="R59">
        <v>4.4809999999999999</v>
      </c>
      <c r="S59">
        <v>4.6749999999999998</v>
      </c>
      <c r="T59">
        <v>4.9640000000000004</v>
      </c>
      <c r="U59">
        <v>5.2069999999999999</v>
      </c>
      <c r="V59">
        <v>5.4409999999999998</v>
      </c>
      <c r="W59">
        <v>5.9850000000000003</v>
      </c>
      <c r="X59">
        <v>6.41</v>
      </c>
      <c r="Y59">
        <v>6.7850000000000001</v>
      </c>
      <c r="Z59">
        <v>7.0549999999999997</v>
      </c>
      <c r="AA59">
        <v>7.3159999999999998</v>
      </c>
      <c r="AB59">
        <v>6.9939999999999998</v>
      </c>
      <c r="AC59">
        <v>7.5810000000000004</v>
      </c>
      <c r="AD59">
        <v>9.0609999999999999</v>
      </c>
      <c r="AE59">
        <v>9.1869999999999994</v>
      </c>
      <c r="AF59">
        <v>9.5909999999999993</v>
      </c>
      <c r="AG59">
        <v>11.071999999999999</v>
      </c>
      <c r="AH59">
        <v>13.147</v>
      </c>
      <c r="AI59">
        <v>15.965</v>
      </c>
      <c r="AJ59">
        <v>18.501000000000001</v>
      </c>
      <c r="AK59">
        <v>21.725000000000001</v>
      </c>
      <c r="AL59">
        <v>25.704999999999998</v>
      </c>
      <c r="AM59">
        <v>22.933</v>
      </c>
      <c r="AN59">
        <v>25.707999999999998</v>
      </c>
      <c r="AO59">
        <v>29.038</v>
      </c>
      <c r="AP59">
        <v>30.75</v>
      </c>
      <c r="AQ59">
        <v>32.890999999999998</v>
      </c>
      <c r="AR59">
        <v>33.862000000000002</v>
      </c>
      <c r="AS59">
        <v>30.914000000000001</v>
      </c>
      <c r="AT59">
        <v>32.335000000000001</v>
      </c>
      <c r="AU59">
        <v>34.317999999999998</v>
      </c>
      <c r="AV59">
        <v>36.334000000000003</v>
      </c>
      <c r="AW59">
        <v>38.445999999999998</v>
      </c>
      <c r="AX59">
        <v>40.521999999999998</v>
      </c>
      <c r="AY59">
        <v>2014</v>
      </c>
    </row>
    <row r="60" spans="1:51" ht="14.45" x14ac:dyDescent="0.35">
      <c r="A60">
        <v>419</v>
      </c>
      <c r="B60" t="s">
        <v>333</v>
      </c>
      <c r="C60" t="s">
        <v>293</v>
      </c>
      <c r="D60" t="s">
        <v>56</v>
      </c>
      <c r="E60" t="s">
        <v>294</v>
      </c>
      <c r="F60" t="s">
        <v>295</v>
      </c>
      <c r="G60" t="s">
        <v>296</v>
      </c>
      <c r="I60" t="s">
        <v>297</v>
      </c>
      <c r="J60">
        <v>48.865000000000002</v>
      </c>
      <c r="K60">
        <v>53.53</v>
      </c>
      <c r="L60">
        <v>52.889000000000003</v>
      </c>
      <c r="M60">
        <v>50.643000000000001</v>
      </c>
      <c r="N60">
        <v>50.453000000000003</v>
      </c>
      <c r="O60">
        <v>48.051000000000002</v>
      </c>
      <c r="P60">
        <v>37.417000000000002</v>
      </c>
      <c r="Q60">
        <v>41.033999999999999</v>
      </c>
      <c r="R60">
        <v>47.865000000000002</v>
      </c>
      <c r="S60">
        <v>49.426000000000002</v>
      </c>
      <c r="T60">
        <v>50.718000000000004</v>
      </c>
      <c r="U60">
        <v>52.018999999999998</v>
      </c>
      <c r="V60">
        <v>50.734999999999999</v>
      </c>
      <c r="W60">
        <v>51.868000000000002</v>
      </c>
      <c r="X60">
        <v>53.817999999999998</v>
      </c>
      <c r="Y60">
        <v>55.896000000000001</v>
      </c>
      <c r="Z60">
        <v>56.292999999999999</v>
      </c>
      <c r="AA60">
        <v>57.037999999999997</v>
      </c>
      <c r="AB60">
        <v>52.003</v>
      </c>
      <c r="AC60">
        <v>53.188000000000002</v>
      </c>
      <c r="AD60">
        <v>59.405000000000001</v>
      </c>
      <c r="AE60">
        <v>58.764000000000003</v>
      </c>
      <c r="AF60">
        <v>59.366</v>
      </c>
      <c r="AG60">
        <v>64.472999999999999</v>
      </c>
      <c r="AH60">
        <v>71.56</v>
      </c>
      <c r="AI60">
        <v>81.388000000000005</v>
      </c>
      <c r="AJ60">
        <v>88.584999999999994</v>
      </c>
      <c r="AK60">
        <v>96.057000000000002</v>
      </c>
      <c r="AL60">
        <v>106.974</v>
      </c>
      <c r="AM60">
        <v>93.073999999999998</v>
      </c>
      <c r="AN60">
        <v>100</v>
      </c>
      <c r="AO60">
        <v>110.63</v>
      </c>
      <c r="AP60">
        <v>113.09399999999999</v>
      </c>
      <c r="AQ60">
        <v>114.839</v>
      </c>
      <c r="AR60">
        <v>113.13</v>
      </c>
      <c r="AS60">
        <v>99.909000000000006</v>
      </c>
      <c r="AT60">
        <v>101.24299999999999</v>
      </c>
      <c r="AU60">
        <v>104.488</v>
      </c>
      <c r="AV60">
        <v>107.557</v>
      </c>
      <c r="AW60">
        <v>110.18899999999999</v>
      </c>
      <c r="AX60">
        <v>112.423</v>
      </c>
      <c r="AY60">
        <v>2014</v>
      </c>
    </row>
    <row r="61" spans="1:51" ht="14.45" x14ac:dyDescent="0.35">
      <c r="A61">
        <v>419</v>
      </c>
      <c r="B61" t="s">
        <v>333</v>
      </c>
      <c r="C61" t="s">
        <v>298</v>
      </c>
      <c r="D61" t="s">
        <v>56</v>
      </c>
      <c r="E61" t="s">
        <v>299</v>
      </c>
      <c r="F61" t="s">
        <v>300</v>
      </c>
      <c r="G61" t="s">
        <v>282</v>
      </c>
      <c r="H61" t="s">
        <v>283</v>
      </c>
      <c r="I61" t="s">
        <v>335</v>
      </c>
      <c r="J61" t="s">
        <v>285</v>
      </c>
      <c r="K61" t="s">
        <v>285</v>
      </c>
      <c r="L61" t="s">
        <v>285</v>
      </c>
      <c r="M61" t="s">
        <v>285</v>
      </c>
      <c r="N61" t="s">
        <v>285</v>
      </c>
      <c r="O61" t="s">
        <v>285</v>
      </c>
      <c r="P61" t="s">
        <v>285</v>
      </c>
      <c r="Q61" t="s">
        <v>285</v>
      </c>
      <c r="R61" t="s">
        <v>285</v>
      </c>
      <c r="S61" t="s">
        <v>285</v>
      </c>
      <c r="T61">
        <v>0.63</v>
      </c>
      <c r="U61">
        <v>0.58299999999999996</v>
      </c>
      <c r="V61">
        <v>0.627</v>
      </c>
      <c r="W61">
        <v>0.626</v>
      </c>
      <c r="X61">
        <v>0.65700000000000003</v>
      </c>
      <c r="Y61">
        <v>0.66700000000000004</v>
      </c>
      <c r="Z61">
        <v>0.627</v>
      </c>
      <c r="AA61">
        <v>0.88900000000000001</v>
      </c>
      <c r="AB61">
        <v>0.70499999999999996</v>
      </c>
      <c r="AC61">
        <v>0.80500000000000005</v>
      </c>
      <c r="AD61">
        <v>0.78700000000000003</v>
      </c>
      <c r="AE61">
        <v>0.95599999999999996</v>
      </c>
      <c r="AF61">
        <v>1.1499999999999999</v>
      </c>
      <c r="AG61">
        <v>1.2190000000000001</v>
      </c>
      <c r="AH61">
        <v>1.288</v>
      </c>
      <c r="AI61">
        <v>1.4970000000000001</v>
      </c>
      <c r="AJ61">
        <v>1.6779999999999999</v>
      </c>
      <c r="AK61">
        <v>1.9079999999999999</v>
      </c>
      <c r="AL61">
        <v>2.286</v>
      </c>
      <c r="AM61">
        <v>2.2109999999999999</v>
      </c>
      <c r="AN61">
        <v>2.76</v>
      </c>
      <c r="AO61">
        <v>3.0030000000000001</v>
      </c>
      <c r="AP61">
        <v>3.4180000000000001</v>
      </c>
      <c r="AQ61">
        <v>3.5270000000000001</v>
      </c>
      <c r="AR61">
        <v>3.8450000000000002</v>
      </c>
      <c r="AS61">
        <v>3.7869999999999999</v>
      </c>
      <c r="AT61">
        <v>3.8889999999999998</v>
      </c>
      <c r="AU61">
        <v>4.0739999999999998</v>
      </c>
      <c r="AV61">
        <v>4.2789999999999999</v>
      </c>
      <c r="AW61">
        <v>4.4870000000000001</v>
      </c>
      <c r="AX61">
        <v>4.665</v>
      </c>
      <c r="AY61">
        <v>2014</v>
      </c>
    </row>
    <row r="62" spans="1:51" ht="14.45" x14ac:dyDescent="0.35">
      <c r="A62">
        <v>513</v>
      </c>
      <c r="B62" t="s">
        <v>336</v>
      </c>
      <c r="C62" t="s">
        <v>279</v>
      </c>
      <c r="D62" t="s">
        <v>57</v>
      </c>
      <c r="E62" t="s">
        <v>280</v>
      </c>
      <c r="F62" t="s">
        <v>281</v>
      </c>
      <c r="G62" t="s">
        <v>282</v>
      </c>
      <c r="H62" t="s">
        <v>283</v>
      </c>
      <c r="I62" t="s">
        <v>337</v>
      </c>
      <c r="J62" s="21">
        <v>1499.681</v>
      </c>
      <c r="K62" s="21">
        <v>1545.81</v>
      </c>
      <c r="L62" s="21">
        <v>1595.367</v>
      </c>
      <c r="M62" s="21">
        <v>1668.9110000000001</v>
      </c>
      <c r="N62" s="21">
        <v>1738.626</v>
      </c>
      <c r="O62" s="21">
        <v>1803.721</v>
      </c>
      <c r="P62" s="21">
        <v>1875.6</v>
      </c>
      <c r="Q62" s="21">
        <v>1930.58</v>
      </c>
      <c r="R62" s="21">
        <v>1976.6859999999999</v>
      </c>
      <c r="S62" s="21">
        <v>2061.6489999999999</v>
      </c>
      <c r="T62" s="21">
        <v>2156.5390000000002</v>
      </c>
      <c r="U62" s="21">
        <v>2247.1880000000001</v>
      </c>
      <c r="V62" s="21">
        <v>2355.0810000000001</v>
      </c>
      <c r="W62" s="21">
        <v>2456.9110000000001</v>
      </c>
      <c r="X62" s="21">
        <v>2567.797</v>
      </c>
      <c r="Y62" s="21">
        <v>2690.2779999999998</v>
      </c>
      <c r="Z62" s="21">
        <v>2825.1529999999998</v>
      </c>
      <c r="AA62" s="21">
        <v>2975.0059999999999</v>
      </c>
      <c r="AB62" s="21">
        <v>3125.0619999999999</v>
      </c>
      <c r="AC62" s="21">
        <v>3294.4670000000001</v>
      </c>
      <c r="AD62" s="21">
        <v>3478.9430000000002</v>
      </c>
      <c r="AE62" s="21">
        <v>3647.1019999999999</v>
      </c>
      <c r="AF62" s="21">
        <v>3823.7959999999998</v>
      </c>
      <c r="AG62" s="21">
        <v>4044.6669999999999</v>
      </c>
      <c r="AH62" s="21">
        <v>4291.7250000000004</v>
      </c>
      <c r="AI62" s="21">
        <v>4562.1970000000001</v>
      </c>
      <c r="AJ62" s="21">
        <v>4874.7470000000003</v>
      </c>
      <c r="AK62" s="21">
        <v>5192.5029999999997</v>
      </c>
      <c r="AL62" s="21">
        <v>5478.8860000000004</v>
      </c>
      <c r="AM62" s="21">
        <v>5770.085</v>
      </c>
      <c r="AN62" s="21">
        <v>6118.0320000000002</v>
      </c>
      <c r="AO62" s="21">
        <v>6515.3249999999998</v>
      </c>
      <c r="AP62" s="21">
        <v>6923.1530000000002</v>
      </c>
      <c r="AQ62" s="21">
        <v>7341.1750000000002</v>
      </c>
      <c r="AR62" s="21">
        <v>7803.09</v>
      </c>
      <c r="AS62" s="21">
        <v>8310.6659999999993</v>
      </c>
      <c r="AT62" s="21">
        <v>8872.2900000000009</v>
      </c>
      <c r="AU62" s="21">
        <v>9493.3510000000006</v>
      </c>
      <c r="AV62" s="21">
        <v>10157.885</v>
      </c>
      <c r="AW62" s="21">
        <v>10868.937</v>
      </c>
      <c r="AX62" s="21">
        <v>11601.672</v>
      </c>
      <c r="AY62">
        <v>2013</v>
      </c>
    </row>
    <row r="63" spans="1:51" ht="14.45" x14ac:dyDescent="0.35">
      <c r="A63">
        <v>513</v>
      </c>
      <c r="B63" t="s">
        <v>336</v>
      </c>
      <c r="C63" t="s">
        <v>286</v>
      </c>
      <c r="D63" t="s">
        <v>57</v>
      </c>
      <c r="E63" t="s">
        <v>287</v>
      </c>
      <c r="F63" t="s">
        <v>288</v>
      </c>
      <c r="G63" t="s">
        <v>282</v>
      </c>
      <c r="H63" t="s">
        <v>283</v>
      </c>
      <c r="I63" t="s">
        <v>337</v>
      </c>
      <c r="J63">
        <v>349.75700000000001</v>
      </c>
      <c r="K63">
        <v>396.72399999999999</v>
      </c>
      <c r="L63">
        <v>446.71300000000002</v>
      </c>
      <c r="M63">
        <v>520.995</v>
      </c>
      <c r="N63">
        <v>610.12099999999998</v>
      </c>
      <c r="O63">
        <v>693.02099999999996</v>
      </c>
      <c r="P63">
        <v>789.18399999999997</v>
      </c>
      <c r="Q63">
        <v>886.20100000000002</v>
      </c>
      <c r="R63">
        <v>980.69399999999996</v>
      </c>
      <c r="S63" s="21">
        <v>1098.664</v>
      </c>
      <c r="T63" s="21">
        <v>1223.146</v>
      </c>
      <c r="U63" s="21">
        <v>1334.607</v>
      </c>
      <c r="V63" s="21">
        <v>1420.761</v>
      </c>
      <c r="W63" s="21">
        <v>1512.8240000000001</v>
      </c>
      <c r="X63" s="21">
        <v>1670.3150000000001</v>
      </c>
      <c r="Y63" s="21">
        <v>1849.6369999999999</v>
      </c>
      <c r="Z63" s="21">
        <v>2013.133</v>
      </c>
      <c r="AA63" s="21">
        <v>2209.5149999999999</v>
      </c>
      <c r="AB63" s="21">
        <v>2435.7350000000001</v>
      </c>
      <c r="AC63" s="21">
        <v>2649.848</v>
      </c>
      <c r="AD63" s="21">
        <v>2846.2109999999998</v>
      </c>
      <c r="AE63" s="21">
        <v>3055.721</v>
      </c>
      <c r="AF63" s="21">
        <v>3328.5680000000002</v>
      </c>
      <c r="AG63" s="21">
        <v>3675.3130000000001</v>
      </c>
      <c r="AH63" s="21">
        <v>4082.127</v>
      </c>
      <c r="AI63" s="21">
        <v>4562.1970000000001</v>
      </c>
      <c r="AJ63" s="21">
        <v>5160.683</v>
      </c>
      <c r="AK63" s="21">
        <v>5892.4110000000001</v>
      </c>
      <c r="AL63" s="21">
        <v>6668.7709999999997</v>
      </c>
      <c r="AM63" s="21">
        <v>7513.0529999999999</v>
      </c>
      <c r="AN63" s="21">
        <v>8566.8379999999997</v>
      </c>
      <c r="AO63" s="21">
        <v>9855.1640000000007</v>
      </c>
      <c r="AP63" s="21">
        <v>11270.636</v>
      </c>
      <c r="AQ63" s="21">
        <v>12712.987999999999</v>
      </c>
      <c r="AR63" s="21">
        <v>14286.370999999999</v>
      </c>
      <c r="AS63" s="21">
        <v>16173.771000000001</v>
      </c>
      <c r="AT63" s="21">
        <v>18477.996999999999</v>
      </c>
      <c r="AU63" s="21">
        <v>21186.906999999999</v>
      </c>
      <c r="AV63" s="21">
        <v>24243.044000000002</v>
      </c>
      <c r="AW63" s="21">
        <v>27738.833999999999</v>
      </c>
      <c r="AX63" s="21">
        <v>31526.153999999999</v>
      </c>
      <c r="AY63">
        <v>2013</v>
      </c>
    </row>
    <row r="64" spans="1:51" ht="14.45" x14ac:dyDescent="0.35">
      <c r="A64">
        <v>513</v>
      </c>
      <c r="B64" t="s">
        <v>336</v>
      </c>
      <c r="C64" t="s">
        <v>289</v>
      </c>
      <c r="D64" t="s">
        <v>57</v>
      </c>
      <c r="E64" t="s">
        <v>287</v>
      </c>
      <c r="F64" t="s">
        <v>290</v>
      </c>
      <c r="G64" t="s">
        <v>291</v>
      </c>
      <c r="H64" t="s">
        <v>283</v>
      </c>
      <c r="I64" t="s">
        <v>292</v>
      </c>
      <c r="J64">
        <v>22.632000000000001</v>
      </c>
      <c r="K64">
        <v>22.056999999999999</v>
      </c>
      <c r="L64">
        <v>20.196999999999999</v>
      </c>
      <c r="M64">
        <v>21.164999999999999</v>
      </c>
      <c r="N64">
        <v>24.064</v>
      </c>
      <c r="O64">
        <v>24.756</v>
      </c>
      <c r="P64">
        <v>25.954000000000001</v>
      </c>
      <c r="Q64">
        <v>28.632999999999999</v>
      </c>
      <c r="R64">
        <v>30.904</v>
      </c>
      <c r="S64">
        <v>34.045999999999999</v>
      </c>
      <c r="T64">
        <v>35.383000000000003</v>
      </c>
      <c r="U64">
        <v>36.468000000000004</v>
      </c>
      <c r="V64">
        <v>36.475999999999999</v>
      </c>
      <c r="W64">
        <v>38.234000000000002</v>
      </c>
      <c r="X64">
        <v>41.537999999999997</v>
      </c>
      <c r="Y64">
        <v>45.920999999999999</v>
      </c>
      <c r="Z64">
        <v>48.167999999999999</v>
      </c>
      <c r="AA64">
        <v>50.34</v>
      </c>
      <c r="AB64">
        <v>51.927999999999997</v>
      </c>
      <c r="AC64">
        <v>53.984000000000002</v>
      </c>
      <c r="AD64">
        <v>54.585999999999999</v>
      </c>
      <c r="AE64">
        <v>54.755000000000003</v>
      </c>
      <c r="AF64">
        <v>57.5</v>
      </c>
      <c r="AG64">
        <v>63.204000000000001</v>
      </c>
      <c r="AH64">
        <v>68.593000000000004</v>
      </c>
      <c r="AI64">
        <v>70.921000000000006</v>
      </c>
      <c r="AJ64">
        <v>75.77</v>
      </c>
      <c r="AK64">
        <v>85.603999999999999</v>
      </c>
      <c r="AL64">
        <v>97.061999999999998</v>
      </c>
      <c r="AM64">
        <v>108.896</v>
      </c>
      <c r="AN64">
        <v>122.039</v>
      </c>
      <c r="AO64">
        <v>131.07900000000001</v>
      </c>
      <c r="AP64">
        <v>141.70500000000001</v>
      </c>
      <c r="AQ64">
        <v>161.297</v>
      </c>
      <c r="AR64">
        <v>183.82400000000001</v>
      </c>
      <c r="AS64">
        <v>202.333</v>
      </c>
      <c r="AT64">
        <v>218.99100000000001</v>
      </c>
      <c r="AU64">
        <v>238.72300000000001</v>
      </c>
      <c r="AV64">
        <v>260.87400000000002</v>
      </c>
      <c r="AW64">
        <v>285.32900000000001</v>
      </c>
      <c r="AX64">
        <v>310.858</v>
      </c>
      <c r="AY64">
        <v>2013</v>
      </c>
    </row>
    <row r="65" spans="1:51" ht="14.45" x14ac:dyDescent="0.35">
      <c r="A65">
        <v>513</v>
      </c>
      <c r="B65" t="s">
        <v>336</v>
      </c>
      <c r="C65" t="s">
        <v>293</v>
      </c>
      <c r="D65" t="s">
        <v>57</v>
      </c>
      <c r="E65" t="s">
        <v>294</v>
      </c>
      <c r="F65" t="s">
        <v>295</v>
      </c>
      <c r="G65" t="s">
        <v>296</v>
      </c>
      <c r="I65" t="s">
        <v>297</v>
      </c>
      <c r="J65">
        <v>23.321999999999999</v>
      </c>
      <c r="K65">
        <v>25.664000000000001</v>
      </c>
      <c r="L65">
        <v>28.001000000000001</v>
      </c>
      <c r="M65">
        <v>31.218</v>
      </c>
      <c r="N65">
        <v>35.091999999999999</v>
      </c>
      <c r="O65">
        <v>38.421999999999997</v>
      </c>
      <c r="P65">
        <v>42.076000000000001</v>
      </c>
      <c r="Q65">
        <v>45.902999999999999</v>
      </c>
      <c r="R65">
        <v>49.613</v>
      </c>
      <c r="S65">
        <v>53.290999999999997</v>
      </c>
      <c r="T65">
        <v>56.718000000000004</v>
      </c>
      <c r="U65">
        <v>59.39</v>
      </c>
      <c r="V65">
        <v>60.328000000000003</v>
      </c>
      <c r="W65">
        <v>61.573999999999998</v>
      </c>
      <c r="X65">
        <v>65.049000000000007</v>
      </c>
      <c r="Y65">
        <v>68.753</v>
      </c>
      <c r="Z65">
        <v>71.257000000000005</v>
      </c>
      <c r="AA65">
        <v>74.269000000000005</v>
      </c>
      <c r="AB65">
        <v>77.941999999999993</v>
      </c>
      <c r="AC65">
        <v>80.433000000000007</v>
      </c>
      <c r="AD65">
        <v>81.813000000000002</v>
      </c>
      <c r="AE65">
        <v>83.784999999999997</v>
      </c>
      <c r="AF65">
        <v>87.049000000000007</v>
      </c>
      <c r="AG65">
        <v>90.867999999999995</v>
      </c>
      <c r="AH65">
        <v>95.116</v>
      </c>
      <c r="AI65">
        <v>100</v>
      </c>
      <c r="AJ65">
        <v>105.866</v>
      </c>
      <c r="AK65">
        <v>113.479</v>
      </c>
      <c r="AL65">
        <v>121.718</v>
      </c>
      <c r="AM65">
        <v>130.20699999999999</v>
      </c>
      <c r="AN65">
        <v>140.02600000000001</v>
      </c>
      <c r="AO65">
        <v>151.261</v>
      </c>
      <c r="AP65">
        <v>162.79599999999999</v>
      </c>
      <c r="AQ65">
        <v>173.17400000000001</v>
      </c>
      <c r="AR65">
        <v>183.08600000000001</v>
      </c>
      <c r="AS65">
        <v>194.61500000000001</v>
      </c>
      <c r="AT65">
        <v>208.26599999999999</v>
      </c>
      <c r="AU65">
        <v>223.17599999999999</v>
      </c>
      <c r="AV65">
        <v>238.66200000000001</v>
      </c>
      <c r="AW65">
        <v>255.21199999999999</v>
      </c>
      <c r="AX65">
        <v>271.738</v>
      </c>
      <c r="AY65">
        <v>2013</v>
      </c>
    </row>
    <row r="66" spans="1:51" ht="14.45" x14ac:dyDescent="0.35">
      <c r="A66">
        <v>513</v>
      </c>
      <c r="B66" t="s">
        <v>336</v>
      </c>
      <c r="C66" t="s">
        <v>298</v>
      </c>
      <c r="D66" t="s">
        <v>57</v>
      </c>
      <c r="E66" t="s">
        <v>299</v>
      </c>
      <c r="F66" t="s">
        <v>300</v>
      </c>
      <c r="G66" t="s">
        <v>282</v>
      </c>
      <c r="H66" t="s">
        <v>283</v>
      </c>
      <c r="I66" t="s">
        <v>338</v>
      </c>
      <c r="J66">
        <v>42.2</v>
      </c>
      <c r="K66">
        <v>45.35</v>
      </c>
      <c r="L66">
        <v>52.35</v>
      </c>
      <c r="M66">
        <v>59.225000000000001</v>
      </c>
      <c r="N66">
        <v>63.27</v>
      </c>
      <c r="O66">
        <v>71.680000000000007</v>
      </c>
      <c r="P66">
        <v>85.234999999999999</v>
      </c>
      <c r="Q66">
        <v>94.45</v>
      </c>
      <c r="R66">
        <v>101.95</v>
      </c>
      <c r="S66">
        <v>116.973</v>
      </c>
      <c r="T66">
        <v>125.413</v>
      </c>
      <c r="U66">
        <v>133.97999999999999</v>
      </c>
      <c r="V66">
        <v>143.85</v>
      </c>
      <c r="W66">
        <v>167.03200000000001</v>
      </c>
      <c r="X66">
        <v>186.136</v>
      </c>
      <c r="Y66">
        <v>218.28</v>
      </c>
      <c r="Z66">
        <v>222.77600000000001</v>
      </c>
      <c r="AA66">
        <v>244.024</v>
      </c>
      <c r="AB66">
        <v>266.964</v>
      </c>
      <c r="AC66">
        <v>255.65600000000001</v>
      </c>
      <c r="AD66">
        <v>313.78899999999999</v>
      </c>
      <c r="AE66">
        <v>374.46</v>
      </c>
      <c r="AF66">
        <v>389.87200000000001</v>
      </c>
      <c r="AG66">
        <v>423.61</v>
      </c>
      <c r="AH66">
        <v>453.85700000000003</v>
      </c>
      <c r="AI66">
        <v>525.03</v>
      </c>
      <c r="AJ66">
        <v>585.13</v>
      </c>
      <c r="AK66">
        <v>634.03</v>
      </c>
      <c r="AL66">
        <v>869.06</v>
      </c>
      <c r="AM66">
        <v>893.23</v>
      </c>
      <c r="AN66" s="21">
        <v>1012.81</v>
      </c>
      <c r="AO66" s="21">
        <v>1277.7249999999999</v>
      </c>
      <c r="AP66" s="21">
        <v>1500.924</v>
      </c>
      <c r="AQ66" s="21">
        <v>1751.61</v>
      </c>
      <c r="AR66" s="21">
        <v>1880.76</v>
      </c>
      <c r="AS66" s="21">
        <v>2143.7359999999999</v>
      </c>
      <c r="AT66" s="21">
        <v>2605.4769999999999</v>
      </c>
      <c r="AU66" s="21">
        <v>3137.8229999999999</v>
      </c>
      <c r="AV66" s="21">
        <v>3724.7820000000002</v>
      </c>
      <c r="AW66" s="21">
        <v>4373.7870000000003</v>
      </c>
      <c r="AX66" s="21">
        <v>5010.2030000000004</v>
      </c>
      <c r="AY66">
        <v>2014</v>
      </c>
    </row>
    <row r="67" spans="1:51" ht="14.45" x14ac:dyDescent="0.35">
      <c r="A67">
        <v>316</v>
      </c>
      <c r="B67" t="s">
        <v>339</v>
      </c>
      <c r="C67" t="s">
        <v>279</v>
      </c>
      <c r="D67" t="s">
        <v>58</v>
      </c>
      <c r="E67" t="s">
        <v>280</v>
      </c>
      <c r="F67" t="s">
        <v>281</v>
      </c>
      <c r="G67" t="s">
        <v>282</v>
      </c>
      <c r="H67" t="s">
        <v>283</v>
      </c>
      <c r="I67" t="s">
        <v>340</v>
      </c>
      <c r="J67">
        <v>0.80700000000000005</v>
      </c>
      <c r="K67">
        <v>0.79100000000000004</v>
      </c>
      <c r="L67">
        <v>0.753</v>
      </c>
      <c r="M67">
        <v>0.75600000000000001</v>
      </c>
      <c r="N67">
        <v>0.78400000000000003</v>
      </c>
      <c r="O67">
        <v>0.79200000000000004</v>
      </c>
      <c r="P67">
        <v>0.83299999999999996</v>
      </c>
      <c r="Q67">
        <v>0.85399999999999998</v>
      </c>
      <c r="R67">
        <v>0.88400000000000001</v>
      </c>
      <c r="S67">
        <v>0.91600000000000004</v>
      </c>
      <c r="T67">
        <v>0.88600000000000001</v>
      </c>
      <c r="U67">
        <v>0.85099999999999998</v>
      </c>
      <c r="V67">
        <v>0.80300000000000005</v>
      </c>
      <c r="W67">
        <v>0.80900000000000005</v>
      </c>
      <c r="X67">
        <v>0.82499999999999996</v>
      </c>
      <c r="Y67">
        <v>0.84199999999999997</v>
      </c>
      <c r="Z67">
        <v>0.876</v>
      </c>
      <c r="AA67">
        <v>0.91700000000000004</v>
      </c>
      <c r="AB67">
        <v>0.95099999999999996</v>
      </c>
      <c r="AC67">
        <v>0.95399999999999996</v>
      </c>
      <c r="AD67">
        <v>0.997</v>
      </c>
      <c r="AE67">
        <v>0.97299999999999998</v>
      </c>
      <c r="AF67">
        <v>0.98099999999999998</v>
      </c>
      <c r="AG67">
        <v>1.002</v>
      </c>
      <c r="AH67">
        <v>1.016</v>
      </c>
      <c r="AI67">
        <v>1.0569999999999999</v>
      </c>
      <c r="AJ67">
        <v>1.117</v>
      </c>
      <c r="AK67">
        <v>1.1359999999999999</v>
      </c>
      <c r="AL67">
        <v>1.141</v>
      </c>
      <c r="AM67">
        <v>1.095</v>
      </c>
      <c r="AN67">
        <v>1.0980000000000001</v>
      </c>
      <c r="AO67">
        <v>1.1060000000000001</v>
      </c>
      <c r="AP67">
        <v>1.109</v>
      </c>
      <c r="AQ67">
        <v>1.109</v>
      </c>
      <c r="AR67">
        <v>1.111</v>
      </c>
      <c r="AS67">
        <v>1.1220000000000001</v>
      </c>
      <c r="AT67">
        <v>1.1339999999999999</v>
      </c>
      <c r="AU67">
        <v>1.1479999999999999</v>
      </c>
      <c r="AV67">
        <v>1.1619999999999999</v>
      </c>
      <c r="AW67">
        <v>1.179</v>
      </c>
      <c r="AX67">
        <v>1.2030000000000001</v>
      </c>
      <c r="AY67">
        <v>2013</v>
      </c>
    </row>
    <row r="68" spans="1:51" ht="14.45" x14ac:dyDescent="0.35">
      <c r="A68">
        <v>316</v>
      </c>
      <c r="B68" t="s">
        <v>339</v>
      </c>
      <c r="C68" t="s">
        <v>286</v>
      </c>
      <c r="D68" t="s">
        <v>58</v>
      </c>
      <c r="E68" t="s">
        <v>287</v>
      </c>
      <c r="F68" t="s">
        <v>288</v>
      </c>
      <c r="G68" t="s">
        <v>282</v>
      </c>
      <c r="H68" t="s">
        <v>283</v>
      </c>
      <c r="I68" t="s">
        <v>340</v>
      </c>
      <c r="J68">
        <v>2.036</v>
      </c>
      <c r="K68">
        <v>2.2410000000000001</v>
      </c>
      <c r="L68">
        <v>2.3410000000000002</v>
      </c>
      <c r="M68">
        <v>2.4860000000000002</v>
      </c>
      <c r="N68">
        <v>2.7090000000000001</v>
      </c>
      <c r="O68">
        <v>2.835</v>
      </c>
      <c r="P68">
        <v>3.113</v>
      </c>
      <c r="Q68">
        <v>3.4279999999999999</v>
      </c>
      <c r="R68">
        <v>3.6459999999999999</v>
      </c>
      <c r="S68">
        <v>4.0350000000000001</v>
      </c>
      <c r="T68">
        <v>4.0469999999999997</v>
      </c>
      <c r="U68">
        <v>4.0640000000000001</v>
      </c>
      <c r="V68">
        <v>3.9140000000000001</v>
      </c>
      <c r="W68">
        <v>4.1500000000000004</v>
      </c>
      <c r="X68">
        <v>4.327</v>
      </c>
      <c r="Y68">
        <v>4.55</v>
      </c>
      <c r="Z68">
        <v>4.851</v>
      </c>
      <c r="AA68">
        <v>5.1269999999999998</v>
      </c>
      <c r="AB68">
        <v>5.7809999999999997</v>
      </c>
      <c r="AC68">
        <v>6.0579999999999998</v>
      </c>
      <c r="AD68">
        <v>6.2430000000000003</v>
      </c>
      <c r="AE68">
        <v>6.2329999999999997</v>
      </c>
      <c r="AF68">
        <v>6.3390000000000004</v>
      </c>
      <c r="AG68">
        <v>6.55</v>
      </c>
      <c r="AH68">
        <v>7.0289999999999999</v>
      </c>
      <c r="AI68">
        <v>7.7949999999999999</v>
      </c>
      <c r="AJ68">
        <v>8.6069999999999993</v>
      </c>
      <c r="AK68">
        <v>9.0920000000000005</v>
      </c>
      <c r="AL68">
        <v>9.19</v>
      </c>
      <c r="AM68">
        <v>9.2040000000000006</v>
      </c>
      <c r="AN68">
        <v>8.891</v>
      </c>
      <c r="AO68">
        <v>8.7159999999999993</v>
      </c>
      <c r="AP68">
        <v>8.6259999999999994</v>
      </c>
      <c r="AQ68">
        <v>8.5619999999999994</v>
      </c>
      <c r="AR68">
        <v>8.7089999999999996</v>
      </c>
      <c r="AS68">
        <v>8.9019999999999992</v>
      </c>
      <c r="AT68">
        <v>9.0749999999999993</v>
      </c>
      <c r="AU68">
        <v>9.3040000000000003</v>
      </c>
      <c r="AV68">
        <v>9.6110000000000007</v>
      </c>
      <c r="AW68">
        <v>9.9979999999999993</v>
      </c>
      <c r="AX68">
        <v>10.445</v>
      </c>
      <c r="AY68">
        <v>2013</v>
      </c>
    </row>
    <row r="69" spans="1:51" ht="14.45" x14ac:dyDescent="0.35">
      <c r="A69">
        <v>316</v>
      </c>
      <c r="B69" t="s">
        <v>339</v>
      </c>
      <c r="C69" t="s">
        <v>289</v>
      </c>
      <c r="D69" t="s">
        <v>58</v>
      </c>
      <c r="E69" t="s">
        <v>287</v>
      </c>
      <c r="F69" t="s">
        <v>290</v>
      </c>
      <c r="G69" t="s">
        <v>291</v>
      </c>
      <c r="H69" t="s">
        <v>283</v>
      </c>
      <c r="I69" t="s">
        <v>292</v>
      </c>
      <c r="J69">
        <v>1.018</v>
      </c>
      <c r="K69">
        <v>1.1200000000000001</v>
      </c>
      <c r="L69">
        <v>1.171</v>
      </c>
      <c r="M69">
        <v>1.2430000000000001</v>
      </c>
      <c r="N69">
        <v>1.355</v>
      </c>
      <c r="O69">
        <v>1.4179999999999999</v>
      </c>
      <c r="P69">
        <v>1.5569999999999999</v>
      </c>
      <c r="Q69">
        <v>1.714</v>
      </c>
      <c r="R69">
        <v>1.823</v>
      </c>
      <c r="S69">
        <v>2.0179999999999998</v>
      </c>
      <c r="T69">
        <v>2.024</v>
      </c>
      <c r="U69">
        <v>2.032</v>
      </c>
      <c r="V69">
        <v>1.9570000000000001</v>
      </c>
      <c r="W69">
        <v>2.0750000000000002</v>
      </c>
      <c r="X69">
        <v>2.1629999999999998</v>
      </c>
      <c r="Y69">
        <v>2.2749999999999999</v>
      </c>
      <c r="Z69">
        <v>2.4249999999999998</v>
      </c>
      <c r="AA69">
        <v>2.5640000000000001</v>
      </c>
      <c r="AB69">
        <v>2.891</v>
      </c>
      <c r="AC69">
        <v>3.0289999999999999</v>
      </c>
      <c r="AD69">
        <v>3.1219999999999999</v>
      </c>
      <c r="AE69">
        <v>3.117</v>
      </c>
      <c r="AF69">
        <v>3.17</v>
      </c>
      <c r="AG69">
        <v>3.2749999999999999</v>
      </c>
      <c r="AH69">
        <v>3.5139999999999998</v>
      </c>
      <c r="AI69">
        <v>3.8969999999999998</v>
      </c>
      <c r="AJ69">
        <v>4.3029999999999999</v>
      </c>
      <c r="AK69">
        <v>4.5460000000000003</v>
      </c>
      <c r="AL69">
        <v>4.5949999999999998</v>
      </c>
      <c r="AM69">
        <v>4.6020000000000003</v>
      </c>
      <c r="AN69">
        <v>4.4459999999999997</v>
      </c>
      <c r="AO69">
        <v>4.3579999999999997</v>
      </c>
      <c r="AP69">
        <v>4.3129999999999997</v>
      </c>
      <c r="AQ69">
        <v>4.2809999999999997</v>
      </c>
      <c r="AR69">
        <v>4.3540000000000001</v>
      </c>
      <c r="AS69">
        <v>4.4509999999999996</v>
      </c>
      <c r="AT69">
        <v>4.5369999999999999</v>
      </c>
      <c r="AU69">
        <v>4.6520000000000001</v>
      </c>
      <c r="AV69">
        <v>4.8049999999999997</v>
      </c>
      <c r="AW69">
        <v>4.9989999999999997</v>
      </c>
      <c r="AX69">
        <v>5.2220000000000004</v>
      </c>
      <c r="AY69">
        <v>2013</v>
      </c>
    </row>
    <row r="70" spans="1:51" ht="14.45" x14ac:dyDescent="0.35">
      <c r="A70">
        <v>316</v>
      </c>
      <c r="B70" t="s">
        <v>339</v>
      </c>
      <c r="C70" t="s">
        <v>293</v>
      </c>
      <c r="D70" t="s">
        <v>58</v>
      </c>
      <c r="E70" t="s">
        <v>294</v>
      </c>
      <c r="F70" t="s">
        <v>295</v>
      </c>
      <c r="G70" t="s">
        <v>296</v>
      </c>
      <c r="I70" t="s">
        <v>297</v>
      </c>
      <c r="J70">
        <v>252.351</v>
      </c>
      <c r="K70">
        <v>283.11799999999999</v>
      </c>
      <c r="L70">
        <v>311.05399999999997</v>
      </c>
      <c r="M70">
        <v>328.57499999999999</v>
      </c>
      <c r="N70">
        <v>345.71100000000001</v>
      </c>
      <c r="O70">
        <v>357.86799999999999</v>
      </c>
      <c r="P70">
        <v>373.84699999999998</v>
      </c>
      <c r="Q70">
        <v>401.25099999999998</v>
      </c>
      <c r="R70">
        <v>412.34899999999999</v>
      </c>
      <c r="S70">
        <v>440.50400000000002</v>
      </c>
      <c r="T70">
        <v>456.87799999999999</v>
      </c>
      <c r="U70">
        <v>477.41399999999999</v>
      </c>
      <c r="V70">
        <v>487.589</v>
      </c>
      <c r="W70">
        <v>512.82299999999998</v>
      </c>
      <c r="X70">
        <v>524.21500000000003</v>
      </c>
      <c r="Y70">
        <v>540.25900000000001</v>
      </c>
      <c r="Z70">
        <v>554.08100000000002</v>
      </c>
      <c r="AA70">
        <v>559.14700000000005</v>
      </c>
      <c r="AB70">
        <v>607.73199999999997</v>
      </c>
      <c r="AC70">
        <v>634.75599999999997</v>
      </c>
      <c r="AD70">
        <v>626.26800000000003</v>
      </c>
      <c r="AE70">
        <v>640.423</v>
      </c>
      <c r="AF70">
        <v>646.20100000000002</v>
      </c>
      <c r="AG70">
        <v>653.471</v>
      </c>
      <c r="AH70">
        <v>691.53300000000002</v>
      </c>
      <c r="AI70">
        <v>737.66399999999999</v>
      </c>
      <c r="AJ70">
        <v>770.78</v>
      </c>
      <c r="AK70">
        <v>800.15800000000002</v>
      </c>
      <c r="AL70">
        <v>805.61699999999996</v>
      </c>
      <c r="AM70">
        <v>840.74099999999999</v>
      </c>
      <c r="AN70">
        <v>810.06399999999996</v>
      </c>
      <c r="AO70">
        <v>788.14200000000005</v>
      </c>
      <c r="AP70">
        <v>777.85299999999995</v>
      </c>
      <c r="AQ70">
        <v>772.31100000000004</v>
      </c>
      <c r="AR70">
        <v>783.95100000000002</v>
      </c>
      <c r="AS70">
        <v>793.34699999999998</v>
      </c>
      <c r="AT70">
        <v>800.01499999999999</v>
      </c>
      <c r="AU70">
        <v>810.68700000000001</v>
      </c>
      <c r="AV70">
        <v>827.33699999999999</v>
      </c>
      <c r="AW70">
        <v>847.96299999999997</v>
      </c>
      <c r="AX70">
        <v>868.48099999999999</v>
      </c>
      <c r="AY70">
        <v>2013</v>
      </c>
    </row>
    <row r="71" spans="1:51" ht="14.45" x14ac:dyDescent="0.35">
      <c r="A71">
        <v>316</v>
      </c>
      <c r="B71" t="s">
        <v>339</v>
      </c>
      <c r="C71" t="s">
        <v>298</v>
      </c>
      <c r="D71" t="s">
        <v>58</v>
      </c>
      <c r="E71" t="s">
        <v>299</v>
      </c>
      <c r="F71" t="s">
        <v>300</v>
      </c>
      <c r="G71" t="s">
        <v>282</v>
      </c>
      <c r="H71" t="s">
        <v>283</v>
      </c>
      <c r="I71" t="s">
        <v>341</v>
      </c>
      <c r="J71" t="s">
        <v>285</v>
      </c>
      <c r="K71" t="s">
        <v>285</v>
      </c>
      <c r="L71" t="s">
        <v>285</v>
      </c>
      <c r="M71" t="s">
        <v>285</v>
      </c>
      <c r="N71" t="s">
        <v>285</v>
      </c>
      <c r="O71" t="s">
        <v>285</v>
      </c>
      <c r="P71" t="s">
        <v>285</v>
      </c>
      <c r="Q71" t="s">
        <v>285</v>
      </c>
      <c r="R71" t="s">
        <v>285</v>
      </c>
      <c r="S71" t="s">
        <v>285</v>
      </c>
      <c r="T71" t="s">
        <v>285</v>
      </c>
      <c r="U71" t="s">
        <v>285</v>
      </c>
      <c r="V71" t="s">
        <v>285</v>
      </c>
      <c r="W71" t="s">
        <v>285</v>
      </c>
      <c r="X71">
        <v>1.26</v>
      </c>
      <c r="Y71">
        <v>1.4079999999999999</v>
      </c>
      <c r="Z71">
        <v>1.599</v>
      </c>
      <c r="AA71">
        <v>1.8029999999999999</v>
      </c>
      <c r="AB71">
        <v>1.871</v>
      </c>
      <c r="AC71">
        <v>2.0030000000000001</v>
      </c>
      <c r="AD71">
        <v>2.1469999999999998</v>
      </c>
      <c r="AE71">
        <v>2.2570000000000001</v>
      </c>
      <c r="AF71">
        <v>2.4769999999999999</v>
      </c>
      <c r="AG71">
        <v>2.5129999999999999</v>
      </c>
      <c r="AH71">
        <v>2.5369999999999999</v>
      </c>
      <c r="AI71">
        <v>2.9239999999999999</v>
      </c>
      <c r="AJ71">
        <v>2.8940000000000001</v>
      </c>
      <c r="AK71">
        <v>3.427</v>
      </c>
      <c r="AL71">
        <v>3.5369999999999999</v>
      </c>
      <c r="AM71">
        <v>3.4750000000000001</v>
      </c>
      <c r="AN71">
        <v>3.6709999999999998</v>
      </c>
      <c r="AO71">
        <v>3.581</v>
      </c>
      <c r="AP71">
        <v>3.9060000000000001</v>
      </c>
      <c r="AQ71">
        <v>4.056</v>
      </c>
      <c r="AR71">
        <v>3.8570000000000002</v>
      </c>
      <c r="AS71">
        <v>3.9540000000000002</v>
      </c>
      <c r="AT71">
        <v>4.0330000000000004</v>
      </c>
      <c r="AU71">
        <v>4.0810000000000004</v>
      </c>
      <c r="AV71">
        <v>4.194</v>
      </c>
      <c r="AW71">
        <v>4.3449999999999998</v>
      </c>
      <c r="AX71">
        <v>4.5289999999999999</v>
      </c>
      <c r="AY71">
        <v>2015</v>
      </c>
    </row>
    <row r="72" spans="1:51" ht="14.45" x14ac:dyDescent="0.35">
      <c r="A72">
        <v>913</v>
      </c>
      <c r="B72" t="s">
        <v>342</v>
      </c>
      <c r="C72" t="s">
        <v>279</v>
      </c>
      <c r="D72" t="s">
        <v>59</v>
      </c>
      <c r="E72" t="s">
        <v>280</v>
      </c>
      <c r="F72" t="s">
        <v>281</v>
      </c>
      <c r="G72" t="s">
        <v>282</v>
      </c>
      <c r="H72" t="s">
        <v>283</v>
      </c>
      <c r="I72" t="s">
        <v>343</v>
      </c>
      <c r="J72" t="s">
        <v>285</v>
      </c>
      <c r="K72" t="s">
        <v>285</v>
      </c>
      <c r="L72" t="s">
        <v>285</v>
      </c>
      <c r="M72" t="s">
        <v>285</v>
      </c>
      <c r="N72" t="s">
        <v>285</v>
      </c>
      <c r="O72" t="s">
        <v>285</v>
      </c>
      <c r="P72" t="s">
        <v>285</v>
      </c>
      <c r="Q72" t="s">
        <v>285</v>
      </c>
      <c r="R72" t="s">
        <v>285</v>
      </c>
      <c r="S72" t="s">
        <v>285</v>
      </c>
      <c r="T72" t="s">
        <v>285</v>
      </c>
      <c r="U72" t="s">
        <v>285</v>
      </c>
      <c r="V72" s="21">
        <v>73806.285999999993</v>
      </c>
      <c r="W72" s="21">
        <v>68197.008000000002</v>
      </c>
      <c r="X72" s="21">
        <v>60217.957999999999</v>
      </c>
      <c r="Y72" s="21">
        <v>53543.175999999999</v>
      </c>
      <c r="Z72" s="21">
        <v>54973.250999999997</v>
      </c>
      <c r="AA72" s="21">
        <v>61226.991999999998</v>
      </c>
      <c r="AB72" s="21">
        <v>66455.554000000004</v>
      </c>
      <c r="AC72" s="21">
        <v>68632.702999999994</v>
      </c>
      <c r="AD72" s="21">
        <v>72562.710999999996</v>
      </c>
      <c r="AE72" s="21">
        <v>75983.736999999994</v>
      </c>
      <c r="AF72" s="21">
        <v>79816.528000000006</v>
      </c>
      <c r="AG72" s="21">
        <v>85382.665999999997</v>
      </c>
      <c r="AH72" s="21">
        <v>95148.668000000005</v>
      </c>
      <c r="AI72" s="21">
        <v>104097.947</v>
      </c>
      <c r="AJ72" s="21">
        <v>114491.28</v>
      </c>
      <c r="AK72" s="21">
        <v>124438.152</v>
      </c>
      <c r="AL72" s="21">
        <v>137246.557</v>
      </c>
      <c r="AM72" s="21">
        <v>137442.20000000001</v>
      </c>
      <c r="AN72" s="21">
        <v>148081.29999999999</v>
      </c>
      <c r="AO72" s="21">
        <v>156290.5</v>
      </c>
      <c r="AP72" s="21">
        <v>158996.5</v>
      </c>
      <c r="AQ72" s="21">
        <v>160624.6</v>
      </c>
      <c r="AR72" s="21">
        <v>163175</v>
      </c>
      <c r="AS72" s="21">
        <v>157373.14600000001</v>
      </c>
      <c r="AT72" s="21">
        <v>153943.35399999999</v>
      </c>
      <c r="AU72" s="21">
        <v>154822.90299999999</v>
      </c>
      <c r="AV72" s="21">
        <v>156445.99900000001</v>
      </c>
      <c r="AW72" s="21">
        <v>158809.32399999999</v>
      </c>
      <c r="AX72" s="21">
        <v>161408.02499999999</v>
      </c>
      <c r="AY72">
        <v>2013</v>
      </c>
    </row>
    <row r="73" spans="1:51" ht="14.45" x14ac:dyDescent="0.35">
      <c r="A73">
        <v>913</v>
      </c>
      <c r="B73" t="s">
        <v>342</v>
      </c>
      <c r="C73" t="s">
        <v>286</v>
      </c>
      <c r="D73" t="s">
        <v>59</v>
      </c>
      <c r="E73" t="s">
        <v>287</v>
      </c>
      <c r="F73" t="s">
        <v>288</v>
      </c>
      <c r="G73" t="s">
        <v>282</v>
      </c>
      <c r="H73" t="s">
        <v>283</v>
      </c>
      <c r="I73" t="s">
        <v>343</v>
      </c>
      <c r="J73" t="s">
        <v>285</v>
      </c>
      <c r="K73" t="s">
        <v>285</v>
      </c>
      <c r="L73" t="s">
        <v>285</v>
      </c>
      <c r="M73" t="s">
        <v>285</v>
      </c>
      <c r="N73" t="s">
        <v>285</v>
      </c>
      <c r="O73" t="s">
        <v>285</v>
      </c>
      <c r="P73" t="s">
        <v>285</v>
      </c>
      <c r="Q73" t="s">
        <v>285</v>
      </c>
      <c r="R73" t="s">
        <v>285</v>
      </c>
      <c r="S73" t="s">
        <v>285</v>
      </c>
      <c r="T73" t="s">
        <v>285</v>
      </c>
      <c r="U73" t="s">
        <v>285</v>
      </c>
      <c r="V73">
        <v>9.2999999999999999E-2</v>
      </c>
      <c r="W73">
        <v>0.98499999999999999</v>
      </c>
      <c r="X73">
        <v>17.792999999999999</v>
      </c>
      <c r="Y73">
        <v>38.984000000000002</v>
      </c>
      <c r="Z73">
        <v>191.839</v>
      </c>
      <c r="AA73">
        <v>366.83</v>
      </c>
      <c r="AB73">
        <v>702.16099999999994</v>
      </c>
      <c r="AC73" s="21">
        <v>3026</v>
      </c>
      <c r="AD73" s="21">
        <v>9133.8119999999999</v>
      </c>
      <c r="AE73" s="21">
        <v>17173.162</v>
      </c>
      <c r="AF73" s="21">
        <v>26138.268</v>
      </c>
      <c r="AG73" s="21">
        <v>36564.790999999997</v>
      </c>
      <c r="AH73" s="21">
        <v>49991.815999999999</v>
      </c>
      <c r="AI73" s="21">
        <v>65067.1</v>
      </c>
      <c r="AJ73" s="21">
        <v>79267</v>
      </c>
      <c r="AK73" s="21">
        <v>97165.3</v>
      </c>
      <c r="AL73" s="21">
        <v>129790.8</v>
      </c>
      <c r="AM73" s="21">
        <v>137442.20000000001</v>
      </c>
      <c r="AN73" s="21">
        <v>164476.1</v>
      </c>
      <c r="AO73" s="21">
        <v>297157.7</v>
      </c>
      <c r="AP73" s="21">
        <v>530355.5</v>
      </c>
      <c r="AQ73" s="21">
        <v>649110.69999999995</v>
      </c>
      <c r="AR73" s="21">
        <v>778455.5</v>
      </c>
      <c r="AS73" s="21">
        <v>952238.75300000003</v>
      </c>
      <c r="AT73" s="21">
        <v>1117760.9140000001</v>
      </c>
      <c r="AU73" s="21">
        <v>1275037.899</v>
      </c>
      <c r="AV73" s="21">
        <v>1460874.125</v>
      </c>
      <c r="AW73" s="21">
        <v>1674221.6240000001</v>
      </c>
      <c r="AX73" s="21">
        <v>1911714.27</v>
      </c>
      <c r="AY73">
        <v>2013</v>
      </c>
    </row>
    <row r="74" spans="1:51" ht="14.45" x14ac:dyDescent="0.35">
      <c r="A74">
        <v>913</v>
      </c>
      <c r="B74" t="s">
        <v>342</v>
      </c>
      <c r="C74" t="s">
        <v>289</v>
      </c>
      <c r="D74" t="s">
        <v>59</v>
      </c>
      <c r="E74" t="s">
        <v>287</v>
      </c>
      <c r="F74" t="s">
        <v>290</v>
      </c>
      <c r="G74" t="s">
        <v>291</v>
      </c>
      <c r="H74" t="s">
        <v>283</v>
      </c>
      <c r="I74" t="s">
        <v>292</v>
      </c>
      <c r="J74" t="s">
        <v>285</v>
      </c>
      <c r="K74" t="s">
        <v>285</v>
      </c>
      <c r="L74" t="s">
        <v>285</v>
      </c>
      <c r="M74" t="s">
        <v>285</v>
      </c>
      <c r="N74" t="s">
        <v>285</v>
      </c>
      <c r="O74" t="s">
        <v>285</v>
      </c>
      <c r="P74" t="s">
        <v>285</v>
      </c>
      <c r="Q74" t="s">
        <v>285</v>
      </c>
      <c r="R74" t="s">
        <v>285</v>
      </c>
      <c r="S74" t="s">
        <v>285</v>
      </c>
      <c r="T74" t="s">
        <v>285</v>
      </c>
      <c r="U74" t="s">
        <v>285</v>
      </c>
      <c r="V74">
        <v>4.1150000000000002</v>
      </c>
      <c r="W74">
        <v>3.6619999999999999</v>
      </c>
      <c r="X74">
        <v>4.8540000000000001</v>
      </c>
      <c r="Y74">
        <v>3.3839999999999999</v>
      </c>
      <c r="Z74">
        <v>14.5</v>
      </c>
      <c r="AA74">
        <v>14.098000000000001</v>
      </c>
      <c r="AB74">
        <v>15.222</v>
      </c>
      <c r="AC74">
        <v>12.138</v>
      </c>
      <c r="AD74">
        <v>10.417999999999999</v>
      </c>
      <c r="AE74">
        <v>12.355</v>
      </c>
      <c r="AF74">
        <v>14.595000000000001</v>
      </c>
      <c r="AG74">
        <v>17.824999999999999</v>
      </c>
      <c r="AH74">
        <v>23.141999999999999</v>
      </c>
      <c r="AI74">
        <v>30.21</v>
      </c>
      <c r="AJ74">
        <v>36.962000000000003</v>
      </c>
      <c r="AK74">
        <v>45.276000000000003</v>
      </c>
      <c r="AL74">
        <v>60.752000000000002</v>
      </c>
      <c r="AM74">
        <v>49.209000000000003</v>
      </c>
      <c r="AN74">
        <v>55.220999999999997</v>
      </c>
      <c r="AO74">
        <v>59.734999999999999</v>
      </c>
      <c r="AP74">
        <v>63.615000000000002</v>
      </c>
      <c r="AQ74">
        <v>73.097999999999999</v>
      </c>
      <c r="AR74">
        <v>76.138999999999996</v>
      </c>
      <c r="AS74">
        <v>62.02</v>
      </c>
      <c r="AT74">
        <v>66.37</v>
      </c>
      <c r="AU74">
        <v>70.997</v>
      </c>
      <c r="AV74">
        <v>76.022999999999996</v>
      </c>
      <c r="AW74">
        <v>82.436999999999998</v>
      </c>
      <c r="AX74">
        <v>89.314999999999998</v>
      </c>
      <c r="AY74">
        <v>2013</v>
      </c>
    </row>
    <row r="75" spans="1:51" ht="14.45" x14ac:dyDescent="0.35">
      <c r="A75">
        <v>913</v>
      </c>
      <c r="B75" t="s">
        <v>342</v>
      </c>
      <c r="C75" t="s">
        <v>293</v>
      </c>
      <c r="D75" t="s">
        <v>59</v>
      </c>
      <c r="E75" t="s">
        <v>294</v>
      </c>
      <c r="F75" t="s">
        <v>295</v>
      </c>
      <c r="G75" t="s">
        <v>296</v>
      </c>
      <c r="I75" t="s">
        <v>297</v>
      </c>
      <c r="J75" t="s">
        <v>285</v>
      </c>
      <c r="K75" t="s">
        <v>285</v>
      </c>
      <c r="L75" t="s">
        <v>285</v>
      </c>
      <c r="M75" t="s">
        <v>285</v>
      </c>
      <c r="N75" t="s">
        <v>285</v>
      </c>
      <c r="O75" t="s">
        <v>285</v>
      </c>
      <c r="P75" t="s">
        <v>285</v>
      </c>
      <c r="Q75" t="s">
        <v>285</v>
      </c>
      <c r="R75" t="s">
        <v>285</v>
      </c>
      <c r="S75" t="s">
        <v>285</v>
      </c>
      <c r="T75" t="s">
        <v>285</v>
      </c>
      <c r="U75" t="s">
        <v>285</v>
      </c>
      <c r="V75" t="s">
        <v>310</v>
      </c>
      <c r="W75">
        <v>1E-3</v>
      </c>
      <c r="X75">
        <v>0.03</v>
      </c>
      <c r="Y75">
        <v>7.2999999999999995E-2</v>
      </c>
      <c r="Z75">
        <v>0.34899999999999998</v>
      </c>
      <c r="AA75">
        <v>0.59899999999999998</v>
      </c>
      <c r="AB75">
        <v>1.0569999999999999</v>
      </c>
      <c r="AC75">
        <v>4.4089999999999998</v>
      </c>
      <c r="AD75">
        <v>12.587</v>
      </c>
      <c r="AE75">
        <v>22.600999999999999</v>
      </c>
      <c r="AF75">
        <v>32.747999999999998</v>
      </c>
      <c r="AG75">
        <v>42.825000000000003</v>
      </c>
      <c r="AH75">
        <v>52.540999999999997</v>
      </c>
      <c r="AI75">
        <v>62.506</v>
      </c>
      <c r="AJ75">
        <v>69.233999999999995</v>
      </c>
      <c r="AK75">
        <v>78.082999999999998</v>
      </c>
      <c r="AL75">
        <v>94.567999999999998</v>
      </c>
      <c r="AM75">
        <v>100</v>
      </c>
      <c r="AN75">
        <v>111.071</v>
      </c>
      <c r="AO75">
        <v>190.13200000000001</v>
      </c>
      <c r="AP75">
        <v>333.56400000000002</v>
      </c>
      <c r="AQ75">
        <v>404.11700000000002</v>
      </c>
      <c r="AR75">
        <v>477.06799999999998</v>
      </c>
      <c r="AS75">
        <v>605.08299999999997</v>
      </c>
      <c r="AT75">
        <v>726.08600000000001</v>
      </c>
      <c r="AU75">
        <v>823.54600000000005</v>
      </c>
      <c r="AV75">
        <v>933.78800000000001</v>
      </c>
      <c r="AW75" s="21">
        <v>1054.2339999999999</v>
      </c>
      <c r="AX75" s="21">
        <v>1184.3989999999999</v>
      </c>
      <c r="AY75">
        <v>2013</v>
      </c>
    </row>
    <row r="76" spans="1:51" ht="14.45" x14ac:dyDescent="0.35">
      <c r="A76">
        <v>913</v>
      </c>
      <c r="B76" t="s">
        <v>342</v>
      </c>
      <c r="C76" t="s">
        <v>298</v>
      </c>
      <c r="D76" t="s">
        <v>59</v>
      </c>
      <c r="E76" t="s">
        <v>299</v>
      </c>
      <c r="F76" t="s">
        <v>300</v>
      </c>
      <c r="G76" t="s">
        <v>282</v>
      </c>
      <c r="H76" t="s">
        <v>283</v>
      </c>
      <c r="I76" t="s">
        <v>344</v>
      </c>
      <c r="J76" t="s">
        <v>285</v>
      </c>
      <c r="K76" t="s">
        <v>285</v>
      </c>
      <c r="L76" t="s">
        <v>285</v>
      </c>
      <c r="M76" t="s">
        <v>285</v>
      </c>
      <c r="N76" t="s">
        <v>285</v>
      </c>
      <c r="O76" t="s">
        <v>285</v>
      </c>
      <c r="P76" t="s">
        <v>285</v>
      </c>
      <c r="Q76" t="s">
        <v>285</v>
      </c>
      <c r="R76" t="s">
        <v>285</v>
      </c>
      <c r="S76" t="s">
        <v>285</v>
      </c>
      <c r="T76" t="s">
        <v>285</v>
      </c>
      <c r="U76" t="s">
        <v>285</v>
      </c>
      <c r="V76" t="s">
        <v>285</v>
      </c>
      <c r="W76">
        <v>7.0000000000000001E-3</v>
      </c>
      <c r="X76">
        <v>3.4000000000000002E-2</v>
      </c>
      <c r="Y76">
        <v>0.25</v>
      </c>
      <c r="Z76">
        <v>1.0580000000000001</v>
      </c>
      <c r="AA76">
        <v>2.0470000000000002</v>
      </c>
      <c r="AB76">
        <v>76.712000000000003</v>
      </c>
      <c r="AC76">
        <v>297.01100000000002</v>
      </c>
      <c r="AD76">
        <v>961.66200000000003</v>
      </c>
      <c r="AE76" s="21">
        <v>7823.0460000000003</v>
      </c>
      <c r="AF76" s="21">
        <v>11834.035</v>
      </c>
      <c r="AG76" s="21">
        <v>15899.698</v>
      </c>
      <c r="AH76" s="21">
        <v>22229.223000000002</v>
      </c>
      <c r="AI76" s="21">
        <v>29578.973999999998</v>
      </c>
      <c r="AJ76" s="21">
        <v>37939.968999999997</v>
      </c>
      <c r="AK76" s="21">
        <v>46573.517</v>
      </c>
      <c r="AL76" s="21">
        <v>63309.379000000001</v>
      </c>
      <c r="AM76" s="21">
        <v>63442.5</v>
      </c>
      <c r="AN76" s="21">
        <v>69169.308000000005</v>
      </c>
      <c r="AO76" s="21">
        <v>102584.515</v>
      </c>
      <c r="AP76" s="21">
        <v>206057.3</v>
      </c>
      <c r="AQ76" s="21">
        <v>273070.58</v>
      </c>
      <c r="AR76" s="21">
        <v>311945.38299999997</v>
      </c>
      <c r="AS76" s="21">
        <v>417099.81300000002</v>
      </c>
      <c r="AT76" s="21">
        <v>472654.27500000002</v>
      </c>
      <c r="AU76" s="21">
        <v>534246.45900000003</v>
      </c>
      <c r="AV76" s="21">
        <v>600112.06599999999</v>
      </c>
      <c r="AW76" s="21">
        <v>688728.51100000006</v>
      </c>
      <c r="AX76" s="21">
        <v>785434.04</v>
      </c>
      <c r="AY76">
        <v>2013</v>
      </c>
    </row>
    <row r="77" spans="1:51" ht="14.45" x14ac:dyDescent="0.35">
      <c r="A77">
        <v>124</v>
      </c>
      <c r="B77" t="s">
        <v>345</v>
      </c>
      <c r="C77" t="s">
        <v>279</v>
      </c>
      <c r="D77" t="s">
        <v>60</v>
      </c>
      <c r="E77" t="s">
        <v>280</v>
      </c>
      <c r="F77" t="s">
        <v>281</v>
      </c>
      <c r="G77" t="s">
        <v>282</v>
      </c>
      <c r="H77" t="s">
        <v>283</v>
      </c>
      <c r="I77" t="s">
        <v>346</v>
      </c>
      <c r="J77">
        <v>215.68299999999999</v>
      </c>
      <c r="K77">
        <v>215.08</v>
      </c>
      <c r="L77">
        <v>216.36</v>
      </c>
      <c r="M77">
        <v>217.035</v>
      </c>
      <c r="N77">
        <v>222.38800000000001</v>
      </c>
      <c r="O77">
        <v>226.06100000000001</v>
      </c>
      <c r="P77">
        <v>230.18100000000001</v>
      </c>
      <c r="Q77">
        <v>235.49100000000001</v>
      </c>
      <c r="R77">
        <v>246.614</v>
      </c>
      <c r="S77">
        <v>255.16900000000001</v>
      </c>
      <c r="T77">
        <v>263.17500000000001</v>
      </c>
      <c r="U77">
        <v>267.99900000000002</v>
      </c>
      <c r="V77">
        <v>272.101</v>
      </c>
      <c r="W77">
        <v>269.48399999999998</v>
      </c>
      <c r="X77">
        <v>278.18</v>
      </c>
      <c r="Y77">
        <v>284.81400000000002</v>
      </c>
      <c r="Z77">
        <v>289.23200000000003</v>
      </c>
      <c r="AA77">
        <v>300.05900000000003</v>
      </c>
      <c r="AB77">
        <v>306.07900000000001</v>
      </c>
      <c r="AC77">
        <v>317.45299999999997</v>
      </c>
      <c r="AD77">
        <v>328.72399999999999</v>
      </c>
      <c r="AE77">
        <v>331.76299999999998</v>
      </c>
      <c r="AF77">
        <v>336.93599999999998</v>
      </c>
      <c r="AG77">
        <v>339.93400000000003</v>
      </c>
      <c r="AH77">
        <v>351.60899999999998</v>
      </c>
      <c r="AI77">
        <v>358.26900000000001</v>
      </c>
      <c r="AJ77">
        <v>367.69299999999998</v>
      </c>
      <c r="AK77">
        <v>378.72500000000002</v>
      </c>
      <c r="AL77">
        <v>382.33499999999998</v>
      </c>
      <c r="AM77">
        <v>372.32299999999998</v>
      </c>
      <c r="AN77">
        <v>381.63600000000002</v>
      </c>
      <c r="AO77">
        <v>387.81</v>
      </c>
      <c r="AP77">
        <v>388.17200000000003</v>
      </c>
      <c r="AQ77">
        <v>389.30200000000002</v>
      </c>
      <c r="AR77">
        <v>393.45299999999997</v>
      </c>
      <c r="AS77">
        <v>398.73</v>
      </c>
      <c r="AT77">
        <v>404.517</v>
      </c>
      <c r="AU77">
        <v>410.44400000000002</v>
      </c>
      <c r="AV77">
        <v>416.60599999999999</v>
      </c>
      <c r="AW77">
        <v>422.99200000000002</v>
      </c>
      <c r="AX77">
        <v>429.45499999999998</v>
      </c>
      <c r="AY77">
        <v>2014</v>
      </c>
    </row>
    <row r="78" spans="1:51" ht="14.45" x14ac:dyDescent="0.35">
      <c r="A78">
        <v>124</v>
      </c>
      <c r="B78" t="s">
        <v>345</v>
      </c>
      <c r="C78" t="s">
        <v>286</v>
      </c>
      <c r="D78" t="s">
        <v>60</v>
      </c>
      <c r="E78" t="s">
        <v>287</v>
      </c>
      <c r="F78" t="s">
        <v>288</v>
      </c>
      <c r="G78" t="s">
        <v>282</v>
      </c>
      <c r="H78" t="s">
        <v>283</v>
      </c>
      <c r="I78" t="s">
        <v>346</v>
      </c>
      <c r="J78">
        <v>89.715000000000003</v>
      </c>
      <c r="K78">
        <v>94.063000000000002</v>
      </c>
      <c r="L78">
        <v>101.786</v>
      </c>
      <c r="M78">
        <v>107.834</v>
      </c>
      <c r="N78">
        <v>116.503</v>
      </c>
      <c r="O78">
        <v>123.907</v>
      </c>
      <c r="P78">
        <v>129.69399999999999</v>
      </c>
      <c r="Q78">
        <v>134.92099999999999</v>
      </c>
      <c r="R78">
        <v>144.358</v>
      </c>
      <c r="S78">
        <v>156.53200000000001</v>
      </c>
      <c r="T78">
        <v>165.983</v>
      </c>
      <c r="U78">
        <v>173.88900000000001</v>
      </c>
      <c r="V78">
        <v>182.596</v>
      </c>
      <c r="W78">
        <v>188.06</v>
      </c>
      <c r="X78">
        <v>198.19399999999999</v>
      </c>
      <c r="Y78">
        <v>211.291</v>
      </c>
      <c r="Z78">
        <v>215.50700000000001</v>
      </c>
      <c r="AA78">
        <v>225.33500000000001</v>
      </c>
      <c r="AB78">
        <v>233.78800000000001</v>
      </c>
      <c r="AC78">
        <v>243.72300000000001</v>
      </c>
      <c r="AD78">
        <v>257.60399999999998</v>
      </c>
      <c r="AE78">
        <v>265.291</v>
      </c>
      <c r="AF78">
        <v>274.565</v>
      </c>
      <c r="AG78">
        <v>282.255</v>
      </c>
      <c r="AH78">
        <v>298.35599999999999</v>
      </c>
      <c r="AI78">
        <v>311.15100000000001</v>
      </c>
      <c r="AJ78">
        <v>327.36799999999999</v>
      </c>
      <c r="AK78">
        <v>345.06900000000002</v>
      </c>
      <c r="AL78">
        <v>355.06599999999997</v>
      </c>
      <c r="AM78">
        <v>349.70299999999997</v>
      </c>
      <c r="AN78">
        <v>365.74700000000001</v>
      </c>
      <c r="AO78">
        <v>379.91500000000002</v>
      </c>
      <c r="AP78">
        <v>388.17200000000003</v>
      </c>
      <c r="AQ78">
        <v>395.24200000000002</v>
      </c>
      <c r="AR78">
        <v>402.02699999999999</v>
      </c>
      <c r="AS78">
        <v>412.24099999999999</v>
      </c>
      <c r="AT78">
        <v>423.59100000000001</v>
      </c>
      <c r="AU78">
        <v>435.346</v>
      </c>
      <c r="AV78">
        <v>447.96199999999999</v>
      </c>
      <c r="AW78">
        <v>461.58199999999999</v>
      </c>
      <c r="AX78">
        <v>476.27300000000002</v>
      </c>
      <c r="AY78">
        <v>2014</v>
      </c>
    </row>
    <row r="79" spans="1:51" ht="14.45" x14ac:dyDescent="0.35">
      <c r="A79">
        <v>124</v>
      </c>
      <c r="B79" t="s">
        <v>345</v>
      </c>
      <c r="C79" t="s">
        <v>289</v>
      </c>
      <c r="D79" t="s">
        <v>60</v>
      </c>
      <c r="E79" t="s">
        <v>287</v>
      </c>
      <c r="F79" t="s">
        <v>290</v>
      </c>
      <c r="G79" t="s">
        <v>291</v>
      </c>
      <c r="H79" t="s">
        <v>283</v>
      </c>
      <c r="I79" t="s">
        <v>292</v>
      </c>
      <c r="J79">
        <v>123.947</v>
      </c>
      <c r="K79">
        <v>102.655</v>
      </c>
      <c r="L79">
        <v>90.323999999999998</v>
      </c>
      <c r="M79">
        <v>85.369</v>
      </c>
      <c r="N79">
        <v>81.564999999999998</v>
      </c>
      <c r="O79">
        <v>84.82</v>
      </c>
      <c r="P79">
        <v>117.619</v>
      </c>
      <c r="Q79">
        <v>145.99</v>
      </c>
      <c r="R79">
        <v>158.72399999999999</v>
      </c>
      <c r="S79">
        <v>160.46</v>
      </c>
      <c r="T79">
        <v>200.92599999999999</v>
      </c>
      <c r="U79">
        <v>206.21799999999999</v>
      </c>
      <c r="V79">
        <v>229.67699999999999</v>
      </c>
      <c r="W79">
        <v>219.595</v>
      </c>
      <c r="X79">
        <v>239.56200000000001</v>
      </c>
      <c r="Y79">
        <v>289.459</v>
      </c>
      <c r="Z79">
        <v>280.89999999999998</v>
      </c>
      <c r="AA79">
        <v>254.45400000000001</v>
      </c>
      <c r="AB79">
        <v>260.19</v>
      </c>
      <c r="AC79">
        <v>260.00700000000001</v>
      </c>
      <c r="AD79">
        <v>238.03200000000001</v>
      </c>
      <c r="AE79">
        <v>237.601</v>
      </c>
      <c r="AF79">
        <v>259.30399999999997</v>
      </c>
      <c r="AG79">
        <v>319.18200000000002</v>
      </c>
      <c r="AH79">
        <v>370.947</v>
      </c>
      <c r="AI79">
        <v>387.61799999999999</v>
      </c>
      <c r="AJ79">
        <v>411.05900000000003</v>
      </c>
      <c r="AK79">
        <v>472.964</v>
      </c>
      <c r="AL79">
        <v>522.55600000000004</v>
      </c>
      <c r="AM79">
        <v>487.065</v>
      </c>
      <c r="AN79">
        <v>485.30700000000002</v>
      </c>
      <c r="AO79">
        <v>528.61699999999996</v>
      </c>
      <c r="AP79">
        <v>499.024</v>
      </c>
      <c r="AQ79">
        <v>524.94299999999998</v>
      </c>
      <c r="AR79">
        <v>534.23</v>
      </c>
      <c r="AS79">
        <v>458.65100000000001</v>
      </c>
      <c r="AT79">
        <v>473.524</v>
      </c>
      <c r="AU79">
        <v>492.06200000000001</v>
      </c>
      <c r="AV79">
        <v>511.49099999999999</v>
      </c>
      <c r="AW79">
        <v>531.18899999999996</v>
      </c>
      <c r="AX79">
        <v>556.197</v>
      </c>
      <c r="AY79">
        <v>2014</v>
      </c>
    </row>
    <row r="80" spans="1:51" ht="14.45" x14ac:dyDescent="0.35">
      <c r="A80">
        <v>124</v>
      </c>
      <c r="B80" t="s">
        <v>345</v>
      </c>
      <c r="C80" t="s">
        <v>293</v>
      </c>
      <c r="D80" t="s">
        <v>60</v>
      </c>
      <c r="E80" t="s">
        <v>294</v>
      </c>
      <c r="F80" t="s">
        <v>295</v>
      </c>
      <c r="G80" t="s">
        <v>296</v>
      </c>
      <c r="I80" t="s">
        <v>297</v>
      </c>
      <c r="J80">
        <v>41.595999999999997</v>
      </c>
      <c r="K80">
        <v>43.734000000000002</v>
      </c>
      <c r="L80">
        <v>47.045000000000002</v>
      </c>
      <c r="M80">
        <v>49.685000000000002</v>
      </c>
      <c r="N80">
        <v>52.387</v>
      </c>
      <c r="O80">
        <v>54.811</v>
      </c>
      <c r="P80">
        <v>56.344000000000001</v>
      </c>
      <c r="Q80">
        <v>57.293999999999997</v>
      </c>
      <c r="R80">
        <v>58.536000000000001</v>
      </c>
      <c r="S80">
        <v>61.344000000000001</v>
      </c>
      <c r="T80">
        <v>63.069000000000003</v>
      </c>
      <c r="U80">
        <v>64.884</v>
      </c>
      <c r="V80">
        <v>67.105999999999995</v>
      </c>
      <c r="W80">
        <v>69.784999999999997</v>
      </c>
      <c r="X80">
        <v>71.247</v>
      </c>
      <c r="Y80">
        <v>74.186000000000007</v>
      </c>
      <c r="Z80">
        <v>74.510000000000005</v>
      </c>
      <c r="AA80">
        <v>75.096999999999994</v>
      </c>
      <c r="AB80">
        <v>76.382000000000005</v>
      </c>
      <c r="AC80">
        <v>76.775000000000006</v>
      </c>
      <c r="AD80">
        <v>78.364999999999995</v>
      </c>
      <c r="AE80">
        <v>79.963999999999999</v>
      </c>
      <c r="AF80">
        <v>81.489000000000004</v>
      </c>
      <c r="AG80">
        <v>83.031999999999996</v>
      </c>
      <c r="AH80">
        <v>84.853999999999999</v>
      </c>
      <c r="AI80">
        <v>86.847999999999999</v>
      </c>
      <c r="AJ80">
        <v>89.033000000000001</v>
      </c>
      <c r="AK80">
        <v>91.113</v>
      </c>
      <c r="AL80">
        <v>92.867999999999995</v>
      </c>
      <c r="AM80">
        <v>93.924999999999997</v>
      </c>
      <c r="AN80">
        <v>95.837000000000003</v>
      </c>
      <c r="AO80">
        <v>97.963999999999999</v>
      </c>
      <c r="AP80">
        <v>100</v>
      </c>
      <c r="AQ80">
        <v>101.526</v>
      </c>
      <c r="AR80">
        <v>102.179</v>
      </c>
      <c r="AS80">
        <v>103.38800000000001</v>
      </c>
      <c r="AT80">
        <v>104.715</v>
      </c>
      <c r="AU80">
        <v>106.06699999999999</v>
      </c>
      <c r="AV80">
        <v>107.527</v>
      </c>
      <c r="AW80">
        <v>109.123</v>
      </c>
      <c r="AX80">
        <v>110.902</v>
      </c>
      <c r="AY80">
        <v>2014</v>
      </c>
    </row>
    <row r="81" spans="1:51" ht="14.45" x14ac:dyDescent="0.35">
      <c r="A81">
        <v>124</v>
      </c>
      <c r="B81" t="s">
        <v>345</v>
      </c>
      <c r="C81" t="s">
        <v>298</v>
      </c>
      <c r="D81" t="s">
        <v>60</v>
      </c>
      <c r="E81" t="s">
        <v>299</v>
      </c>
      <c r="F81" t="s">
        <v>300</v>
      </c>
      <c r="G81" t="s">
        <v>282</v>
      </c>
      <c r="H81" t="s">
        <v>283</v>
      </c>
      <c r="I81" t="s">
        <v>347</v>
      </c>
      <c r="J81">
        <v>50.534999999999997</v>
      </c>
      <c r="K81">
        <v>59.404000000000003</v>
      </c>
      <c r="L81">
        <v>62.279000000000003</v>
      </c>
      <c r="M81">
        <v>68.813999999999993</v>
      </c>
      <c r="N81">
        <v>70.646000000000001</v>
      </c>
      <c r="O81">
        <v>74.238</v>
      </c>
      <c r="P81">
        <v>76.641999999999996</v>
      </c>
      <c r="Q81">
        <v>77.22</v>
      </c>
      <c r="R81">
        <v>79.790999999999997</v>
      </c>
      <c r="S81">
        <v>84.040999999999997</v>
      </c>
      <c r="T81">
        <v>89.096999999999994</v>
      </c>
      <c r="U81">
        <v>95.497</v>
      </c>
      <c r="V81">
        <v>100.79600000000001</v>
      </c>
      <c r="W81">
        <v>105.94</v>
      </c>
      <c r="X81">
        <v>106.95699999999999</v>
      </c>
      <c r="Y81">
        <v>109.821</v>
      </c>
      <c r="Z81">
        <v>112.666</v>
      </c>
      <c r="AA81">
        <v>115.062</v>
      </c>
      <c r="AB81">
        <v>117.479</v>
      </c>
      <c r="AC81">
        <v>121.06100000000001</v>
      </c>
      <c r="AD81">
        <v>125.392</v>
      </c>
      <c r="AE81">
        <v>129.38200000000001</v>
      </c>
      <c r="AF81">
        <v>134.59299999999999</v>
      </c>
      <c r="AG81">
        <v>141.55099999999999</v>
      </c>
      <c r="AH81">
        <v>144.38300000000001</v>
      </c>
      <c r="AI81">
        <v>158.316</v>
      </c>
      <c r="AJ81">
        <v>156.07900000000001</v>
      </c>
      <c r="AK81">
        <v>164.15299999999999</v>
      </c>
      <c r="AL81">
        <v>175.53</v>
      </c>
      <c r="AM81">
        <v>186.05500000000001</v>
      </c>
      <c r="AN81">
        <v>191.39500000000001</v>
      </c>
      <c r="AO81">
        <v>202.92599999999999</v>
      </c>
      <c r="AP81">
        <v>212.74</v>
      </c>
      <c r="AQ81">
        <v>215.25299999999999</v>
      </c>
      <c r="AR81">
        <v>218.58500000000001</v>
      </c>
      <c r="AS81">
        <v>220.285</v>
      </c>
      <c r="AT81">
        <v>223.16499999999999</v>
      </c>
      <c r="AU81">
        <v>226.197</v>
      </c>
      <c r="AV81">
        <v>230.202</v>
      </c>
      <c r="AW81">
        <v>235.71899999999999</v>
      </c>
      <c r="AX81">
        <v>242.126</v>
      </c>
      <c r="AY81">
        <v>2014</v>
      </c>
    </row>
    <row r="82" spans="1:51" ht="14.45" x14ac:dyDescent="0.35">
      <c r="A82">
        <v>339</v>
      </c>
      <c r="B82" t="s">
        <v>348</v>
      </c>
      <c r="C82" t="s">
        <v>279</v>
      </c>
      <c r="D82" t="s">
        <v>61</v>
      </c>
      <c r="E82" t="s">
        <v>280</v>
      </c>
      <c r="F82" t="s">
        <v>281</v>
      </c>
      <c r="G82" t="s">
        <v>282</v>
      </c>
      <c r="H82" t="s">
        <v>283</v>
      </c>
      <c r="I82" t="s">
        <v>349</v>
      </c>
      <c r="J82">
        <v>0.46200000000000002</v>
      </c>
      <c r="K82">
        <v>0.46300000000000002</v>
      </c>
      <c r="L82">
        <v>0.42799999999999999</v>
      </c>
      <c r="M82">
        <v>0.45400000000000001</v>
      </c>
      <c r="N82">
        <v>0.505</v>
      </c>
      <c r="O82">
        <v>0.498</v>
      </c>
      <c r="P82">
        <v>0.53400000000000003</v>
      </c>
      <c r="Q82">
        <v>0.65200000000000002</v>
      </c>
      <c r="R82">
        <v>0.72299999999999998</v>
      </c>
      <c r="S82">
        <v>0.83499999999999996</v>
      </c>
      <c r="T82">
        <v>0.92800000000000005</v>
      </c>
      <c r="U82">
        <v>1.0349999999999999</v>
      </c>
      <c r="V82">
        <v>1.1599999999999999</v>
      </c>
      <c r="W82">
        <v>1.232</v>
      </c>
      <c r="X82">
        <v>1.234</v>
      </c>
      <c r="Y82">
        <v>1.242</v>
      </c>
      <c r="Z82">
        <v>1.26</v>
      </c>
      <c r="AA82">
        <v>1.3049999999999999</v>
      </c>
      <c r="AB82">
        <v>1.3540000000000001</v>
      </c>
      <c r="AC82">
        <v>1.472</v>
      </c>
      <c r="AD82">
        <v>1.6639999999999999</v>
      </c>
      <c r="AE82">
        <v>1.748</v>
      </c>
      <c r="AF82">
        <v>1.837</v>
      </c>
      <c r="AG82">
        <v>2.008</v>
      </c>
      <c r="AH82">
        <v>2.1019999999999999</v>
      </c>
      <c r="AI82">
        <v>2.1560000000000001</v>
      </c>
      <c r="AJ82">
        <v>2.2549999999999999</v>
      </c>
      <c r="AK82">
        <v>2.2799999999999998</v>
      </c>
      <c r="AL82">
        <v>2.3530000000000002</v>
      </c>
      <c r="AM82">
        <v>2.37</v>
      </c>
      <c r="AN82">
        <v>2.4489999999999998</v>
      </c>
      <c r="AO82">
        <v>2.5</v>
      </c>
      <c r="AP82">
        <v>2.5960000000000001</v>
      </c>
      <c r="AQ82">
        <v>2.6360000000000001</v>
      </c>
      <c r="AR82">
        <v>2.73</v>
      </c>
      <c r="AS82">
        <v>2.79</v>
      </c>
      <c r="AT82">
        <v>2.879</v>
      </c>
      <c r="AU82">
        <v>2.9649999999999999</v>
      </c>
      <c r="AV82">
        <v>3.0419999999999998</v>
      </c>
      <c r="AW82">
        <v>3.117</v>
      </c>
      <c r="AX82">
        <v>3.1920000000000002</v>
      </c>
      <c r="AY82">
        <v>2013</v>
      </c>
    </row>
    <row r="83" spans="1:51" ht="14.45" x14ac:dyDescent="0.35">
      <c r="A83">
        <v>339</v>
      </c>
      <c r="B83" t="s">
        <v>348</v>
      </c>
      <c r="C83" t="s">
        <v>286</v>
      </c>
      <c r="D83" t="s">
        <v>61</v>
      </c>
      <c r="E83" t="s">
        <v>287</v>
      </c>
      <c r="F83" t="s">
        <v>288</v>
      </c>
      <c r="G83" t="s">
        <v>282</v>
      </c>
      <c r="H83" t="s">
        <v>283</v>
      </c>
      <c r="I83" t="s">
        <v>349</v>
      </c>
      <c r="J83">
        <v>0.34399999999999997</v>
      </c>
      <c r="K83">
        <v>0.35899999999999999</v>
      </c>
      <c r="L83">
        <v>0.35899999999999999</v>
      </c>
      <c r="M83">
        <v>0.378</v>
      </c>
      <c r="N83">
        <v>0.42199999999999999</v>
      </c>
      <c r="O83">
        <v>0.41799999999999998</v>
      </c>
      <c r="P83">
        <v>0.45600000000000002</v>
      </c>
      <c r="Q83">
        <v>0.53300000000000003</v>
      </c>
      <c r="R83">
        <v>0.63</v>
      </c>
      <c r="S83">
        <v>0.72599999999999998</v>
      </c>
      <c r="T83">
        <v>0.82399999999999995</v>
      </c>
      <c r="U83">
        <v>0.88900000000000001</v>
      </c>
      <c r="V83">
        <v>1.036</v>
      </c>
      <c r="W83">
        <v>1.119</v>
      </c>
      <c r="X83">
        <v>1.161</v>
      </c>
      <c r="Y83">
        <v>1.24</v>
      </c>
      <c r="Z83">
        <v>1.2829999999999999</v>
      </c>
      <c r="AA83">
        <v>1.3089999999999999</v>
      </c>
      <c r="AB83">
        <v>1.3779999999999999</v>
      </c>
      <c r="AC83">
        <v>1.4650000000000001</v>
      </c>
      <c r="AD83">
        <v>1.6639999999999999</v>
      </c>
      <c r="AE83">
        <v>1.744</v>
      </c>
      <c r="AF83">
        <v>1.865</v>
      </c>
      <c r="AG83">
        <v>1.9810000000000001</v>
      </c>
      <c r="AH83">
        <v>2.1160000000000001</v>
      </c>
      <c r="AI83">
        <v>2.2280000000000002</v>
      </c>
      <c r="AJ83">
        <v>2.4350000000000001</v>
      </c>
      <c r="AK83">
        <v>2.581</v>
      </c>
      <c r="AL83">
        <v>2.7389999999999999</v>
      </c>
      <c r="AM83">
        <v>2.677</v>
      </c>
      <c r="AN83">
        <v>2.7970000000000002</v>
      </c>
      <c r="AO83">
        <v>2.9780000000000002</v>
      </c>
      <c r="AP83">
        <v>3.1480000000000001</v>
      </c>
      <c r="AQ83">
        <v>3.2490000000000001</v>
      </c>
      <c r="AR83">
        <v>3.3980000000000001</v>
      </c>
      <c r="AS83">
        <v>3.5259999999999998</v>
      </c>
      <c r="AT83">
        <v>3.6819999999999999</v>
      </c>
      <c r="AU83">
        <v>3.863</v>
      </c>
      <c r="AV83">
        <v>4.0419999999999998</v>
      </c>
      <c r="AW83">
        <v>4.2270000000000003</v>
      </c>
      <c r="AX83">
        <v>4.415</v>
      </c>
      <c r="AY83">
        <v>2013</v>
      </c>
    </row>
    <row r="84" spans="1:51" ht="14.45" x14ac:dyDescent="0.35">
      <c r="A84">
        <v>339</v>
      </c>
      <c r="B84" t="s">
        <v>348</v>
      </c>
      <c r="C84" t="s">
        <v>289</v>
      </c>
      <c r="D84" t="s">
        <v>61</v>
      </c>
      <c r="E84" t="s">
        <v>287</v>
      </c>
      <c r="F84" t="s">
        <v>290</v>
      </c>
      <c r="G84" t="s">
        <v>291</v>
      </c>
      <c r="H84" t="s">
        <v>283</v>
      </c>
      <c r="I84" t="s">
        <v>292</v>
      </c>
      <c r="J84">
        <v>0.17199999999999999</v>
      </c>
      <c r="K84">
        <v>0.17899999999999999</v>
      </c>
      <c r="L84">
        <v>0.17899999999999999</v>
      </c>
      <c r="M84">
        <v>0.189</v>
      </c>
      <c r="N84">
        <v>0.21099999999999999</v>
      </c>
      <c r="O84">
        <v>0.20899999999999999</v>
      </c>
      <c r="P84">
        <v>0.22800000000000001</v>
      </c>
      <c r="Q84">
        <v>0.26700000000000002</v>
      </c>
      <c r="R84">
        <v>0.315</v>
      </c>
      <c r="S84">
        <v>0.36299999999999999</v>
      </c>
      <c r="T84">
        <v>0.41199999999999998</v>
      </c>
      <c r="U84">
        <v>0.44500000000000001</v>
      </c>
      <c r="V84">
        <v>0.51800000000000002</v>
      </c>
      <c r="W84">
        <v>0.56000000000000005</v>
      </c>
      <c r="X84">
        <v>0.58099999999999996</v>
      </c>
      <c r="Y84">
        <v>0.62</v>
      </c>
      <c r="Z84">
        <v>0.64100000000000001</v>
      </c>
      <c r="AA84">
        <v>0.65400000000000003</v>
      </c>
      <c r="AB84">
        <v>0.68899999999999995</v>
      </c>
      <c r="AC84">
        <v>0.73199999999999998</v>
      </c>
      <c r="AD84">
        <v>0.83199999999999996</v>
      </c>
      <c r="AE84">
        <v>0.872</v>
      </c>
      <c r="AF84">
        <v>0.93300000000000005</v>
      </c>
      <c r="AG84">
        <v>0.99</v>
      </c>
      <c r="AH84">
        <v>1.0580000000000001</v>
      </c>
      <c r="AI84">
        <v>1.1140000000000001</v>
      </c>
      <c r="AJ84">
        <v>1.2170000000000001</v>
      </c>
      <c r="AK84">
        <v>1.2909999999999999</v>
      </c>
      <c r="AL84">
        <v>1.37</v>
      </c>
      <c r="AM84">
        <v>1.339</v>
      </c>
      <c r="AN84">
        <v>1.3979999999999999</v>
      </c>
      <c r="AO84">
        <v>1.4890000000000001</v>
      </c>
      <c r="AP84">
        <v>1.5740000000000001</v>
      </c>
      <c r="AQ84">
        <v>1.6240000000000001</v>
      </c>
      <c r="AR84">
        <v>1.6990000000000001</v>
      </c>
      <c r="AS84">
        <v>1.7629999999999999</v>
      </c>
      <c r="AT84">
        <v>1.841</v>
      </c>
      <c r="AU84">
        <v>1.931</v>
      </c>
      <c r="AV84">
        <v>2.0209999999999999</v>
      </c>
      <c r="AW84">
        <v>2.1139999999999999</v>
      </c>
      <c r="AX84">
        <v>2.2069999999999999</v>
      </c>
      <c r="AY84">
        <v>2013</v>
      </c>
    </row>
    <row r="85" spans="1:51" ht="14.45" x14ac:dyDescent="0.35">
      <c r="A85">
        <v>339</v>
      </c>
      <c r="B85" t="s">
        <v>348</v>
      </c>
      <c r="C85" t="s">
        <v>293</v>
      </c>
      <c r="D85" t="s">
        <v>61</v>
      </c>
      <c r="E85" t="s">
        <v>294</v>
      </c>
      <c r="F85" t="s">
        <v>295</v>
      </c>
      <c r="G85" t="s">
        <v>296</v>
      </c>
      <c r="I85" t="s">
        <v>297</v>
      </c>
      <c r="J85">
        <v>74.567999999999998</v>
      </c>
      <c r="K85">
        <v>77.513999999999996</v>
      </c>
      <c r="L85">
        <v>83.772000000000006</v>
      </c>
      <c r="M85">
        <v>83.263000000000005</v>
      </c>
      <c r="N85">
        <v>83.460999999999999</v>
      </c>
      <c r="O85">
        <v>83.974999999999994</v>
      </c>
      <c r="P85">
        <v>85.272999999999996</v>
      </c>
      <c r="Q85">
        <v>81.751000000000005</v>
      </c>
      <c r="R85">
        <v>87.128</v>
      </c>
      <c r="S85">
        <v>87.013999999999996</v>
      </c>
      <c r="T85">
        <v>88.771000000000001</v>
      </c>
      <c r="U85">
        <v>85.945999999999998</v>
      </c>
      <c r="V85">
        <v>89.341999999999999</v>
      </c>
      <c r="W85">
        <v>90.813999999999993</v>
      </c>
      <c r="X85">
        <v>94.072000000000003</v>
      </c>
      <c r="Y85">
        <v>99.802000000000007</v>
      </c>
      <c r="Z85">
        <v>101.77800000000001</v>
      </c>
      <c r="AA85">
        <v>100.304</v>
      </c>
      <c r="AB85">
        <v>101.785</v>
      </c>
      <c r="AC85">
        <v>99.474000000000004</v>
      </c>
      <c r="AD85">
        <v>100</v>
      </c>
      <c r="AE85">
        <v>99.777000000000001</v>
      </c>
      <c r="AF85">
        <v>101.524</v>
      </c>
      <c r="AG85">
        <v>98.620999999999995</v>
      </c>
      <c r="AH85">
        <v>100.661</v>
      </c>
      <c r="AI85">
        <v>103.361</v>
      </c>
      <c r="AJ85">
        <v>107.991</v>
      </c>
      <c r="AK85">
        <v>113.223</v>
      </c>
      <c r="AL85">
        <v>116.398</v>
      </c>
      <c r="AM85">
        <v>112.95</v>
      </c>
      <c r="AN85">
        <v>114.205</v>
      </c>
      <c r="AO85">
        <v>119.093</v>
      </c>
      <c r="AP85">
        <v>121.252</v>
      </c>
      <c r="AQ85">
        <v>123.256</v>
      </c>
      <c r="AR85">
        <v>124.489</v>
      </c>
      <c r="AS85">
        <v>126.35599999999999</v>
      </c>
      <c r="AT85">
        <v>127.898</v>
      </c>
      <c r="AU85">
        <v>130.25200000000001</v>
      </c>
      <c r="AV85">
        <v>132.892</v>
      </c>
      <c r="AW85">
        <v>135.62</v>
      </c>
      <c r="AX85">
        <v>138.328</v>
      </c>
      <c r="AY85">
        <v>2013</v>
      </c>
    </row>
    <row r="86" spans="1:51" x14ac:dyDescent="0.25">
      <c r="A86">
        <v>339</v>
      </c>
      <c r="B86" t="s">
        <v>348</v>
      </c>
      <c r="C86" t="s">
        <v>298</v>
      </c>
      <c r="D86" t="s">
        <v>61</v>
      </c>
      <c r="E86" t="s">
        <v>299</v>
      </c>
      <c r="F86" t="s">
        <v>300</v>
      </c>
      <c r="G86" t="s">
        <v>282</v>
      </c>
      <c r="H86" t="s">
        <v>283</v>
      </c>
      <c r="I86" t="s">
        <v>350</v>
      </c>
      <c r="J86" t="s">
        <v>285</v>
      </c>
      <c r="K86" t="s">
        <v>285</v>
      </c>
      <c r="L86" t="s">
        <v>285</v>
      </c>
      <c r="M86" t="s">
        <v>285</v>
      </c>
      <c r="N86" t="s">
        <v>285</v>
      </c>
      <c r="O86" t="s">
        <v>285</v>
      </c>
      <c r="P86" t="s">
        <v>285</v>
      </c>
      <c r="Q86" t="s">
        <v>285</v>
      </c>
      <c r="R86" t="s">
        <v>285</v>
      </c>
      <c r="S86" t="s">
        <v>285</v>
      </c>
      <c r="T86" t="s">
        <v>285</v>
      </c>
      <c r="U86" t="s">
        <v>285</v>
      </c>
      <c r="V86" t="s">
        <v>285</v>
      </c>
      <c r="W86" t="s">
        <v>285</v>
      </c>
      <c r="X86" t="s">
        <v>285</v>
      </c>
      <c r="Y86" t="s">
        <v>285</v>
      </c>
      <c r="Z86">
        <v>0.33200000000000002</v>
      </c>
      <c r="AA86">
        <v>0.35199999999999998</v>
      </c>
      <c r="AB86">
        <v>0.39700000000000002</v>
      </c>
      <c r="AC86">
        <v>0.45900000000000002</v>
      </c>
      <c r="AD86">
        <v>0.52700000000000002</v>
      </c>
      <c r="AE86">
        <v>0.60599999999999998</v>
      </c>
      <c r="AF86">
        <v>0.60099999999999998</v>
      </c>
      <c r="AG86">
        <v>0.624</v>
      </c>
      <c r="AH86">
        <v>0.65900000000000003</v>
      </c>
      <c r="AI86">
        <v>0.629</v>
      </c>
      <c r="AJ86">
        <v>0.73</v>
      </c>
      <c r="AK86">
        <v>0.749</v>
      </c>
      <c r="AL86">
        <v>0.76700000000000002</v>
      </c>
      <c r="AM86">
        <v>0.76800000000000002</v>
      </c>
      <c r="AN86">
        <v>0.82499999999999996</v>
      </c>
      <c r="AO86">
        <v>0.86699999999999999</v>
      </c>
      <c r="AP86">
        <v>0.85399999999999998</v>
      </c>
      <c r="AQ86">
        <v>1.0229999999999999</v>
      </c>
      <c r="AR86">
        <v>1.1339999999999999</v>
      </c>
      <c r="AS86">
        <v>1.165</v>
      </c>
      <c r="AT86">
        <v>1.161</v>
      </c>
      <c r="AU86">
        <v>1.198</v>
      </c>
      <c r="AV86">
        <v>1.2130000000000001</v>
      </c>
      <c r="AW86">
        <v>1.3029999999999999</v>
      </c>
      <c r="AX86">
        <v>1.337</v>
      </c>
      <c r="AY86">
        <v>2014</v>
      </c>
    </row>
    <row r="87" spans="1:51" ht="14.45" x14ac:dyDescent="0.35">
      <c r="A87">
        <v>638</v>
      </c>
      <c r="B87" t="s">
        <v>351</v>
      </c>
      <c r="C87" t="s">
        <v>279</v>
      </c>
      <c r="D87" t="s">
        <v>62</v>
      </c>
      <c r="E87" t="s">
        <v>280</v>
      </c>
      <c r="F87" t="s">
        <v>281</v>
      </c>
      <c r="G87" t="s">
        <v>282</v>
      </c>
      <c r="H87" t="s">
        <v>283</v>
      </c>
      <c r="I87" t="s">
        <v>352</v>
      </c>
      <c r="J87">
        <v>920.69299999999998</v>
      </c>
      <c r="K87">
        <v>938.45100000000002</v>
      </c>
      <c r="L87">
        <v>954.23699999999997</v>
      </c>
      <c r="M87">
        <v>935.15200000000004</v>
      </c>
      <c r="N87">
        <v>938.89200000000005</v>
      </c>
      <c r="O87">
        <v>979.52099999999996</v>
      </c>
      <c r="P87" s="21">
        <v>1006.434</v>
      </c>
      <c r="Q87">
        <v>985.55700000000002</v>
      </c>
      <c r="R87" s="21">
        <v>1019.338</v>
      </c>
      <c r="S87">
        <v>990.29600000000005</v>
      </c>
      <c r="T87" s="21">
        <v>1079.1869999999999</v>
      </c>
      <c r="U87" s="21">
        <v>1124.7909999999999</v>
      </c>
      <c r="V87" s="21">
        <v>1158.059</v>
      </c>
      <c r="W87" s="21">
        <v>1225.645</v>
      </c>
      <c r="X87" s="21">
        <v>1250.4079999999999</v>
      </c>
      <c r="Y87" s="21">
        <v>1325.998</v>
      </c>
      <c r="Z87" s="21">
        <v>1383.338</v>
      </c>
      <c r="AA87" s="21">
        <v>1462.6679999999999</v>
      </c>
      <c r="AB87" s="21">
        <v>1520.604</v>
      </c>
      <c r="AC87" s="21">
        <v>1601.827</v>
      </c>
      <c r="AD87" s="21">
        <v>1679.702</v>
      </c>
      <c r="AE87" s="21">
        <v>1783.778</v>
      </c>
      <c r="AF87" s="21">
        <v>1863.011</v>
      </c>
      <c r="AG87" s="21">
        <v>1936.614</v>
      </c>
      <c r="AH87" s="21">
        <v>1996.309</v>
      </c>
      <c r="AI87" s="21">
        <v>2053.5079999999998</v>
      </c>
      <c r="AJ87" s="21">
        <v>2130.5590000000002</v>
      </c>
      <c r="AK87" s="21">
        <v>2229.127</v>
      </c>
      <c r="AL87" s="21">
        <v>2340.9940000000001</v>
      </c>
      <c r="AM87" s="21">
        <v>2403.2150000000001</v>
      </c>
      <c r="AN87" s="21">
        <v>2464.5509999999999</v>
      </c>
      <c r="AO87" s="21">
        <v>2546.5039999999999</v>
      </c>
      <c r="AP87" s="21">
        <v>2683.819</v>
      </c>
      <c r="AQ87" s="21">
        <v>2835.3220000000001</v>
      </c>
      <c r="AR87" s="21">
        <v>2988.4290000000001</v>
      </c>
      <c r="AS87" s="21">
        <v>3152.2330000000002</v>
      </c>
      <c r="AT87" s="21">
        <v>3319.239</v>
      </c>
      <c r="AU87" s="21">
        <v>3505.0949999999998</v>
      </c>
      <c r="AV87" s="21">
        <v>3704.8580000000002</v>
      </c>
      <c r="AW87" s="21">
        <v>3916.3249999999998</v>
      </c>
      <c r="AX87" s="21">
        <v>4151.3220000000001</v>
      </c>
      <c r="AY87">
        <v>2012</v>
      </c>
    </row>
    <row r="88" spans="1:51" ht="14.45" x14ac:dyDescent="0.35">
      <c r="A88">
        <v>638</v>
      </c>
      <c r="B88" t="s">
        <v>351</v>
      </c>
      <c r="C88" t="s">
        <v>286</v>
      </c>
      <c r="D88" t="s">
        <v>62</v>
      </c>
      <c r="E88" t="s">
        <v>287</v>
      </c>
      <c r="F88" t="s">
        <v>288</v>
      </c>
      <c r="G88" t="s">
        <v>282</v>
      </c>
      <c r="H88" t="s">
        <v>283</v>
      </c>
      <c r="I88" t="s">
        <v>352</v>
      </c>
      <c r="J88">
        <v>379.04899999999998</v>
      </c>
      <c r="K88">
        <v>327.50700000000001</v>
      </c>
      <c r="L88">
        <v>379.34699999999998</v>
      </c>
      <c r="M88">
        <v>416.63400000000001</v>
      </c>
      <c r="N88">
        <v>465.5</v>
      </c>
      <c r="O88">
        <v>499.04399999999998</v>
      </c>
      <c r="P88">
        <v>491.37</v>
      </c>
      <c r="Q88">
        <v>498.80700000000002</v>
      </c>
      <c r="R88">
        <v>514.59799999999996</v>
      </c>
      <c r="S88">
        <v>509.10300000000001</v>
      </c>
      <c r="T88">
        <v>533.63</v>
      </c>
      <c r="U88">
        <v>560.38800000000003</v>
      </c>
      <c r="V88">
        <v>594.41600000000005</v>
      </c>
      <c r="W88">
        <v>644.07000000000005</v>
      </c>
      <c r="X88">
        <v>887.25900000000001</v>
      </c>
      <c r="Y88" s="21">
        <v>1082.9659999999999</v>
      </c>
      <c r="Z88" s="21">
        <v>1207.835</v>
      </c>
      <c r="AA88" s="21">
        <v>1323.9380000000001</v>
      </c>
      <c r="AB88" s="21">
        <v>1448.386</v>
      </c>
      <c r="AC88" s="21">
        <v>1532.4090000000001</v>
      </c>
      <c r="AD88" s="21">
        <v>1679.702</v>
      </c>
      <c r="AE88" s="21">
        <v>1832.2</v>
      </c>
      <c r="AF88" s="21">
        <v>1956.7</v>
      </c>
      <c r="AG88" s="21">
        <v>2067.9</v>
      </c>
      <c r="AH88" s="21">
        <v>2140.0129999999999</v>
      </c>
      <c r="AI88" s="21">
        <v>2298.7150000000001</v>
      </c>
      <c r="AJ88" s="21">
        <v>2460.2440000000001</v>
      </c>
      <c r="AK88" s="21">
        <v>2638.9749999999999</v>
      </c>
      <c r="AL88" s="21">
        <v>2970.5439999999999</v>
      </c>
      <c r="AM88" s="21">
        <v>3109.134</v>
      </c>
      <c r="AN88" s="21">
        <v>3247.9270000000001</v>
      </c>
      <c r="AO88" s="21">
        <v>3443.3</v>
      </c>
      <c r="AP88" s="21">
        <v>3851.05</v>
      </c>
      <c r="AQ88" s="21">
        <v>4104.2</v>
      </c>
      <c r="AR88" s="21">
        <v>4287.4070000000002</v>
      </c>
      <c r="AS88" s="21">
        <v>4542.6400000000003</v>
      </c>
      <c r="AT88" s="21">
        <v>4887.2579999999998</v>
      </c>
      <c r="AU88" s="21">
        <v>5276.5219999999999</v>
      </c>
      <c r="AV88" s="21">
        <v>5704.4560000000001</v>
      </c>
      <c r="AW88" s="21">
        <v>6158.9459999999999</v>
      </c>
      <c r="AX88" s="21">
        <v>6670.817</v>
      </c>
      <c r="AY88">
        <v>2012</v>
      </c>
    </row>
    <row r="89" spans="1:51" ht="14.45" x14ac:dyDescent="0.35">
      <c r="A89">
        <v>638</v>
      </c>
      <c r="B89" t="s">
        <v>351</v>
      </c>
      <c r="C89" t="s">
        <v>289</v>
      </c>
      <c r="D89" t="s">
        <v>62</v>
      </c>
      <c r="E89" t="s">
        <v>287</v>
      </c>
      <c r="F89" t="s">
        <v>290</v>
      </c>
      <c r="G89" t="s">
        <v>291</v>
      </c>
      <c r="H89" t="s">
        <v>283</v>
      </c>
      <c r="I89" t="s">
        <v>292</v>
      </c>
      <c r="J89">
        <v>1.6850000000000001</v>
      </c>
      <c r="K89">
        <v>1.1399999999999999</v>
      </c>
      <c r="L89">
        <v>1.1279999999999999</v>
      </c>
      <c r="M89">
        <v>0.999</v>
      </c>
      <c r="N89">
        <v>1.0649999999999999</v>
      </c>
      <c r="O89">
        <v>1.111</v>
      </c>
      <c r="P89">
        <v>1.419</v>
      </c>
      <c r="Q89">
        <v>1.66</v>
      </c>
      <c r="R89">
        <v>1.728</v>
      </c>
      <c r="S89">
        <v>1.5960000000000001</v>
      </c>
      <c r="T89">
        <v>1.96</v>
      </c>
      <c r="U89">
        <v>1.986</v>
      </c>
      <c r="V89">
        <v>2.246</v>
      </c>
      <c r="W89">
        <v>2.2749999999999999</v>
      </c>
      <c r="X89">
        <v>1.5980000000000001</v>
      </c>
      <c r="Y89">
        <v>2.17</v>
      </c>
      <c r="Z89">
        <v>2.3610000000000002</v>
      </c>
      <c r="AA89">
        <v>2.2679999999999998</v>
      </c>
      <c r="AB89">
        <v>2.4550000000000001</v>
      </c>
      <c r="AC89">
        <v>2.4889999999999999</v>
      </c>
      <c r="AD89">
        <v>2.3660000000000001</v>
      </c>
      <c r="AE89">
        <v>2.5019999999999998</v>
      </c>
      <c r="AF89">
        <v>2.8170000000000002</v>
      </c>
      <c r="AG89">
        <v>3.5649999999999999</v>
      </c>
      <c r="AH89">
        <v>4.056</v>
      </c>
      <c r="AI89">
        <v>4.3659999999999997</v>
      </c>
      <c r="AJ89">
        <v>4.7089999999999996</v>
      </c>
      <c r="AK89">
        <v>5.5140000000000002</v>
      </c>
      <c r="AL89">
        <v>6.665</v>
      </c>
      <c r="AM89">
        <v>6.6020000000000003</v>
      </c>
      <c r="AN89">
        <v>6.57</v>
      </c>
      <c r="AO89">
        <v>7.3040000000000003</v>
      </c>
      <c r="AP89">
        <v>7.5469999999999997</v>
      </c>
      <c r="AQ89">
        <v>8.31</v>
      </c>
      <c r="AR89">
        <v>8.6850000000000005</v>
      </c>
      <c r="AS89">
        <v>7.7009999999999996</v>
      </c>
      <c r="AT89">
        <v>8.3019999999999996</v>
      </c>
      <c r="AU89">
        <v>9.0609999999999999</v>
      </c>
      <c r="AV89">
        <v>9.8960000000000008</v>
      </c>
      <c r="AW89">
        <v>10.765000000000001</v>
      </c>
      <c r="AX89">
        <v>11.659000000000001</v>
      </c>
      <c r="AY89">
        <v>2012</v>
      </c>
    </row>
    <row r="90" spans="1:51" ht="14.45" x14ac:dyDescent="0.35">
      <c r="A90">
        <v>638</v>
      </c>
      <c r="B90" t="s">
        <v>351</v>
      </c>
      <c r="C90" t="s">
        <v>293</v>
      </c>
      <c r="D90" t="s">
        <v>62</v>
      </c>
      <c r="E90" t="s">
        <v>294</v>
      </c>
      <c r="F90" t="s">
        <v>295</v>
      </c>
      <c r="G90" t="s">
        <v>296</v>
      </c>
      <c r="I90" t="s">
        <v>297</v>
      </c>
      <c r="J90">
        <v>41.17</v>
      </c>
      <c r="K90">
        <v>34.899000000000001</v>
      </c>
      <c r="L90">
        <v>39.753999999999998</v>
      </c>
      <c r="M90">
        <v>44.552999999999997</v>
      </c>
      <c r="N90">
        <v>49.58</v>
      </c>
      <c r="O90">
        <v>50.948</v>
      </c>
      <c r="P90">
        <v>48.823</v>
      </c>
      <c r="Q90">
        <v>50.612000000000002</v>
      </c>
      <c r="R90">
        <v>50.484000000000002</v>
      </c>
      <c r="S90">
        <v>51.408999999999999</v>
      </c>
      <c r="T90">
        <v>49.447000000000003</v>
      </c>
      <c r="U90">
        <v>49.822000000000003</v>
      </c>
      <c r="V90">
        <v>51.329000000000001</v>
      </c>
      <c r="W90">
        <v>52.548999999999999</v>
      </c>
      <c r="X90">
        <v>70.957999999999998</v>
      </c>
      <c r="Y90">
        <v>81.671999999999997</v>
      </c>
      <c r="Z90">
        <v>87.313000000000002</v>
      </c>
      <c r="AA90">
        <v>90.515000000000001</v>
      </c>
      <c r="AB90">
        <v>95.251000000000005</v>
      </c>
      <c r="AC90">
        <v>95.665999999999997</v>
      </c>
      <c r="AD90">
        <v>100</v>
      </c>
      <c r="AE90">
        <v>102.715</v>
      </c>
      <c r="AF90">
        <v>105.029</v>
      </c>
      <c r="AG90">
        <v>106.779</v>
      </c>
      <c r="AH90">
        <v>107.19799999999999</v>
      </c>
      <c r="AI90">
        <v>111.941</v>
      </c>
      <c r="AJ90">
        <v>115.474</v>
      </c>
      <c r="AK90">
        <v>118.386</v>
      </c>
      <c r="AL90">
        <v>126.892</v>
      </c>
      <c r="AM90">
        <v>129.374</v>
      </c>
      <c r="AN90">
        <v>131.786</v>
      </c>
      <c r="AO90">
        <v>135.21700000000001</v>
      </c>
      <c r="AP90">
        <v>143.49100000000001</v>
      </c>
      <c r="AQ90">
        <v>144.75299999999999</v>
      </c>
      <c r="AR90">
        <v>143.46700000000001</v>
      </c>
      <c r="AS90">
        <v>144.10900000000001</v>
      </c>
      <c r="AT90">
        <v>147.24</v>
      </c>
      <c r="AU90">
        <v>150.53899999999999</v>
      </c>
      <c r="AV90">
        <v>153.97200000000001</v>
      </c>
      <c r="AW90">
        <v>157.26300000000001</v>
      </c>
      <c r="AX90">
        <v>160.691</v>
      </c>
      <c r="AY90">
        <v>2012</v>
      </c>
    </row>
    <row r="91" spans="1:51" ht="14.45" x14ac:dyDescent="0.35">
      <c r="A91">
        <v>638</v>
      </c>
      <c r="B91" t="s">
        <v>351</v>
      </c>
      <c r="C91" t="s">
        <v>298</v>
      </c>
      <c r="D91" t="s">
        <v>62</v>
      </c>
      <c r="E91" t="s">
        <v>299</v>
      </c>
      <c r="F91" t="s">
        <v>300</v>
      </c>
      <c r="G91" t="s">
        <v>282</v>
      </c>
      <c r="H91" t="s">
        <v>283</v>
      </c>
      <c r="I91" t="s">
        <v>353</v>
      </c>
      <c r="J91" t="s">
        <v>285</v>
      </c>
      <c r="K91" t="s">
        <v>285</v>
      </c>
      <c r="L91" t="s">
        <v>285</v>
      </c>
      <c r="M91" t="s">
        <v>285</v>
      </c>
      <c r="N91" t="s">
        <v>285</v>
      </c>
      <c r="O91" t="s">
        <v>285</v>
      </c>
      <c r="P91" t="s">
        <v>285</v>
      </c>
      <c r="Q91" t="s">
        <v>285</v>
      </c>
      <c r="R91" t="s">
        <v>285</v>
      </c>
      <c r="S91">
        <v>86.954999999999998</v>
      </c>
      <c r="T91">
        <v>96.706000000000003</v>
      </c>
      <c r="U91">
        <v>96.534000000000006</v>
      </c>
      <c r="V91">
        <v>109.383</v>
      </c>
      <c r="W91">
        <v>105.489</v>
      </c>
      <c r="X91">
        <v>164.422</v>
      </c>
      <c r="Y91">
        <v>218.71600000000001</v>
      </c>
      <c r="Z91">
        <v>219.232</v>
      </c>
      <c r="AA91">
        <v>229.69300000000001</v>
      </c>
      <c r="AB91">
        <v>215.58099999999999</v>
      </c>
      <c r="AC91">
        <v>243.21799999999999</v>
      </c>
      <c r="AD91">
        <v>391.02499999999998</v>
      </c>
      <c r="AE91">
        <v>414.78500000000003</v>
      </c>
      <c r="AF91">
        <v>444.714</v>
      </c>
      <c r="AG91">
        <v>424.54</v>
      </c>
      <c r="AH91">
        <v>436.10500000000002</v>
      </c>
      <c r="AI91">
        <v>489.596</v>
      </c>
      <c r="AJ91">
        <v>477.93799999999999</v>
      </c>
      <c r="AK91">
        <v>618.14700000000005</v>
      </c>
      <c r="AL91">
        <v>635.13</v>
      </c>
      <c r="AM91">
        <v>778.45500000000004</v>
      </c>
      <c r="AN91">
        <v>664.1</v>
      </c>
      <c r="AO91">
        <v>742.16399999999999</v>
      </c>
      <c r="AP91">
        <v>809.78099999999995</v>
      </c>
      <c r="AQ91">
        <v>920.83199999999999</v>
      </c>
      <c r="AR91">
        <v>933.03899999999999</v>
      </c>
      <c r="AS91" s="21">
        <v>1082.9000000000001</v>
      </c>
      <c r="AT91" s="21">
        <v>1210.02</v>
      </c>
      <c r="AU91" s="21">
        <v>1307.8879999999999</v>
      </c>
      <c r="AV91" s="21">
        <v>1409.6790000000001</v>
      </c>
      <c r="AW91" s="21">
        <v>1430.9390000000001</v>
      </c>
      <c r="AX91" s="21">
        <v>1542.9</v>
      </c>
      <c r="AY91">
        <v>2013</v>
      </c>
    </row>
    <row r="92" spans="1:51" ht="14.45" x14ac:dyDescent="0.35">
      <c r="A92">
        <v>514</v>
      </c>
      <c r="B92" t="s">
        <v>354</v>
      </c>
      <c r="C92" t="s">
        <v>279</v>
      </c>
      <c r="D92" t="s">
        <v>63</v>
      </c>
      <c r="E92" t="s">
        <v>280</v>
      </c>
      <c r="F92" t="s">
        <v>281</v>
      </c>
      <c r="G92" t="s">
        <v>282</v>
      </c>
      <c r="H92" t="s">
        <v>283</v>
      </c>
      <c r="I92" t="s">
        <v>355</v>
      </c>
      <c r="J92">
        <v>4.6050000000000004</v>
      </c>
      <c r="K92">
        <v>5.23</v>
      </c>
      <c r="L92">
        <v>5.6589999999999998</v>
      </c>
      <c r="M92">
        <v>6.0739999999999998</v>
      </c>
      <c r="N92">
        <v>6.5369999999999999</v>
      </c>
      <c r="O92">
        <v>6.8209999999999997</v>
      </c>
      <c r="P92">
        <v>7.3639999999999999</v>
      </c>
      <c r="Q92">
        <v>8.8529999999999998</v>
      </c>
      <c r="R92">
        <v>10.188000000000001</v>
      </c>
      <c r="S92">
        <v>10.819000000000001</v>
      </c>
      <c r="T92">
        <v>11.804</v>
      </c>
      <c r="U92">
        <v>12.382</v>
      </c>
      <c r="V92">
        <v>12.64</v>
      </c>
      <c r="W92">
        <v>13.042999999999999</v>
      </c>
      <c r="X92">
        <v>13.500999999999999</v>
      </c>
      <c r="Y92">
        <v>14.316000000000001</v>
      </c>
      <c r="Z92">
        <v>15.202999999999999</v>
      </c>
      <c r="AA92">
        <v>16.023</v>
      </c>
      <c r="AB92">
        <v>16.916</v>
      </c>
      <c r="AC92">
        <v>18.077000000000002</v>
      </c>
      <c r="AD92">
        <v>19.248000000000001</v>
      </c>
      <c r="AE92">
        <v>20.545000000000002</v>
      </c>
      <c r="AF92">
        <v>22.5</v>
      </c>
      <c r="AG92">
        <v>24.552</v>
      </c>
      <c r="AH92">
        <v>26.209</v>
      </c>
      <c r="AI92">
        <v>27.919</v>
      </c>
      <c r="AJ92">
        <v>29.867999999999999</v>
      </c>
      <c r="AK92">
        <v>33.622999999999998</v>
      </c>
      <c r="AL92">
        <v>37.238</v>
      </c>
      <c r="AM92">
        <v>39.369</v>
      </c>
      <c r="AN92">
        <v>43.040999999999997</v>
      </c>
      <c r="AO92">
        <v>47.375</v>
      </c>
      <c r="AP92">
        <v>50.411000000000001</v>
      </c>
      <c r="AQ92">
        <v>52.884</v>
      </c>
      <c r="AR92">
        <v>56.274999999999999</v>
      </c>
      <c r="AS92">
        <v>60.588999999999999</v>
      </c>
      <c r="AT92">
        <v>65.676000000000002</v>
      </c>
      <c r="AU92">
        <v>71.322000000000003</v>
      </c>
      <c r="AV92">
        <v>79.334999999999994</v>
      </c>
      <c r="AW92">
        <v>85.391999999999996</v>
      </c>
      <c r="AX92">
        <v>90.938999999999993</v>
      </c>
      <c r="AY92">
        <v>0</v>
      </c>
    </row>
    <row r="93" spans="1:51" ht="14.45" x14ac:dyDescent="0.35">
      <c r="A93">
        <v>514</v>
      </c>
      <c r="B93" t="s">
        <v>354</v>
      </c>
      <c r="C93" t="s">
        <v>286</v>
      </c>
      <c r="D93" t="s">
        <v>63</v>
      </c>
      <c r="E93" t="s">
        <v>287</v>
      </c>
      <c r="F93" t="s">
        <v>288</v>
      </c>
      <c r="G93" t="s">
        <v>282</v>
      </c>
      <c r="H93" t="s">
        <v>283</v>
      </c>
      <c r="I93" t="s">
        <v>355</v>
      </c>
      <c r="J93">
        <v>1</v>
      </c>
      <c r="K93">
        <v>1.1890000000000001</v>
      </c>
      <c r="L93">
        <v>1.365</v>
      </c>
      <c r="M93">
        <v>1.573</v>
      </c>
      <c r="N93">
        <v>1.8320000000000001</v>
      </c>
      <c r="O93">
        <v>2.0649999999999999</v>
      </c>
      <c r="P93">
        <v>2.38</v>
      </c>
      <c r="Q93">
        <v>2.9630000000000001</v>
      </c>
      <c r="R93">
        <v>3.6440000000000001</v>
      </c>
      <c r="S93">
        <v>4.242</v>
      </c>
      <c r="T93">
        <v>4.9249999999999998</v>
      </c>
      <c r="U93">
        <v>5.5389999999999997</v>
      </c>
      <c r="V93">
        <v>6.1769999999999996</v>
      </c>
      <c r="W93">
        <v>6.9290000000000003</v>
      </c>
      <c r="X93">
        <v>7.944</v>
      </c>
      <c r="Y93">
        <v>9.2899999999999991</v>
      </c>
      <c r="Z93">
        <v>10.663</v>
      </c>
      <c r="AA93">
        <v>12.449</v>
      </c>
      <c r="AB93">
        <v>14.677</v>
      </c>
      <c r="AC93">
        <v>17.082000000000001</v>
      </c>
      <c r="AD93">
        <v>19.038</v>
      </c>
      <c r="AE93">
        <v>21.108000000000001</v>
      </c>
      <c r="AF93">
        <v>24.292999999999999</v>
      </c>
      <c r="AG93">
        <v>27.54</v>
      </c>
      <c r="AH93">
        <v>30.41</v>
      </c>
      <c r="AI93">
        <v>33.978999999999999</v>
      </c>
      <c r="AJ93">
        <v>38.393000000000001</v>
      </c>
      <c r="AK93">
        <v>45.067999999999998</v>
      </c>
      <c r="AL93">
        <v>52.101999999999997</v>
      </c>
      <c r="AM93">
        <v>58</v>
      </c>
      <c r="AN93">
        <v>66.869</v>
      </c>
      <c r="AO93">
        <v>79.195999999999998</v>
      </c>
      <c r="AP93">
        <v>92.683999999999997</v>
      </c>
      <c r="AQ93">
        <v>106.086</v>
      </c>
      <c r="AR93">
        <v>121.88800000000001</v>
      </c>
      <c r="AS93">
        <v>140.90899999999999</v>
      </c>
      <c r="AT93">
        <v>162.517</v>
      </c>
      <c r="AU93">
        <v>187.321</v>
      </c>
      <c r="AV93">
        <v>220.98599999999999</v>
      </c>
      <c r="AW93">
        <v>251.87</v>
      </c>
      <c r="AX93">
        <v>284.80500000000001</v>
      </c>
      <c r="AY93">
        <v>0</v>
      </c>
    </row>
    <row r="94" spans="1:51" ht="14.45" x14ac:dyDescent="0.35">
      <c r="A94">
        <v>514</v>
      </c>
      <c r="B94" t="s">
        <v>354</v>
      </c>
      <c r="C94" t="s">
        <v>289</v>
      </c>
      <c r="D94" t="s">
        <v>63</v>
      </c>
      <c r="E94" t="s">
        <v>287</v>
      </c>
      <c r="F94" t="s">
        <v>290</v>
      </c>
      <c r="G94" t="s">
        <v>291</v>
      </c>
      <c r="H94" t="s">
        <v>283</v>
      </c>
      <c r="I94" t="s">
        <v>292</v>
      </c>
      <c r="J94">
        <v>0.127</v>
      </c>
      <c r="K94">
        <v>0.13700000000000001</v>
      </c>
      <c r="L94">
        <v>0.14399999999999999</v>
      </c>
      <c r="M94">
        <v>0.156</v>
      </c>
      <c r="N94">
        <v>0.161</v>
      </c>
      <c r="O94">
        <v>0.16700000000000001</v>
      </c>
      <c r="P94">
        <v>0.189</v>
      </c>
      <c r="Q94">
        <v>0.22900000000000001</v>
      </c>
      <c r="R94">
        <v>0.26200000000000001</v>
      </c>
      <c r="S94">
        <v>0.26100000000000001</v>
      </c>
      <c r="T94">
        <v>0.28100000000000003</v>
      </c>
      <c r="U94">
        <v>0.24399999999999999</v>
      </c>
      <c r="V94">
        <v>0.23799999999999999</v>
      </c>
      <c r="W94">
        <v>0.249</v>
      </c>
      <c r="X94">
        <v>0.253</v>
      </c>
      <c r="Y94">
        <v>0.29599999999999999</v>
      </c>
      <c r="Z94">
        <v>0.311</v>
      </c>
      <c r="AA94">
        <v>0.34799999999999998</v>
      </c>
      <c r="AB94">
        <v>0.38200000000000001</v>
      </c>
      <c r="AC94">
        <v>0.40100000000000002</v>
      </c>
      <c r="AD94">
        <v>0.436</v>
      </c>
      <c r="AE94">
        <v>0.45500000000000002</v>
      </c>
      <c r="AF94">
        <v>0.504</v>
      </c>
      <c r="AG94">
        <v>0.57499999999999996</v>
      </c>
      <c r="AH94">
        <v>0.67</v>
      </c>
      <c r="AI94">
        <v>0.76200000000000001</v>
      </c>
      <c r="AJ94">
        <v>0.85799999999999998</v>
      </c>
      <c r="AK94">
        <v>1.02</v>
      </c>
      <c r="AL94">
        <v>1.2909999999999999</v>
      </c>
      <c r="AM94">
        <v>1.214</v>
      </c>
      <c r="AN94">
        <v>1.4330000000000001</v>
      </c>
      <c r="AO94">
        <v>1.7470000000000001</v>
      </c>
      <c r="AP94">
        <v>1.8440000000000001</v>
      </c>
      <c r="AQ94">
        <v>1.9339999999999999</v>
      </c>
      <c r="AR94">
        <v>1.9830000000000001</v>
      </c>
      <c r="AS94">
        <v>2.2090000000000001</v>
      </c>
      <c r="AT94">
        <v>2.4649999999999999</v>
      </c>
      <c r="AU94">
        <v>2.7480000000000002</v>
      </c>
      <c r="AV94">
        <v>3.141</v>
      </c>
      <c r="AW94">
        <v>3.468</v>
      </c>
      <c r="AX94">
        <v>3.798</v>
      </c>
      <c r="AY94">
        <v>0</v>
      </c>
    </row>
    <row r="95" spans="1:51" ht="14.45" x14ac:dyDescent="0.35">
      <c r="A95">
        <v>514</v>
      </c>
      <c r="B95" t="s">
        <v>354</v>
      </c>
      <c r="C95" t="s">
        <v>293</v>
      </c>
      <c r="D95" t="s">
        <v>63</v>
      </c>
      <c r="E95" t="s">
        <v>294</v>
      </c>
      <c r="F95" t="s">
        <v>295</v>
      </c>
      <c r="G95" t="s">
        <v>296</v>
      </c>
      <c r="I95" t="s">
        <v>297</v>
      </c>
      <c r="J95">
        <v>21.718</v>
      </c>
      <c r="K95">
        <v>22.722999999999999</v>
      </c>
      <c r="L95">
        <v>24.129000000000001</v>
      </c>
      <c r="M95">
        <v>25.896999999999998</v>
      </c>
      <c r="N95">
        <v>28.030999999999999</v>
      </c>
      <c r="O95">
        <v>30.277000000000001</v>
      </c>
      <c r="P95">
        <v>32.319000000000003</v>
      </c>
      <c r="Q95">
        <v>33.463999999999999</v>
      </c>
      <c r="R95">
        <v>35.770000000000003</v>
      </c>
      <c r="S95">
        <v>39.21</v>
      </c>
      <c r="T95">
        <v>41.726999999999997</v>
      </c>
      <c r="U95">
        <v>44.731999999999999</v>
      </c>
      <c r="V95">
        <v>48.871000000000002</v>
      </c>
      <c r="W95">
        <v>53.127000000000002</v>
      </c>
      <c r="X95">
        <v>58.84</v>
      </c>
      <c r="Y95">
        <v>64.896000000000001</v>
      </c>
      <c r="Z95">
        <v>70.14</v>
      </c>
      <c r="AA95">
        <v>77.695999999999998</v>
      </c>
      <c r="AB95">
        <v>86.763999999999996</v>
      </c>
      <c r="AC95">
        <v>94.492999999999995</v>
      </c>
      <c r="AD95">
        <v>98.906999999999996</v>
      </c>
      <c r="AE95">
        <v>102.73699999999999</v>
      </c>
      <c r="AF95">
        <v>107.96599999999999</v>
      </c>
      <c r="AG95">
        <v>112.17</v>
      </c>
      <c r="AH95">
        <v>116.03</v>
      </c>
      <c r="AI95">
        <v>121.70399999999999</v>
      </c>
      <c r="AJ95">
        <v>128.54</v>
      </c>
      <c r="AK95">
        <v>134.04</v>
      </c>
      <c r="AL95">
        <v>139.91499999999999</v>
      </c>
      <c r="AM95">
        <v>147.32300000000001</v>
      </c>
      <c r="AN95">
        <v>155.35900000000001</v>
      </c>
      <c r="AO95">
        <v>167.167</v>
      </c>
      <c r="AP95">
        <v>183.858</v>
      </c>
      <c r="AQ95">
        <v>200.60300000000001</v>
      </c>
      <c r="AR95">
        <v>216.596</v>
      </c>
      <c r="AS95">
        <v>232.56299999999999</v>
      </c>
      <c r="AT95">
        <v>247.453</v>
      </c>
      <c r="AU95">
        <v>262.64100000000002</v>
      </c>
      <c r="AV95">
        <v>278.548</v>
      </c>
      <c r="AW95">
        <v>294.95699999999999</v>
      </c>
      <c r="AX95">
        <v>313.18200000000002</v>
      </c>
      <c r="AY95">
        <v>0</v>
      </c>
    </row>
    <row r="96" spans="1:51" ht="14.45" x14ac:dyDescent="0.35">
      <c r="A96">
        <v>514</v>
      </c>
      <c r="B96" t="s">
        <v>354</v>
      </c>
      <c r="C96" t="s">
        <v>298</v>
      </c>
      <c r="D96" t="s">
        <v>63</v>
      </c>
      <c r="E96" t="s">
        <v>299</v>
      </c>
      <c r="F96" t="s">
        <v>300</v>
      </c>
      <c r="G96" t="s">
        <v>282</v>
      </c>
      <c r="H96" t="s">
        <v>283</v>
      </c>
      <c r="I96" t="s">
        <v>356</v>
      </c>
      <c r="J96" t="s">
        <v>285</v>
      </c>
      <c r="K96">
        <v>0.625</v>
      </c>
      <c r="L96">
        <v>0.48799999999999999</v>
      </c>
      <c r="M96">
        <v>0.69899999999999995</v>
      </c>
      <c r="N96">
        <v>0.75800000000000001</v>
      </c>
      <c r="O96">
        <v>1.177</v>
      </c>
      <c r="P96">
        <v>1.2210000000000001</v>
      </c>
      <c r="Q96">
        <v>1.48</v>
      </c>
      <c r="R96">
        <v>1.74</v>
      </c>
      <c r="S96">
        <v>2.0910000000000002</v>
      </c>
      <c r="T96">
        <v>1.859</v>
      </c>
      <c r="U96">
        <v>1.796</v>
      </c>
      <c r="V96">
        <v>2.2410000000000001</v>
      </c>
      <c r="W96">
        <v>2.569</v>
      </c>
      <c r="X96">
        <v>3.1680000000000001</v>
      </c>
      <c r="Y96">
        <v>3.7759999999999998</v>
      </c>
      <c r="Z96">
        <v>4.2530000000000001</v>
      </c>
      <c r="AA96">
        <v>4.9580000000000002</v>
      </c>
      <c r="AB96">
        <v>4.806</v>
      </c>
      <c r="AC96">
        <v>7.2240000000000002</v>
      </c>
      <c r="AD96">
        <v>8.6240000000000006</v>
      </c>
      <c r="AE96">
        <v>11.178000000000001</v>
      </c>
      <c r="AF96">
        <v>10.052</v>
      </c>
      <c r="AG96">
        <v>9.9450000000000003</v>
      </c>
      <c r="AH96">
        <v>9.8650000000000002</v>
      </c>
      <c r="AI96">
        <v>12.893000000000001</v>
      </c>
      <c r="AJ96">
        <v>13.771000000000001</v>
      </c>
      <c r="AK96">
        <v>15.795</v>
      </c>
      <c r="AL96">
        <v>18.065000000000001</v>
      </c>
      <c r="AM96">
        <v>19.309999999999999</v>
      </c>
      <c r="AN96">
        <v>29.888999999999999</v>
      </c>
      <c r="AO96">
        <v>29.841999999999999</v>
      </c>
      <c r="AP96">
        <v>33.805999999999997</v>
      </c>
      <c r="AQ96">
        <v>34.9</v>
      </c>
      <c r="AR96">
        <v>37.773000000000003</v>
      </c>
      <c r="AS96">
        <v>35.405999999999999</v>
      </c>
      <c r="AT96">
        <v>44.030999999999999</v>
      </c>
      <c r="AU96">
        <v>46.360999999999997</v>
      </c>
      <c r="AV96">
        <v>50.021999999999998</v>
      </c>
      <c r="AW96">
        <v>56.584000000000003</v>
      </c>
      <c r="AX96">
        <v>73.213999999999999</v>
      </c>
      <c r="AY96">
        <v>2013</v>
      </c>
    </row>
    <row r="97" spans="1:51" ht="14.45" x14ac:dyDescent="0.35">
      <c r="A97">
        <v>218</v>
      </c>
      <c r="B97" t="s">
        <v>357</v>
      </c>
      <c r="C97" t="s">
        <v>279</v>
      </c>
      <c r="D97" t="s">
        <v>1123</v>
      </c>
      <c r="E97" t="s">
        <v>280</v>
      </c>
      <c r="F97" t="s">
        <v>281</v>
      </c>
      <c r="G97" t="s">
        <v>282</v>
      </c>
      <c r="H97" t="s">
        <v>283</v>
      </c>
      <c r="I97" t="s">
        <v>358</v>
      </c>
      <c r="J97">
        <v>15.257999999999999</v>
      </c>
      <c r="K97">
        <v>15.303000000000001</v>
      </c>
      <c r="L97">
        <v>14.701000000000001</v>
      </c>
      <c r="M97">
        <v>14.106</v>
      </c>
      <c r="N97">
        <v>14.077999999999999</v>
      </c>
      <c r="O97">
        <v>13.842000000000001</v>
      </c>
      <c r="P97">
        <v>13.486000000000001</v>
      </c>
      <c r="Q97">
        <v>13.818</v>
      </c>
      <c r="R97">
        <v>14.22</v>
      </c>
      <c r="S97">
        <v>14.759</v>
      </c>
      <c r="T97">
        <v>15.443</v>
      </c>
      <c r="U97">
        <v>16.256</v>
      </c>
      <c r="V97">
        <v>16.524000000000001</v>
      </c>
      <c r="W97">
        <v>17.23</v>
      </c>
      <c r="X97">
        <v>18.033999999999999</v>
      </c>
      <c r="Y97">
        <v>18.876999999999999</v>
      </c>
      <c r="Z97">
        <v>19.701000000000001</v>
      </c>
      <c r="AA97">
        <v>20.677</v>
      </c>
      <c r="AB97">
        <v>21.716999999999999</v>
      </c>
      <c r="AC97">
        <v>21.809000000000001</v>
      </c>
      <c r="AD97">
        <v>22.356000000000002</v>
      </c>
      <c r="AE97">
        <v>22.733000000000001</v>
      </c>
      <c r="AF97">
        <v>23.297999999999998</v>
      </c>
      <c r="AG97">
        <v>23.928999999999998</v>
      </c>
      <c r="AH97">
        <v>24.928000000000001</v>
      </c>
      <c r="AI97">
        <v>26.03</v>
      </c>
      <c r="AJ97">
        <v>27.279</v>
      </c>
      <c r="AK97">
        <v>28.524000000000001</v>
      </c>
      <c r="AL97">
        <v>30.277999999999999</v>
      </c>
      <c r="AM97">
        <v>31.294</v>
      </c>
      <c r="AN97">
        <v>32.585999999999999</v>
      </c>
      <c r="AO97">
        <v>34.280999999999999</v>
      </c>
      <c r="AP97">
        <v>36.036999999999999</v>
      </c>
      <c r="AQ97">
        <v>38.487000000000002</v>
      </c>
      <c r="AR97">
        <v>40.588000000000001</v>
      </c>
      <c r="AS97">
        <v>42.252000000000002</v>
      </c>
      <c r="AT97">
        <v>43.731000000000002</v>
      </c>
      <c r="AU97">
        <v>45.262</v>
      </c>
      <c r="AV97">
        <v>46.845999999999997</v>
      </c>
      <c r="AW97">
        <v>48.484999999999999</v>
      </c>
      <c r="AX97">
        <v>50.182000000000002</v>
      </c>
      <c r="AY97">
        <v>2014</v>
      </c>
    </row>
    <row r="98" spans="1:51" ht="14.45" x14ac:dyDescent="0.35">
      <c r="A98">
        <v>218</v>
      </c>
      <c r="B98" t="s">
        <v>357</v>
      </c>
      <c r="C98" t="s">
        <v>286</v>
      </c>
      <c r="D98" t="s">
        <v>1123</v>
      </c>
      <c r="E98" t="s">
        <v>287</v>
      </c>
      <c r="F98" t="s">
        <v>288</v>
      </c>
      <c r="G98" t="s">
        <v>282</v>
      </c>
      <c r="H98" t="s">
        <v>283</v>
      </c>
      <c r="I98" t="s">
        <v>358</v>
      </c>
      <c r="J98" t="s">
        <v>310</v>
      </c>
      <c r="K98" t="s">
        <v>310</v>
      </c>
      <c r="L98" t="s">
        <v>310</v>
      </c>
      <c r="M98">
        <v>1E-3</v>
      </c>
      <c r="N98">
        <v>1.9E-2</v>
      </c>
      <c r="O98">
        <v>2.3660000000000001</v>
      </c>
      <c r="P98">
        <v>7.6079999999999997</v>
      </c>
      <c r="Q98">
        <v>8.8840000000000003</v>
      </c>
      <c r="R98">
        <v>10.805999999999999</v>
      </c>
      <c r="S98">
        <v>12.694000000000001</v>
      </c>
      <c r="T98">
        <v>15.443</v>
      </c>
      <c r="U98">
        <v>19.132000000000001</v>
      </c>
      <c r="V98">
        <v>22.013999999999999</v>
      </c>
      <c r="W98">
        <v>24.459</v>
      </c>
      <c r="X98">
        <v>27.635999999999999</v>
      </c>
      <c r="Y98">
        <v>32.234999999999999</v>
      </c>
      <c r="Z98">
        <v>37.536999999999999</v>
      </c>
      <c r="AA98">
        <v>41.643999999999998</v>
      </c>
      <c r="AB98">
        <v>46.822000000000003</v>
      </c>
      <c r="AC98">
        <v>48.155999999999999</v>
      </c>
      <c r="AD98">
        <v>51.927999999999997</v>
      </c>
      <c r="AE98">
        <v>53.79</v>
      </c>
      <c r="AF98">
        <v>56.682000000000002</v>
      </c>
      <c r="AG98">
        <v>61.904000000000003</v>
      </c>
      <c r="AH98">
        <v>69.626000000000005</v>
      </c>
      <c r="AI98">
        <v>77.024000000000001</v>
      </c>
      <c r="AJ98">
        <v>91.748000000000005</v>
      </c>
      <c r="AK98">
        <v>103.009</v>
      </c>
      <c r="AL98">
        <v>120.694</v>
      </c>
      <c r="AM98">
        <v>121.727</v>
      </c>
      <c r="AN98">
        <v>137.876</v>
      </c>
      <c r="AO98">
        <v>166.232</v>
      </c>
      <c r="AP98">
        <v>187.154</v>
      </c>
      <c r="AQ98">
        <v>211.85599999999999</v>
      </c>
      <c r="AR98">
        <v>228.00399999999999</v>
      </c>
      <c r="AS98">
        <v>230.065</v>
      </c>
      <c r="AT98">
        <v>241.68299999999999</v>
      </c>
      <c r="AU98">
        <v>262.07799999999997</v>
      </c>
      <c r="AV98">
        <v>284.202</v>
      </c>
      <c r="AW98">
        <v>308.03399999999999</v>
      </c>
      <c r="AX98">
        <v>333.577</v>
      </c>
      <c r="AY98">
        <v>2014</v>
      </c>
    </row>
    <row r="99" spans="1:51" ht="14.45" x14ac:dyDescent="0.35">
      <c r="A99">
        <v>218</v>
      </c>
      <c r="B99" t="s">
        <v>357</v>
      </c>
      <c r="C99" t="s">
        <v>289</v>
      </c>
      <c r="D99" t="s">
        <v>1123</v>
      </c>
      <c r="E99" t="s">
        <v>287</v>
      </c>
      <c r="F99" t="s">
        <v>290</v>
      </c>
      <c r="G99" t="s">
        <v>291</v>
      </c>
      <c r="H99" t="s">
        <v>283</v>
      </c>
      <c r="I99" t="s">
        <v>292</v>
      </c>
      <c r="J99">
        <v>3.589</v>
      </c>
      <c r="K99">
        <v>3.44</v>
      </c>
      <c r="L99">
        <v>3.8130000000000002</v>
      </c>
      <c r="M99">
        <v>3.609</v>
      </c>
      <c r="N99">
        <v>3.7519999999999998</v>
      </c>
      <c r="O99">
        <v>4.0590000000000002</v>
      </c>
      <c r="P99">
        <v>3.97</v>
      </c>
      <c r="Q99">
        <v>4.3230000000000004</v>
      </c>
      <c r="R99">
        <v>4.5979999999999999</v>
      </c>
      <c r="S99">
        <v>4.7160000000000002</v>
      </c>
      <c r="T99">
        <v>4.8680000000000003</v>
      </c>
      <c r="U99">
        <v>5.343</v>
      </c>
      <c r="V99">
        <v>5.6429999999999998</v>
      </c>
      <c r="W99">
        <v>5.734</v>
      </c>
      <c r="X99">
        <v>5.97</v>
      </c>
      <c r="Y99">
        <v>6.702</v>
      </c>
      <c r="Z99">
        <v>7.375</v>
      </c>
      <c r="AA99">
        <v>7.9169999999999998</v>
      </c>
      <c r="AB99">
        <v>8.49</v>
      </c>
      <c r="AC99">
        <v>8.2690000000000001</v>
      </c>
      <c r="AD99">
        <v>8.3849999999999998</v>
      </c>
      <c r="AE99">
        <v>8.1549999999999994</v>
      </c>
      <c r="AF99">
        <v>7.9169999999999998</v>
      </c>
      <c r="AG99">
        <v>8.0920000000000005</v>
      </c>
      <c r="AH99">
        <v>8.7850000000000001</v>
      </c>
      <c r="AI99">
        <v>9.5730000000000004</v>
      </c>
      <c r="AJ99">
        <v>11.52</v>
      </c>
      <c r="AK99">
        <v>13.215999999999999</v>
      </c>
      <c r="AL99">
        <v>16.792000000000002</v>
      </c>
      <c r="AM99">
        <v>17.463999999999999</v>
      </c>
      <c r="AN99">
        <v>19.786000000000001</v>
      </c>
      <c r="AO99">
        <v>24.135000000000002</v>
      </c>
      <c r="AP99">
        <v>27.282</v>
      </c>
      <c r="AQ99">
        <v>30.882999999999999</v>
      </c>
      <c r="AR99">
        <v>33.237000000000002</v>
      </c>
      <c r="AS99">
        <v>33.536999999999999</v>
      </c>
      <c r="AT99">
        <v>35.231000000000002</v>
      </c>
      <c r="AU99">
        <v>38.204000000000001</v>
      </c>
      <c r="AV99">
        <v>41.429000000000002</v>
      </c>
      <c r="AW99">
        <v>44.902999999999999</v>
      </c>
      <c r="AX99">
        <v>48.625999999999998</v>
      </c>
      <c r="AY99">
        <v>2014</v>
      </c>
    </row>
    <row r="100" spans="1:51" ht="14.45" x14ac:dyDescent="0.35">
      <c r="A100">
        <v>218</v>
      </c>
      <c r="B100" t="s">
        <v>357</v>
      </c>
      <c r="C100" t="s">
        <v>293</v>
      </c>
      <c r="D100" t="s">
        <v>1123</v>
      </c>
      <c r="E100" t="s">
        <v>294</v>
      </c>
      <c r="F100" t="s">
        <v>295</v>
      </c>
      <c r="G100" t="s">
        <v>296</v>
      </c>
      <c r="I100" t="s">
        <v>297</v>
      </c>
      <c r="J100">
        <v>1E-3</v>
      </c>
      <c r="K100">
        <v>1E-3</v>
      </c>
      <c r="L100">
        <v>2E-3</v>
      </c>
      <c r="M100">
        <v>8.9999999999999993E-3</v>
      </c>
      <c r="N100">
        <v>0.13700000000000001</v>
      </c>
      <c r="O100">
        <v>17.094000000000001</v>
      </c>
      <c r="P100">
        <v>56.412999999999997</v>
      </c>
      <c r="Q100">
        <v>64.296000000000006</v>
      </c>
      <c r="R100">
        <v>75.988</v>
      </c>
      <c r="S100">
        <v>86.007999999999996</v>
      </c>
      <c r="T100">
        <v>100</v>
      </c>
      <c r="U100">
        <v>117.68899999999999</v>
      </c>
      <c r="V100">
        <v>133.22399999999999</v>
      </c>
      <c r="W100">
        <v>141.959</v>
      </c>
      <c r="X100">
        <v>153.24799999999999</v>
      </c>
      <c r="Y100">
        <v>170.76</v>
      </c>
      <c r="Z100">
        <v>190.535</v>
      </c>
      <c r="AA100">
        <v>201.405</v>
      </c>
      <c r="AB100">
        <v>215.60599999999999</v>
      </c>
      <c r="AC100">
        <v>220.80500000000001</v>
      </c>
      <c r="AD100">
        <v>232.27699999999999</v>
      </c>
      <c r="AE100">
        <v>236.62100000000001</v>
      </c>
      <c r="AF100">
        <v>243.29499999999999</v>
      </c>
      <c r="AG100">
        <v>258.69600000000003</v>
      </c>
      <c r="AH100">
        <v>279.30799999999999</v>
      </c>
      <c r="AI100">
        <v>295.90100000000001</v>
      </c>
      <c r="AJ100">
        <v>336.33199999999999</v>
      </c>
      <c r="AK100">
        <v>361.13099999999997</v>
      </c>
      <c r="AL100">
        <v>398.62099999999998</v>
      </c>
      <c r="AM100">
        <v>388.97500000000002</v>
      </c>
      <c r="AN100">
        <v>423.11700000000002</v>
      </c>
      <c r="AO100">
        <v>484.90199999999999</v>
      </c>
      <c r="AP100">
        <v>519.33100000000002</v>
      </c>
      <c r="AQ100">
        <v>550.46699999999998</v>
      </c>
      <c r="AR100">
        <v>561.74900000000002</v>
      </c>
      <c r="AS100">
        <v>544.50199999999995</v>
      </c>
      <c r="AT100">
        <v>552.65800000000002</v>
      </c>
      <c r="AU100">
        <v>579.029</v>
      </c>
      <c r="AV100">
        <v>606.67600000000004</v>
      </c>
      <c r="AW100">
        <v>635.31200000000001</v>
      </c>
      <c r="AX100">
        <v>664.72900000000004</v>
      </c>
      <c r="AY100">
        <v>2014</v>
      </c>
    </row>
    <row r="101" spans="1:51" ht="14.45" x14ac:dyDescent="0.35">
      <c r="A101">
        <v>218</v>
      </c>
      <c r="B101" t="s">
        <v>357</v>
      </c>
      <c r="C101" t="s">
        <v>298</v>
      </c>
      <c r="D101" t="s">
        <v>1123</v>
      </c>
      <c r="E101" t="s">
        <v>299</v>
      </c>
      <c r="F101" t="s">
        <v>300</v>
      </c>
      <c r="G101" t="s">
        <v>282</v>
      </c>
      <c r="H101" t="s">
        <v>283</v>
      </c>
      <c r="I101" t="s">
        <v>359</v>
      </c>
      <c r="J101" t="s">
        <v>285</v>
      </c>
      <c r="K101" t="s">
        <v>310</v>
      </c>
      <c r="L101" t="s">
        <v>310</v>
      </c>
      <c r="M101" t="s">
        <v>310</v>
      </c>
      <c r="N101">
        <v>6.0000000000000001E-3</v>
      </c>
      <c r="O101">
        <v>0.51500000000000001</v>
      </c>
      <c r="P101">
        <v>1.6910000000000001</v>
      </c>
      <c r="Q101">
        <v>2.169</v>
      </c>
      <c r="R101">
        <v>2.5910000000000002</v>
      </c>
      <c r="S101">
        <v>3.0979999999999999</v>
      </c>
      <c r="T101">
        <v>3.5169999999999999</v>
      </c>
      <c r="U101">
        <v>4.6260000000000003</v>
      </c>
      <c r="V101">
        <v>5.5590000000000002</v>
      </c>
      <c r="W101">
        <v>6.6479999999999997</v>
      </c>
      <c r="X101">
        <v>7.3970000000000002</v>
      </c>
      <c r="Y101">
        <v>8.31</v>
      </c>
      <c r="Z101">
        <v>9.7769999999999992</v>
      </c>
      <c r="AA101">
        <v>11.776999999999999</v>
      </c>
      <c r="AB101">
        <v>14.034000000000001</v>
      </c>
      <c r="AC101">
        <v>14.141</v>
      </c>
      <c r="AD101">
        <v>15.223000000000001</v>
      </c>
      <c r="AE101">
        <v>17.189</v>
      </c>
      <c r="AF101">
        <v>18.870999999999999</v>
      </c>
      <c r="AG101">
        <v>19.803000000000001</v>
      </c>
      <c r="AH101">
        <v>22.52</v>
      </c>
      <c r="AI101">
        <v>25.558</v>
      </c>
      <c r="AJ101">
        <v>27.372</v>
      </c>
      <c r="AK101">
        <v>33.634999999999998</v>
      </c>
      <c r="AL101">
        <v>42.645000000000003</v>
      </c>
      <c r="AM101">
        <v>43.601999999999997</v>
      </c>
      <c r="AN101">
        <v>43.43</v>
      </c>
      <c r="AO101">
        <v>58.773000000000003</v>
      </c>
      <c r="AP101">
        <v>67.447000000000003</v>
      </c>
      <c r="AQ101">
        <v>81.418000000000006</v>
      </c>
      <c r="AR101">
        <v>98.626999999999995</v>
      </c>
      <c r="AS101">
        <v>92.951999999999998</v>
      </c>
      <c r="AT101">
        <v>92.509</v>
      </c>
      <c r="AU101">
        <v>100.601</v>
      </c>
      <c r="AV101">
        <v>108.252</v>
      </c>
      <c r="AW101">
        <v>116.16</v>
      </c>
      <c r="AX101">
        <v>124.4</v>
      </c>
      <c r="AY101">
        <v>2014</v>
      </c>
    </row>
    <row r="102" spans="1:51" ht="14.45" x14ac:dyDescent="0.35">
      <c r="A102">
        <v>963</v>
      </c>
      <c r="B102" t="s">
        <v>360</v>
      </c>
      <c r="C102" t="s">
        <v>279</v>
      </c>
      <c r="D102" t="s">
        <v>65</v>
      </c>
      <c r="E102" t="s">
        <v>280</v>
      </c>
      <c r="F102" t="s">
        <v>281</v>
      </c>
      <c r="G102" t="s">
        <v>282</v>
      </c>
      <c r="H102" t="s">
        <v>283</v>
      </c>
      <c r="I102" t="s">
        <v>361</v>
      </c>
      <c r="J102" t="s">
        <v>285</v>
      </c>
      <c r="K102" t="s">
        <v>285</v>
      </c>
      <c r="L102" t="s">
        <v>285</v>
      </c>
      <c r="M102" t="s">
        <v>285</v>
      </c>
      <c r="N102" t="s">
        <v>285</v>
      </c>
      <c r="O102" t="s">
        <v>285</v>
      </c>
      <c r="P102" t="s">
        <v>285</v>
      </c>
      <c r="Q102" t="s">
        <v>285</v>
      </c>
      <c r="R102" t="s">
        <v>285</v>
      </c>
      <c r="S102" t="s">
        <v>285</v>
      </c>
      <c r="T102" t="s">
        <v>285</v>
      </c>
      <c r="U102" t="s">
        <v>285</v>
      </c>
      <c r="V102" t="s">
        <v>285</v>
      </c>
      <c r="W102" t="s">
        <v>285</v>
      </c>
      <c r="X102" t="s">
        <v>285</v>
      </c>
      <c r="Y102" t="s">
        <v>285</v>
      </c>
      <c r="Z102">
        <v>10.718</v>
      </c>
      <c r="AA102">
        <v>13.167</v>
      </c>
      <c r="AB102">
        <v>14.986000000000001</v>
      </c>
      <c r="AC102">
        <v>16.597000000000001</v>
      </c>
      <c r="AD102">
        <v>17.334</v>
      </c>
      <c r="AE102">
        <v>17.742999999999999</v>
      </c>
      <c r="AF102">
        <v>18.64</v>
      </c>
      <c r="AG102">
        <v>19.359000000000002</v>
      </c>
      <c r="AH102">
        <v>20.57</v>
      </c>
      <c r="AI102">
        <v>21.442</v>
      </c>
      <c r="AJ102">
        <v>22.661999999999999</v>
      </c>
      <c r="AK102">
        <v>24.016999999999999</v>
      </c>
      <c r="AL102">
        <v>25.36</v>
      </c>
      <c r="AM102">
        <v>24.670999999999999</v>
      </c>
      <c r="AN102">
        <v>24.879000000000001</v>
      </c>
      <c r="AO102">
        <v>25.117000000000001</v>
      </c>
      <c r="AP102">
        <v>24.814</v>
      </c>
      <c r="AQ102">
        <v>25.423999999999999</v>
      </c>
      <c r="AR102">
        <v>25.690999999999999</v>
      </c>
      <c r="AS102">
        <v>26.218</v>
      </c>
      <c r="AT102">
        <v>27.004999999999999</v>
      </c>
      <c r="AU102">
        <v>27.95</v>
      </c>
      <c r="AV102">
        <v>28.984000000000002</v>
      </c>
      <c r="AW102">
        <v>30.114000000000001</v>
      </c>
      <c r="AX102">
        <v>31.318999999999999</v>
      </c>
      <c r="AY102">
        <v>2014</v>
      </c>
    </row>
    <row r="103" spans="1:51" ht="14.45" x14ac:dyDescent="0.35">
      <c r="A103">
        <v>963</v>
      </c>
      <c r="B103" t="s">
        <v>360</v>
      </c>
      <c r="C103" t="s">
        <v>286</v>
      </c>
      <c r="D103" t="s">
        <v>65</v>
      </c>
      <c r="E103" t="s">
        <v>287</v>
      </c>
      <c r="F103" t="s">
        <v>288</v>
      </c>
      <c r="G103" t="s">
        <v>282</v>
      </c>
      <c r="H103" t="s">
        <v>283</v>
      </c>
      <c r="I103" t="s">
        <v>361</v>
      </c>
      <c r="J103" t="s">
        <v>285</v>
      </c>
      <c r="K103" t="s">
        <v>285</v>
      </c>
      <c r="L103" t="s">
        <v>285</v>
      </c>
      <c r="M103" t="s">
        <v>285</v>
      </c>
      <c r="N103" t="s">
        <v>285</v>
      </c>
      <c r="O103" t="s">
        <v>285</v>
      </c>
      <c r="P103" t="s">
        <v>285</v>
      </c>
      <c r="Q103" t="s">
        <v>285</v>
      </c>
      <c r="R103" t="s">
        <v>285</v>
      </c>
      <c r="S103" t="s">
        <v>285</v>
      </c>
      <c r="T103" t="s">
        <v>285</v>
      </c>
      <c r="U103" t="s">
        <v>285</v>
      </c>
      <c r="V103" t="s">
        <v>285</v>
      </c>
      <c r="W103" t="s">
        <v>285</v>
      </c>
      <c r="X103" t="s">
        <v>285</v>
      </c>
      <c r="Y103" t="s">
        <v>285</v>
      </c>
      <c r="Z103">
        <v>5.5209999999999999</v>
      </c>
      <c r="AA103">
        <v>7.8940000000000001</v>
      </c>
      <c r="AB103">
        <v>9.2189999999999994</v>
      </c>
      <c r="AC103">
        <v>10.571</v>
      </c>
      <c r="AD103">
        <v>11.79</v>
      </c>
      <c r="AE103">
        <v>12.641</v>
      </c>
      <c r="AF103">
        <v>13.946</v>
      </c>
      <c r="AG103">
        <v>14.69</v>
      </c>
      <c r="AH103">
        <v>15.997999999999999</v>
      </c>
      <c r="AI103">
        <v>17.198</v>
      </c>
      <c r="AJ103">
        <v>19.425999999999998</v>
      </c>
      <c r="AK103">
        <v>21.896000000000001</v>
      </c>
      <c r="AL103">
        <v>24.984000000000002</v>
      </c>
      <c r="AM103">
        <v>24.306999999999999</v>
      </c>
      <c r="AN103">
        <v>24.879000000000001</v>
      </c>
      <c r="AO103">
        <v>25.771999999999998</v>
      </c>
      <c r="AP103">
        <v>25.734000000000002</v>
      </c>
      <c r="AQ103">
        <v>26.282</v>
      </c>
      <c r="AR103">
        <v>26.779</v>
      </c>
      <c r="AS103">
        <v>27.381</v>
      </c>
      <c r="AT103">
        <v>28.620999999999999</v>
      </c>
      <c r="AU103">
        <v>30.137</v>
      </c>
      <c r="AV103">
        <v>31.893999999999998</v>
      </c>
      <c r="AW103">
        <v>33.942999999999998</v>
      </c>
      <c r="AX103">
        <v>36.195999999999998</v>
      </c>
      <c r="AY103">
        <v>2014</v>
      </c>
    </row>
    <row r="104" spans="1:51" ht="14.45" x14ac:dyDescent="0.35">
      <c r="A104">
        <v>963</v>
      </c>
      <c r="B104" t="s">
        <v>360</v>
      </c>
      <c r="C104" t="s">
        <v>289</v>
      </c>
      <c r="D104" t="s">
        <v>65</v>
      </c>
      <c r="E104" t="s">
        <v>287</v>
      </c>
      <c r="F104" t="s">
        <v>290</v>
      </c>
      <c r="G104" t="s">
        <v>291</v>
      </c>
      <c r="H104" t="s">
        <v>283</v>
      </c>
      <c r="I104" t="s">
        <v>292</v>
      </c>
      <c r="J104" t="s">
        <v>285</v>
      </c>
      <c r="K104" t="s">
        <v>285</v>
      </c>
      <c r="L104" t="s">
        <v>285</v>
      </c>
      <c r="M104" t="s">
        <v>285</v>
      </c>
      <c r="N104" t="s">
        <v>285</v>
      </c>
      <c r="O104" t="s">
        <v>285</v>
      </c>
      <c r="P104" t="s">
        <v>285</v>
      </c>
      <c r="Q104" t="s">
        <v>285</v>
      </c>
      <c r="R104" t="s">
        <v>285</v>
      </c>
      <c r="S104" t="s">
        <v>285</v>
      </c>
      <c r="T104" t="s">
        <v>285</v>
      </c>
      <c r="U104" t="s">
        <v>285</v>
      </c>
      <c r="V104" t="s">
        <v>285</v>
      </c>
      <c r="W104" t="s">
        <v>285</v>
      </c>
      <c r="X104" t="s">
        <v>285</v>
      </c>
      <c r="Y104" t="s">
        <v>285</v>
      </c>
      <c r="Z104">
        <v>3.5840000000000001</v>
      </c>
      <c r="AA104">
        <v>4.5780000000000003</v>
      </c>
      <c r="AB104">
        <v>5.2809999999999997</v>
      </c>
      <c r="AC104">
        <v>5.766</v>
      </c>
      <c r="AD104">
        <v>5.5540000000000003</v>
      </c>
      <c r="AE104">
        <v>5.7839999999999998</v>
      </c>
      <c r="AF104">
        <v>6.7110000000000003</v>
      </c>
      <c r="AG104">
        <v>8.4770000000000003</v>
      </c>
      <c r="AH104">
        <v>10.157</v>
      </c>
      <c r="AI104">
        <v>10.935</v>
      </c>
      <c r="AJ104">
        <v>12.46</v>
      </c>
      <c r="AK104">
        <v>15.323</v>
      </c>
      <c r="AL104">
        <v>18.712</v>
      </c>
      <c r="AM104">
        <v>17.265000000000001</v>
      </c>
      <c r="AN104">
        <v>16.847000000000001</v>
      </c>
      <c r="AO104">
        <v>18.318000000000001</v>
      </c>
      <c r="AP104">
        <v>16.905999999999999</v>
      </c>
      <c r="AQ104">
        <v>17.841999999999999</v>
      </c>
      <c r="AR104">
        <v>18.164999999999999</v>
      </c>
      <c r="AS104">
        <v>15.568</v>
      </c>
      <c r="AT104">
        <v>16.306000000000001</v>
      </c>
      <c r="AU104">
        <v>17.356000000000002</v>
      </c>
      <c r="AV104">
        <v>18.556000000000001</v>
      </c>
      <c r="AW104">
        <v>19.896999999999998</v>
      </c>
      <c r="AX104">
        <v>21.559000000000001</v>
      </c>
      <c r="AY104">
        <v>2014</v>
      </c>
    </row>
    <row r="105" spans="1:51" ht="14.45" x14ac:dyDescent="0.35">
      <c r="A105">
        <v>963</v>
      </c>
      <c r="B105" t="s">
        <v>360</v>
      </c>
      <c r="C105" t="s">
        <v>293</v>
      </c>
      <c r="D105" t="s">
        <v>65</v>
      </c>
      <c r="E105" t="s">
        <v>294</v>
      </c>
      <c r="F105" t="s">
        <v>295</v>
      </c>
      <c r="G105" t="s">
        <v>296</v>
      </c>
      <c r="I105" t="s">
        <v>297</v>
      </c>
      <c r="J105" t="s">
        <v>285</v>
      </c>
      <c r="K105" t="s">
        <v>285</v>
      </c>
      <c r="L105" t="s">
        <v>285</v>
      </c>
      <c r="M105" t="s">
        <v>285</v>
      </c>
      <c r="N105" t="s">
        <v>285</v>
      </c>
      <c r="O105" t="s">
        <v>285</v>
      </c>
      <c r="P105" t="s">
        <v>285</v>
      </c>
      <c r="Q105" t="s">
        <v>285</v>
      </c>
      <c r="R105" t="s">
        <v>285</v>
      </c>
      <c r="S105" t="s">
        <v>285</v>
      </c>
      <c r="T105" t="s">
        <v>285</v>
      </c>
      <c r="U105" t="s">
        <v>285</v>
      </c>
      <c r="V105" t="s">
        <v>285</v>
      </c>
      <c r="W105" t="s">
        <v>285</v>
      </c>
      <c r="X105" t="s">
        <v>285</v>
      </c>
      <c r="Y105" t="s">
        <v>285</v>
      </c>
      <c r="Z105">
        <v>51.514000000000003</v>
      </c>
      <c r="AA105">
        <v>59.954999999999998</v>
      </c>
      <c r="AB105">
        <v>61.515000000000001</v>
      </c>
      <c r="AC105">
        <v>63.694000000000003</v>
      </c>
      <c r="AD105">
        <v>68.016999999999996</v>
      </c>
      <c r="AE105">
        <v>71.245000000000005</v>
      </c>
      <c r="AF105">
        <v>74.819999999999993</v>
      </c>
      <c r="AG105">
        <v>75.88</v>
      </c>
      <c r="AH105">
        <v>77.772999999999996</v>
      </c>
      <c r="AI105">
        <v>80.206999999999994</v>
      </c>
      <c r="AJ105">
        <v>85.721000000000004</v>
      </c>
      <c r="AK105">
        <v>91.168999999999997</v>
      </c>
      <c r="AL105">
        <v>98.516000000000005</v>
      </c>
      <c r="AM105">
        <v>98.525999999999996</v>
      </c>
      <c r="AN105">
        <v>100</v>
      </c>
      <c r="AO105">
        <v>102.60899999999999</v>
      </c>
      <c r="AP105">
        <v>103.71</v>
      </c>
      <c r="AQ105">
        <v>103.374</v>
      </c>
      <c r="AR105">
        <v>104.232</v>
      </c>
      <c r="AS105">
        <v>104.437</v>
      </c>
      <c r="AT105">
        <v>105.985</v>
      </c>
      <c r="AU105">
        <v>107.82599999999999</v>
      </c>
      <c r="AV105">
        <v>110.041</v>
      </c>
      <c r="AW105">
        <v>112.715</v>
      </c>
      <c r="AX105">
        <v>115.572</v>
      </c>
      <c r="AY105">
        <v>2014</v>
      </c>
    </row>
    <row r="106" spans="1:51" ht="14.45" x14ac:dyDescent="0.35">
      <c r="A106">
        <v>963</v>
      </c>
      <c r="B106" t="s">
        <v>360</v>
      </c>
      <c r="C106" t="s">
        <v>298</v>
      </c>
      <c r="D106" t="s">
        <v>65</v>
      </c>
      <c r="E106" t="s">
        <v>299</v>
      </c>
      <c r="F106" t="s">
        <v>300</v>
      </c>
      <c r="G106" t="s">
        <v>282</v>
      </c>
      <c r="H106" t="s">
        <v>283</v>
      </c>
      <c r="I106" t="s">
        <v>362</v>
      </c>
      <c r="J106" t="s">
        <v>285</v>
      </c>
      <c r="K106" t="s">
        <v>285</v>
      </c>
      <c r="L106" t="s">
        <v>285</v>
      </c>
      <c r="M106" t="s">
        <v>285</v>
      </c>
      <c r="N106" t="s">
        <v>285</v>
      </c>
      <c r="O106" t="s">
        <v>285</v>
      </c>
      <c r="P106" t="s">
        <v>285</v>
      </c>
      <c r="Q106" t="s">
        <v>285</v>
      </c>
      <c r="R106" t="s">
        <v>285</v>
      </c>
      <c r="S106" t="s">
        <v>285</v>
      </c>
      <c r="T106" t="s">
        <v>285</v>
      </c>
      <c r="U106" t="s">
        <v>285</v>
      </c>
      <c r="V106" t="s">
        <v>285</v>
      </c>
      <c r="W106" t="s">
        <v>285</v>
      </c>
      <c r="X106" t="s">
        <v>285</v>
      </c>
      <c r="Y106" t="s">
        <v>285</v>
      </c>
      <c r="Z106" t="s">
        <v>285</v>
      </c>
      <c r="AA106" t="s">
        <v>285</v>
      </c>
      <c r="AB106">
        <v>5.0170000000000003</v>
      </c>
      <c r="AC106">
        <v>6.0789999999999997</v>
      </c>
      <c r="AD106">
        <v>6.6379999999999999</v>
      </c>
      <c r="AE106">
        <v>6.3650000000000002</v>
      </c>
      <c r="AF106">
        <v>6.6319999999999997</v>
      </c>
      <c r="AG106">
        <v>6.907</v>
      </c>
      <c r="AH106">
        <v>7.335</v>
      </c>
      <c r="AI106">
        <v>7.931</v>
      </c>
      <c r="AJ106">
        <v>8.86</v>
      </c>
      <c r="AK106">
        <v>10.122999999999999</v>
      </c>
      <c r="AL106">
        <v>12.176</v>
      </c>
      <c r="AM106">
        <v>12.25</v>
      </c>
      <c r="AN106">
        <v>12.670999999999999</v>
      </c>
      <c r="AO106">
        <v>12.566000000000001</v>
      </c>
      <c r="AP106">
        <v>12.595000000000001</v>
      </c>
      <c r="AQ106">
        <v>12.403</v>
      </c>
      <c r="AR106">
        <v>13.077</v>
      </c>
      <c r="AS106">
        <v>13.169</v>
      </c>
      <c r="AT106">
        <v>13.87</v>
      </c>
      <c r="AU106">
        <v>14.541</v>
      </c>
      <c r="AV106">
        <v>15.257999999999999</v>
      </c>
      <c r="AW106">
        <v>16.218</v>
      </c>
      <c r="AX106">
        <v>17.178999999999998</v>
      </c>
      <c r="AY106">
        <v>2014</v>
      </c>
    </row>
    <row r="107" spans="1:51" ht="14.45" x14ac:dyDescent="0.35">
      <c r="A107">
        <v>616</v>
      </c>
      <c r="B107" t="s">
        <v>363</v>
      </c>
      <c r="C107" t="s">
        <v>279</v>
      </c>
      <c r="D107" t="s">
        <v>66</v>
      </c>
      <c r="E107" t="s">
        <v>280</v>
      </c>
      <c r="F107" t="s">
        <v>281</v>
      </c>
      <c r="G107" t="s">
        <v>282</v>
      </c>
      <c r="H107" t="s">
        <v>283</v>
      </c>
      <c r="I107" t="s">
        <v>364</v>
      </c>
      <c r="J107">
        <v>10.837</v>
      </c>
      <c r="K107">
        <v>11.721</v>
      </c>
      <c r="L107">
        <v>13.581</v>
      </c>
      <c r="M107">
        <v>15.047000000000001</v>
      </c>
      <c r="N107">
        <v>16.027999999999999</v>
      </c>
      <c r="O107">
        <v>17.260999999999999</v>
      </c>
      <c r="P107">
        <v>18.748000000000001</v>
      </c>
      <c r="Q107">
        <v>21.54</v>
      </c>
      <c r="R107">
        <v>26.584</v>
      </c>
      <c r="S107">
        <v>27.824999999999999</v>
      </c>
      <c r="T107">
        <v>30.27</v>
      </c>
      <c r="U107">
        <v>32.158000000000001</v>
      </c>
      <c r="V107">
        <v>32.091000000000001</v>
      </c>
      <c r="W107">
        <v>33.383000000000003</v>
      </c>
      <c r="X107">
        <v>33.119999999999997</v>
      </c>
      <c r="Y107">
        <v>35.448999999999998</v>
      </c>
      <c r="Z107">
        <v>37.515999999999998</v>
      </c>
      <c r="AA107">
        <v>40.527000000000001</v>
      </c>
      <c r="AB107">
        <v>40.819000000000003</v>
      </c>
      <c r="AC107">
        <v>44.765999999999998</v>
      </c>
      <c r="AD107">
        <v>45.655000000000001</v>
      </c>
      <c r="AE107">
        <v>45.77</v>
      </c>
      <c r="AF107">
        <v>48.548000000000002</v>
      </c>
      <c r="AG107">
        <v>50.792999999999999</v>
      </c>
      <c r="AH107">
        <v>52.167999999999999</v>
      </c>
      <c r="AI107">
        <v>54.545000000000002</v>
      </c>
      <c r="AJ107">
        <v>59.106999999999999</v>
      </c>
      <c r="AK107">
        <v>64.001000000000005</v>
      </c>
      <c r="AL107">
        <v>67.995999999999995</v>
      </c>
      <c r="AM107">
        <v>62.792999999999999</v>
      </c>
      <c r="AN107">
        <v>68.17</v>
      </c>
      <c r="AO107">
        <v>72.293000000000006</v>
      </c>
      <c r="AP107">
        <v>75.786000000000001</v>
      </c>
      <c r="AQ107">
        <v>82.850999999999999</v>
      </c>
      <c r="AR107">
        <v>86.513999999999996</v>
      </c>
      <c r="AS107">
        <v>88.754000000000005</v>
      </c>
      <c r="AT107">
        <v>91.626999999999995</v>
      </c>
      <c r="AU107">
        <v>94.853999999999999</v>
      </c>
      <c r="AV107">
        <v>98.602999999999994</v>
      </c>
      <c r="AW107">
        <v>102.747</v>
      </c>
      <c r="AX107">
        <v>107.273</v>
      </c>
      <c r="AY107">
        <v>2012</v>
      </c>
    </row>
    <row r="108" spans="1:51" ht="14.45" x14ac:dyDescent="0.35">
      <c r="A108">
        <v>616</v>
      </c>
      <c r="B108" t="s">
        <v>363</v>
      </c>
      <c r="C108" t="s">
        <v>286</v>
      </c>
      <c r="D108" t="s">
        <v>66</v>
      </c>
      <c r="E108" t="s">
        <v>287</v>
      </c>
      <c r="F108" t="s">
        <v>288</v>
      </c>
      <c r="G108" t="s">
        <v>282</v>
      </c>
      <c r="H108" t="s">
        <v>283</v>
      </c>
      <c r="I108" t="s">
        <v>364</v>
      </c>
      <c r="J108">
        <v>0.879</v>
      </c>
      <c r="K108">
        <v>0.91800000000000004</v>
      </c>
      <c r="L108">
        <v>1.173</v>
      </c>
      <c r="M108">
        <v>1.399</v>
      </c>
      <c r="N108">
        <v>1.823</v>
      </c>
      <c r="O108">
        <v>2.419</v>
      </c>
      <c r="P108">
        <v>2.8149999999999999</v>
      </c>
      <c r="Q108">
        <v>3.7839999999999998</v>
      </c>
      <c r="R108">
        <v>5.8869999999999996</v>
      </c>
      <c r="S108">
        <v>6.54</v>
      </c>
      <c r="T108">
        <v>7.5650000000000004</v>
      </c>
      <c r="U108">
        <v>8.3770000000000007</v>
      </c>
      <c r="V108">
        <v>9.1189999999999998</v>
      </c>
      <c r="W108">
        <v>11.041</v>
      </c>
      <c r="X108">
        <v>11.433999999999999</v>
      </c>
      <c r="Y108">
        <v>13.114000000000001</v>
      </c>
      <c r="Z108">
        <v>16.114999999999998</v>
      </c>
      <c r="AA108">
        <v>18.327999999999999</v>
      </c>
      <c r="AB108">
        <v>20.244</v>
      </c>
      <c r="AC108">
        <v>25.361000000000001</v>
      </c>
      <c r="AD108">
        <v>29.530999999999999</v>
      </c>
      <c r="AE108">
        <v>32.066000000000003</v>
      </c>
      <c r="AF108">
        <v>34.415999999999997</v>
      </c>
      <c r="AG108">
        <v>37.180999999999997</v>
      </c>
      <c r="AH108">
        <v>42.036999999999999</v>
      </c>
      <c r="AI108">
        <v>50.752000000000002</v>
      </c>
      <c r="AJ108">
        <v>59.106999999999999</v>
      </c>
      <c r="AK108">
        <v>67.153000000000006</v>
      </c>
      <c r="AL108">
        <v>74.721000000000004</v>
      </c>
      <c r="AM108">
        <v>73.462000000000003</v>
      </c>
      <c r="AN108">
        <v>86.867000000000004</v>
      </c>
      <c r="AO108">
        <v>107.24299999999999</v>
      </c>
      <c r="AP108">
        <v>112.705</v>
      </c>
      <c r="AQ108">
        <v>125.81</v>
      </c>
      <c r="AR108">
        <v>141.94200000000001</v>
      </c>
      <c r="AS108">
        <v>152.49600000000001</v>
      </c>
      <c r="AT108">
        <v>165.53200000000001</v>
      </c>
      <c r="AU108">
        <v>179.155</v>
      </c>
      <c r="AV108">
        <v>194.59</v>
      </c>
      <c r="AW108">
        <v>211.65899999999999</v>
      </c>
      <c r="AX108">
        <v>229.97499999999999</v>
      </c>
      <c r="AY108">
        <v>2012</v>
      </c>
    </row>
    <row r="109" spans="1:51" ht="14.45" x14ac:dyDescent="0.35">
      <c r="A109">
        <v>616</v>
      </c>
      <c r="B109" t="s">
        <v>363</v>
      </c>
      <c r="C109" t="s">
        <v>289</v>
      </c>
      <c r="D109" t="s">
        <v>66</v>
      </c>
      <c r="E109" t="s">
        <v>287</v>
      </c>
      <c r="F109" t="s">
        <v>290</v>
      </c>
      <c r="G109" t="s">
        <v>291</v>
      </c>
      <c r="H109" t="s">
        <v>283</v>
      </c>
      <c r="I109" t="s">
        <v>292</v>
      </c>
      <c r="J109">
        <v>1.175</v>
      </c>
      <c r="K109">
        <v>1.038</v>
      </c>
      <c r="L109">
        <v>1.095</v>
      </c>
      <c r="M109">
        <v>1.21</v>
      </c>
      <c r="N109">
        <v>1.2010000000000001</v>
      </c>
      <c r="O109">
        <v>1.1180000000000001</v>
      </c>
      <c r="P109">
        <v>1.516</v>
      </c>
      <c r="Q109">
        <v>2.3759999999999999</v>
      </c>
      <c r="R109">
        <v>3.0840000000000001</v>
      </c>
      <c r="S109">
        <v>3.444</v>
      </c>
      <c r="T109">
        <v>4.0789999999999997</v>
      </c>
      <c r="U109">
        <v>4</v>
      </c>
      <c r="V109">
        <v>4.0990000000000002</v>
      </c>
      <c r="W109">
        <v>4.3380000000000001</v>
      </c>
      <c r="X109">
        <v>4.2610000000000001</v>
      </c>
      <c r="Y109">
        <v>4.7320000000000002</v>
      </c>
      <c r="Z109">
        <v>4.8810000000000002</v>
      </c>
      <c r="AA109">
        <v>5.024</v>
      </c>
      <c r="AB109">
        <v>4.819</v>
      </c>
      <c r="AC109">
        <v>5.4850000000000003</v>
      </c>
      <c r="AD109">
        <v>5.8040000000000003</v>
      </c>
      <c r="AE109">
        <v>5.516</v>
      </c>
      <c r="AF109">
        <v>5.4560000000000004</v>
      </c>
      <c r="AG109">
        <v>7.5380000000000003</v>
      </c>
      <c r="AH109">
        <v>8.9689999999999994</v>
      </c>
      <c r="AI109">
        <v>10.026999999999999</v>
      </c>
      <c r="AJ109">
        <v>10.164999999999999</v>
      </c>
      <c r="AK109">
        <v>10.942</v>
      </c>
      <c r="AL109">
        <v>11.028</v>
      </c>
      <c r="AM109">
        <v>10.317</v>
      </c>
      <c r="AN109">
        <v>12.794</v>
      </c>
      <c r="AO109">
        <v>15.725</v>
      </c>
      <c r="AP109">
        <v>14.807</v>
      </c>
      <c r="AQ109">
        <v>15.097</v>
      </c>
      <c r="AR109">
        <v>15.217000000000001</v>
      </c>
      <c r="AS109">
        <v>13.090999999999999</v>
      </c>
      <c r="AT109">
        <v>13.010999999999999</v>
      </c>
      <c r="AU109">
        <v>13.843</v>
      </c>
      <c r="AV109">
        <v>14.814</v>
      </c>
      <c r="AW109">
        <v>16.065000000000001</v>
      </c>
      <c r="AX109">
        <v>17.456</v>
      </c>
      <c r="AY109">
        <v>2012</v>
      </c>
    </row>
    <row r="110" spans="1:51" ht="14.45" x14ac:dyDescent="0.35">
      <c r="A110">
        <v>616</v>
      </c>
      <c r="B110" t="s">
        <v>363</v>
      </c>
      <c r="C110" t="s">
        <v>293</v>
      </c>
      <c r="D110" t="s">
        <v>66</v>
      </c>
      <c r="E110" t="s">
        <v>294</v>
      </c>
      <c r="F110" t="s">
        <v>295</v>
      </c>
      <c r="G110" t="s">
        <v>296</v>
      </c>
      <c r="I110" t="s">
        <v>297</v>
      </c>
      <c r="J110">
        <v>8.1140000000000008</v>
      </c>
      <c r="K110">
        <v>7.8289999999999997</v>
      </c>
      <c r="L110">
        <v>8.6329999999999991</v>
      </c>
      <c r="M110">
        <v>9.2989999999999995</v>
      </c>
      <c r="N110">
        <v>11.374000000000001</v>
      </c>
      <c r="O110">
        <v>14.013999999999999</v>
      </c>
      <c r="P110">
        <v>15.013999999999999</v>
      </c>
      <c r="Q110">
        <v>17.568000000000001</v>
      </c>
      <c r="R110">
        <v>22.146000000000001</v>
      </c>
      <c r="S110">
        <v>23.503</v>
      </c>
      <c r="T110">
        <v>24.992000000000001</v>
      </c>
      <c r="U110">
        <v>26.047999999999998</v>
      </c>
      <c r="V110">
        <v>28.417000000000002</v>
      </c>
      <c r="W110">
        <v>33.075000000000003</v>
      </c>
      <c r="X110">
        <v>34.523000000000003</v>
      </c>
      <c r="Y110">
        <v>36.994999999999997</v>
      </c>
      <c r="Z110">
        <v>42.956000000000003</v>
      </c>
      <c r="AA110">
        <v>45.223999999999997</v>
      </c>
      <c r="AB110">
        <v>49.594000000000001</v>
      </c>
      <c r="AC110">
        <v>56.654000000000003</v>
      </c>
      <c r="AD110">
        <v>64.682000000000002</v>
      </c>
      <c r="AE110">
        <v>70.06</v>
      </c>
      <c r="AF110">
        <v>70.891000000000005</v>
      </c>
      <c r="AG110">
        <v>73.200999999999993</v>
      </c>
      <c r="AH110">
        <v>80.58</v>
      </c>
      <c r="AI110">
        <v>93.046999999999997</v>
      </c>
      <c r="AJ110">
        <v>100</v>
      </c>
      <c r="AK110">
        <v>104.92400000000001</v>
      </c>
      <c r="AL110">
        <v>109.89</v>
      </c>
      <c r="AM110">
        <v>116.992</v>
      </c>
      <c r="AN110">
        <v>127.42700000000001</v>
      </c>
      <c r="AO110">
        <v>148.34399999999999</v>
      </c>
      <c r="AP110">
        <v>148.714</v>
      </c>
      <c r="AQ110">
        <v>151.85</v>
      </c>
      <c r="AR110">
        <v>164.06899999999999</v>
      </c>
      <c r="AS110">
        <v>171.81899999999999</v>
      </c>
      <c r="AT110">
        <v>180.65899999999999</v>
      </c>
      <c r="AU110">
        <v>188.874</v>
      </c>
      <c r="AV110">
        <v>197.34700000000001</v>
      </c>
      <c r="AW110">
        <v>206.001</v>
      </c>
      <c r="AX110">
        <v>214.38200000000001</v>
      </c>
      <c r="AY110">
        <v>2012</v>
      </c>
    </row>
    <row r="111" spans="1:51" ht="14.45" x14ac:dyDescent="0.35">
      <c r="A111">
        <v>616</v>
      </c>
      <c r="B111" t="s">
        <v>363</v>
      </c>
      <c r="C111" t="s">
        <v>298</v>
      </c>
      <c r="D111" t="s">
        <v>66</v>
      </c>
      <c r="E111" t="s">
        <v>299</v>
      </c>
      <c r="F111" t="s">
        <v>300</v>
      </c>
      <c r="G111" t="s">
        <v>282</v>
      </c>
      <c r="H111" t="s">
        <v>283</v>
      </c>
      <c r="I111" t="s">
        <v>365</v>
      </c>
      <c r="J111">
        <v>0.29099999999999998</v>
      </c>
      <c r="K111">
        <v>0.33600000000000002</v>
      </c>
      <c r="L111">
        <v>0.40500000000000003</v>
      </c>
      <c r="M111">
        <v>0.46</v>
      </c>
      <c r="N111">
        <v>0.59</v>
      </c>
      <c r="O111">
        <v>0.71</v>
      </c>
      <c r="P111">
        <v>0.95899999999999996</v>
      </c>
      <c r="Q111">
        <v>1.266</v>
      </c>
      <c r="R111">
        <v>1.71</v>
      </c>
      <c r="S111">
        <v>2.16</v>
      </c>
      <c r="T111">
        <v>2.83</v>
      </c>
      <c r="U111">
        <v>3.3420000000000001</v>
      </c>
      <c r="V111">
        <v>3.7610000000000001</v>
      </c>
      <c r="W111">
        <v>4.41</v>
      </c>
      <c r="X111">
        <v>4.4340000000000002</v>
      </c>
      <c r="Y111">
        <v>5.032</v>
      </c>
      <c r="Z111">
        <v>5.9939999999999998</v>
      </c>
      <c r="AA111">
        <v>7.2519999999999998</v>
      </c>
      <c r="AB111">
        <v>8.8640000000000008</v>
      </c>
      <c r="AC111">
        <v>10.335000000000001</v>
      </c>
      <c r="AD111">
        <v>11.536</v>
      </c>
      <c r="AE111">
        <v>13.670999999999999</v>
      </c>
      <c r="AF111">
        <v>15.71</v>
      </c>
      <c r="AG111">
        <v>16.276</v>
      </c>
      <c r="AH111">
        <v>17.382999999999999</v>
      </c>
      <c r="AI111">
        <v>17.632000000000001</v>
      </c>
      <c r="AJ111">
        <v>19.736999999999998</v>
      </c>
      <c r="AK111">
        <v>24.821999999999999</v>
      </c>
      <c r="AL111">
        <v>35.15</v>
      </c>
      <c r="AM111">
        <v>39.49</v>
      </c>
      <c r="AN111">
        <v>38.417000000000002</v>
      </c>
      <c r="AO111">
        <v>38.667999999999999</v>
      </c>
      <c r="AP111">
        <v>40.735999999999997</v>
      </c>
      <c r="AQ111">
        <v>41.73</v>
      </c>
      <c r="AR111">
        <v>51.15</v>
      </c>
      <c r="AS111">
        <v>54.209000000000003</v>
      </c>
      <c r="AT111">
        <v>54.466999999999999</v>
      </c>
      <c r="AU111">
        <v>55.244</v>
      </c>
      <c r="AV111">
        <v>57.148000000000003</v>
      </c>
      <c r="AW111">
        <v>58.99</v>
      </c>
      <c r="AX111">
        <v>65.981999999999999</v>
      </c>
      <c r="AY111">
        <v>2012</v>
      </c>
    </row>
    <row r="112" spans="1:51" ht="14.45" x14ac:dyDescent="0.35">
      <c r="A112">
        <v>223</v>
      </c>
      <c r="B112" t="s">
        <v>366</v>
      </c>
      <c r="C112" t="s">
        <v>279</v>
      </c>
      <c r="D112" t="s">
        <v>67</v>
      </c>
      <c r="E112" t="s">
        <v>280</v>
      </c>
      <c r="F112" t="s">
        <v>281</v>
      </c>
      <c r="G112" t="s">
        <v>282</v>
      </c>
      <c r="H112" t="s">
        <v>283</v>
      </c>
      <c r="I112" t="s">
        <v>367</v>
      </c>
      <c r="J112">
        <v>534.04300000000001</v>
      </c>
      <c r="K112">
        <v>510.54500000000002</v>
      </c>
      <c r="L112">
        <v>513.58699999999999</v>
      </c>
      <c r="M112">
        <v>496.125</v>
      </c>
      <c r="N112">
        <v>522.45600000000002</v>
      </c>
      <c r="O112">
        <v>563.73299999999995</v>
      </c>
      <c r="P112">
        <v>606.26400000000001</v>
      </c>
      <c r="Q112">
        <v>628.09400000000005</v>
      </c>
      <c r="R112">
        <v>629.75400000000002</v>
      </c>
      <c r="S112">
        <v>649.90599999999995</v>
      </c>
      <c r="T112">
        <v>622.81500000000005</v>
      </c>
      <c r="U112">
        <v>629.23900000000003</v>
      </c>
      <c r="V112">
        <v>626.30100000000004</v>
      </c>
      <c r="W112">
        <v>655.51900000000001</v>
      </c>
      <c r="X112">
        <v>690.48800000000006</v>
      </c>
      <c r="Y112">
        <v>720.98500000000001</v>
      </c>
      <c r="Z112">
        <v>736.77499999999998</v>
      </c>
      <c r="AA112">
        <v>761.73900000000003</v>
      </c>
      <c r="AB112">
        <v>764.44200000000001</v>
      </c>
      <c r="AC112">
        <v>768.19100000000003</v>
      </c>
      <c r="AD112">
        <v>801.86099999999999</v>
      </c>
      <c r="AE112">
        <v>812.11699999999996</v>
      </c>
      <c r="AF112">
        <v>837.06299999999999</v>
      </c>
      <c r="AG112">
        <v>847.30200000000002</v>
      </c>
      <c r="AH112">
        <v>895.26499999999999</v>
      </c>
      <c r="AI112">
        <v>923.45600000000002</v>
      </c>
      <c r="AJ112">
        <v>960.38800000000003</v>
      </c>
      <c r="AK112" s="21">
        <v>1018.067</v>
      </c>
      <c r="AL112" s="21">
        <v>1069.1669999999999</v>
      </c>
      <c r="AM112" s="21">
        <v>1066.644</v>
      </c>
      <c r="AN112" s="21">
        <v>1147.4110000000001</v>
      </c>
      <c r="AO112" s="21">
        <v>1192.348</v>
      </c>
      <c r="AP112" s="21">
        <v>1213.3630000000001</v>
      </c>
      <c r="AQ112" s="21">
        <v>1246.654</v>
      </c>
      <c r="AR112" s="21">
        <v>1248.4580000000001</v>
      </c>
      <c r="AS112" s="21">
        <v>1210.6859999999999</v>
      </c>
      <c r="AT112" s="21">
        <v>1198.048</v>
      </c>
      <c r="AU112" s="21">
        <v>1225.1030000000001</v>
      </c>
      <c r="AV112" s="21">
        <v>1254.05</v>
      </c>
      <c r="AW112" s="21">
        <v>1284.808</v>
      </c>
      <c r="AX112" s="21">
        <v>1317.2809999999999</v>
      </c>
      <c r="AY112">
        <v>2014</v>
      </c>
    </row>
    <row r="113" spans="1:51" ht="14.45" x14ac:dyDescent="0.35">
      <c r="A113">
        <v>223</v>
      </c>
      <c r="B113" t="s">
        <v>366</v>
      </c>
      <c r="C113" t="s">
        <v>286</v>
      </c>
      <c r="D113" t="s">
        <v>67</v>
      </c>
      <c r="E113" t="s">
        <v>287</v>
      </c>
      <c r="F113" t="s">
        <v>288</v>
      </c>
      <c r="G113" t="s">
        <v>282</v>
      </c>
      <c r="H113" t="s">
        <v>283</v>
      </c>
      <c r="I113" t="s">
        <v>367</v>
      </c>
      <c r="J113" t="s">
        <v>310</v>
      </c>
      <c r="K113" t="s">
        <v>310</v>
      </c>
      <c r="L113" t="s">
        <v>310</v>
      </c>
      <c r="M113" t="s">
        <v>310</v>
      </c>
      <c r="N113" t="s">
        <v>310</v>
      </c>
      <c r="O113" t="s">
        <v>310</v>
      </c>
      <c r="P113" t="s">
        <v>310</v>
      </c>
      <c r="Q113" t="s">
        <v>310</v>
      </c>
      <c r="R113" t="s">
        <v>310</v>
      </c>
      <c r="S113" t="s">
        <v>310</v>
      </c>
      <c r="T113">
        <v>1.2E-2</v>
      </c>
      <c r="U113">
        <v>6.2E-2</v>
      </c>
      <c r="V113">
        <v>0.65500000000000003</v>
      </c>
      <c r="W113">
        <v>14.404</v>
      </c>
      <c r="X113">
        <v>356.80099999999999</v>
      </c>
      <c r="Y113">
        <v>720.98500000000001</v>
      </c>
      <c r="Z113">
        <v>857.85699999999997</v>
      </c>
      <c r="AA113">
        <v>955.46400000000006</v>
      </c>
      <c r="AB113" s="21">
        <v>1005.985</v>
      </c>
      <c r="AC113" s="21">
        <v>1092.277</v>
      </c>
      <c r="AD113" s="21">
        <v>1202.377</v>
      </c>
      <c r="AE113" s="21">
        <v>1316.319</v>
      </c>
      <c r="AF113" s="21">
        <v>1491.183</v>
      </c>
      <c r="AG113" s="21">
        <v>1720.069</v>
      </c>
      <c r="AH113" s="21">
        <v>1958.7049999999999</v>
      </c>
      <c r="AI113" s="21">
        <v>2171.7359999999999</v>
      </c>
      <c r="AJ113" s="21">
        <v>2409.8020000000001</v>
      </c>
      <c r="AK113" s="21">
        <v>2718.0309999999999</v>
      </c>
      <c r="AL113" s="21">
        <v>3107.53</v>
      </c>
      <c r="AM113" s="21">
        <v>3328.174</v>
      </c>
      <c r="AN113" s="21">
        <v>3886.835</v>
      </c>
      <c r="AO113" s="21">
        <v>4374.7650000000003</v>
      </c>
      <c r="AP113" s="21">
        <v>4713.0950000000003</v>
      </c>
      <c r="AQ113" s="21">
        <v>5157.5690000000004</v>
      </c>
      <c r="AR113" s="21">
        <v>5521.2560000000003</v>
      </c>
      <c r="AS113" s="21">
        <v>5845.8249999999998</v>
      </c>
      <c r="AT113" s="21">
        <v>6145.3440000000001</v>
      </c>
      <c r="AU113" s="21">
        <v>6621.0159999999996</v>
      </c>
      <c r="AV113" s="21">
        <v>7151.174</v>
      </c>
      <c r="AW113" s="21">
        <v>7717.5010000000002</v>
      </c>
      <c r="AX113" s="21">
        <v>8314.3379999999997</v>
      </c>
      <c r="AY113">
        <v>2014</v>
      </c>
    </row>
    <row r="114" spans="1:51" ht="14.45" x14ac:dyDescent="0.35">
      <c r="A114">
        <v>223</v>
      </c>
      <c r="B114" t="s">
        <v>366</v>
      </c>
      <c r="C114" t="s">
        <v>289</v>
      </c>
      <c r="D114" t="s">
        <v>67</v>
      </c>
      <c r="E114" t="s">
        <v>287</v>
      </c>
      <c r="F114" t="s">
        <v>290</v>
      </c>
      <c r="G114" t="s">
        <v>291</v>
      </c>
      <c r="H114" t="s">
        <v>283</v>
      </c>
      <c r="I114" t="s">
        <v>292</v>
      </c>
      <c r="J114">
        <v>152.154</v>
      </c>
      <c r="K114">
        <v>174.864</v>
      </c>
      <c r="L114">
        <v>186.95</v>
      </c>
      <c r="M114">
        <v>149.893</v>
      </c>
      <c r="N114">
        <v>149.16800000000001</v>
      </c>
      <c r="O114">
        <v>236.798</v>
      </c>
      <c r="P114">
        <v>274.69400000000002</v>
      </c>
      <c r="Q114">
        <v>298.98899999999998</v>
      </c>
      <c r="R114">
        <v>334.01299999999998</v>
      </c>
      <c r="S114">
        <v>458.52699999999999</v>
      </c>
      <c r="T114">
        <v>475.11900000000003</v>
      </c>
      <c r="U114">
        <v>416.596</v>
      </c>
      <c r="V114">
        <v>399.08199999999999</v>
      </c>
      <c r="W114">
        <v>447.83199999999999</v>
      </c>
      <c r="X114">
        <v>558.37400000000002</v>
      </c>
      <c r="Y114">
        <v>786.47900000000004</v>
      </c>
      <c r="Z114">
        <v>853.87900000000002</v>
      </c>
      <c r="AA114">
        <v>886.66600000000005</v>
      </c>
      <c r="AB114">
        <v>867.149</v>
      </c>
      <c r="AC114">
        <v>601.95500000000004</v>
      </c>
      <c r="AD114">
        <v>657.24900000000002</v>
      </c>
      <c r="AE114">
        <v>560.221</v>
      </c>
      <c r="AF114">
        <v>510.61799999999999</v>
      </c>
      <c r="AG114">
        <v>558.92100000000005</v>
      </c>
      <c r="AH114">
        <v>669.61599999999999</v>
      </c>
      <c r="AI114">
        <v>892.10599999999999</v>
      </c>
      <c r="AJ114" s="21">
        <v>1107.789</v>
      </c>
      <c r="AK114" s="21">
        <v>1395.9680000000001</v>
      </c>
      <c r="AL114" s="21">
        <v>1694.616</v>
      </c>
      <c r="AM114" s="21">
        <v>1666.768</v>
      </c>
      <c r="AN114" s="21">
        <v>2209.2660000000001</v>
      </c>
      <c r="AO114" s="21">
        <v>2613.0610000000001</v>
      </c>
      <c r="AP114" s="21">
        <v>2412.0239999999999</v>
      </c>
      <c r="AQ114" s="21">
        <v>2391.029</v>
      </c>
      <c r="AR114" s="21">
        <v>2346.5830000000001</v>
      </c>
      <c r="AS114" s="21">
        <v>1799.6120000000001</v>
      </c>
      <c r="AT114" s="21">
        <v>1672.8979999999999</v>
      </c>
      <c r="AU114" s="21">
        <v>1759.2670000000001</v>
      </c>
      <c r="AV114" s="21">
        <v>1854.6780000000001</v>
      </c>
      <c r="AW114" s="21">
        <v>1953.672</v>
      </c>
      <c r="AX114" s="21">
        <v>2054.4070000000002</v>
      </c>
      <c r="AY114">
        <v>2014</v>
      </c>
    </row>
    <row r="115" spans="1:51" ht="14.45" x14ac:dyDescent="0.35">
      <c r="A115">
        <v>223</v>
      </c>
      <c r="B115" t="s">
        <v>366</v>
      </c>
      <c r="C115" t="s">
        <v>293</v>
      </c>
      <c r="D115" t="s">
        <v>67</v>
      </c>
      <c r="E115" t="s">
        <v>294</v>
      </c>
      <c r="F115" t="s">
        <v>295</v>
      </c>
      <c r="G115" t="s">
        <v>296</v>
      </c>
      <c r="I115" t="s">
        <v>297</v>
      </c>
      <c r="J115" t="s">
        <v>310</v>
      </c>
      <c r="K115" t="s">
        <v>310</v>
      </c>
      <c r="L115" t="s">
        <v>310</v>
      </c>
      <c r="M115" t="s">
        <v>310</v>
      </c>
      <c r="N115" t="s">
        <v>310</v>
      </c>
      <c r="O115" t="s">
        <v>310</v>
      </c>
      <c r="P115" t="s">
        <v>310</v>
      </c>
      <c r="Q115" t="s">
        <v>310</v>
      </c>
      <c r="R115" t="s">
        <v>310</v>
      </c>
      <c r="S115" t="s">
        <v>310</v>
      </c>
      <c r="T115">
        <v>2E-3</v>
      </c>
      <c r="U115">
        <v>0.01</v>
      </c>
      <c r="V115">
        <v>0.105</v>
      </c>
      <c r="W115">
        <v>2.1970000000000001</v>
      </c>
      <c r="X115">
        <v>51.673999999999999</v>
      </c>
      <c r="Y115">
        <v>100</v>
      </c>
      <c r="Z115">
        <v>116.434</v>
      </c>
      <c r="AA115">
        <v>125.432</v>
      </c>
      <c r="AB115">
        <v>131.59700000000001</v>
      </c>
      <c r="AC115">
        <v>142.18799999999999</v>
      </c>
      <c r="AD115">
        <v>149.94800000000001</v>
      </c>
      <c r="AE115">
        <v>162.08500000000001</v>
      </c>
      <c r="AF115">
        <v>178.14500000000001</v>
      </c>
      <c r="AG115">
        <v>203.005</v>
      </c>
      <c r="AH115">
        <v>218.785</v>
      </c>
      <c r="AI115">
        <v>235.17500000000001</v>
      </c>
      <c r="AJ115">
        <v>250.92</v>
      </c>
      <c r="AK115">
        <v>266.98</v>
      </c>
      <c r="AL115">
        <v>290.64999999999998</v>
      </c>
      <c r="AM115">
        <v>312.02300000000002</v>
      </c>
      <c r="AN115">
        <v>338.74799999999999</v>
      </c>
      <c r="AO115">
        <v>366.90300000000002</v>
      </c>
      <c r="AP115">
        <v>388.43200000000002</v>
      </c>
      <c r="AQ115">
        <v>413.71300000000002</v>
      </c>
      <c r="AR115">
        <v>442.24599999999998</v>
      </c>
      <c r="AS115">
        <v>482.85199999999998</v>
      </c>
      <c r="AT115">
        <v>512.947</v>
      </c>
      <c r="AU115">
        <v>540.44600000000003</v>
      </c>
      <c r="AV115">
        <v>570.24599999999998</v>
      </c>
      <c r="AW115">
        <v>600.67399999999998</v>
      </c>
      <c r="AX115">
        <v>631.17399999999998</v>
      </c>
      <c r="AY115">
        <v>2014</v>
      </c>
    </row>
    <row r="116" spans="1:51" ht="14.45" x14ac:dyDescent="0.35">
      <c r="A116">
        <v>223</v>
      </c>
      <c r="B116" t="s">
        <v>366</v>
      </c>
      <c r="C116" t="s">
        <v>298</v>
      </c>
      <c r="D116" t="s">
        <v>67</v>
      </c>
      <c r="E116" t="s">
        <v>299</v>
      </c>
      <c r="F116" t="s">
        <v>300</v>
      </c>
      <c r="G116" t="s">
        <v>282</v>
      </c>
      <c r="H116" t="s">
        <v>283</v>
      </c>
      <c r="I116" t="s">
        <v>368</v>
      </c>
      <c r="J116" t="s">
        <v>285</v>
      </c>
      <c r="K116" t="s">
        <v>285</v>
      </c>
      <c r="L116" t="s">
        <v>285</v>
      </c>
      <c r="M116" t="s">
        <v>285</v>
      </c>
      <c r="N116" t="s">
        <v>285</v>
      </c>
      <c r="O116" t="s">
        <v>285</v>
      </c>
      <c r="P116" t="s">
        <v>285</v>
      </c>
      <c r="Q116" t="s">
        <v>285</v>
      </c>
      <c r="R116" t="s">
        <v>285</v>
      </c>
      <c r="S116" t="s">
        <v>285</v>
      </c>
      <c r="T116" t="s">
        <v>285</v>
      </c>
      <c r="U116" t="s">
        <v>285</v>
      </c>
      <c r="V116" t="s">
        <v>285</v>
      </c>
      <c r="W116" t="s">
        <v>285</v>
      </c>
      <c r="X116" t="s">
        <v>285</v>
      </c>
      <c r="Y116" t="s">
        <v>285</v>
      </c>
      <c r="Z116">
        <v>326.94099999999997</v>
      </c>
      <c r="AA116">
        <v>367.51499999999999</v>
      </c>
      <c r="AB116">
        <v>409.96600000000001</v>
      </c>
      <c r="AC116">
        <v>430.61</v>
      </c>
      <c r="AD116">
        <v>413.47</v>
      </c>
      <c r="AE116">
        <v>476.74799999999999</v>
      </c>
      <c r="AF116">
        <v>579.41499999999996</v>
      </c>
      <c r="AG116">
        <v>704.30600000000004</v>
      </c>
      <c r="AH116">
        <v>748.63</v>
      </c>
      <c r="AI116">
        <v>863.68200000000002</v>
      </c>
      <c r="AJ116">
        <v>944.67700000000002</v>
      </c>
      <c r="AK116" s="21">
        <v>1023.659</v>
      </c>
      <c r="AL116" s="21">
        <v>1163.527</v>
      </c>
      <c r="AM116" s="21">
        <v>1236.769</v>
      </c>
      <c r="AN116" s="21">
        <v>1507.5920000000001</v>
      </c>
      <c r="AO116" s="21">
        <v>1644.4179999999999</v>
      </c>
      <c r="AP116" s="21">
        <v>1790.326</v>
      </c>
      <c r="AQ116" s="21">
        <v>1992.8879999999999</v>
      </c>
      <c r="AR116" s="21">
        <v>2221.011</v>
      </c>
      <c r="AS116" s="21">
        <v>2406.377</v>
      </c>
      <c r="AT116" s="21">
        <v>2590.0970000000002</v>
      </c>
      <c r="AU116" s="21">
        <v>2681.2779999999998</v>
      </c>
      <c r="AV116" s="21">
        <v>2826.1930000000002</v>
      </c>
      <c r="AW116" s="21">
        <v>3021.6930000000002</v>
      </c>
      <c r="AX116" s="21">
        <v>3258.846</v>
      </c>
      <c r="AY116">
        <v>2014</v>
      </c>
    </row>
    <row r="117" spans="1:51" ht="14.45" x14ac:dyDescent="0.35">
      <c r="A117">
        <v>516</v>
      </c>
      <c r="B117" t="s">
        <v>369</v>
      </c>
      <c r="C117" t="s">
        <v>279</v>
      </c>
      <c r="D117" t="s">
        <v>68</v>
      </c>
      <c r="E117" t="s">
        <v>280</v>
      </c>
      <c r="F117" t="s">
        <v>281</v>
      </c>
      <c r="G117" t="s">
        <v>282</v>
      </c>
      <c r="H117" t="s">
        <v>283</v>
      </c>
      <c r="I117" t="s">
        <v>370</v>
      </c>
      <c r="J117" t="s">
        <v>285</v>
      </c>
      <c r="K117" t="s">
        <v>285</v>
      </c>
      <c r="L117" t="s">
        <v>285</v>
      </c>
      <c r="M117" t="s">
        <v>285</v>
      </c>
      <c r="N117" t="s">
        <v>285</v>
      </c>
      <c r="O117">
        <v>13.037000000000001</v>
      </c>
      <c r="P117">
        <v>12.675000000000001</v>
      </c>
      <c r="Q117">
        <v>12.715</v>
      </c>
      <c r="R117">
        <v>12.669</v>
      </c>
      <c r="S117">
        <v>12.948</v>
      </c>
      <c r="T117">
        <v>13.089</v>
      </c>
      <c r="U117">
        <v>13.500999999999999</v>
      </c>
      <c r="V117">
        <v>14.143000000000001</v>
      </c>
      <c r="W117">
        <v>14.186</v>
      </c>
      <c r="X117">
        <v>14.632999999999999</v>
      </c>
      <c r="Y117">
        <v>15.288</v>
      </c>
      <c r="Z117">
        <v>15.728</v>
      </c>
      <c r="AA117">
        <v>15.496</v>
      </c>
      <c r="AB117">
        <v>15.41</v>
      </c>
      <c r="AC117">
        <v>15.88</v>
      </c>
      <c r="AD117">
        <v>16.332999999999998</v>
      </c>
      <c r="AE117">
        <v>16.780999999999999</v>
      </c>
      <c r="AF117">
        <v>17.431000000000001</v>
      </c>
      <c r="AG117">
        <v>17.937000000000001</v>
      </c>
      <c r="AH117">
        <v>18.027999999999999</v>
      </c>
      <c r="AI117">
        <v>18.097999999999999</v>
      </c>
      <c r="AJ117">
        <v>18.896000000000001</v>
      </c>
      <c r="AK117">
        <v>18.919</v>
      </c>
      <c r="AL117">
        <v>18.544</v>
      </c>
      <c r="AM117">
        <v>18.207000000000001</v>
      </c>
      <c r="AN117">
        <v>18.690000000000001</v>
      </c>
      <c r="AO117">
        <v>19.39</v>
      </c>
      <c r="AP117">
        <v>19.567</v>
      </c>
      <c r="AQ117">
        <v>19.151</v>
      </c>
      <c r="AR117">
        <v>18.702000000000002</v>
      </c>
      <c r="AS117">
        <v>18.486000000000001</v>
      </c>
      <c r="AT117">
        <v>19.076000000000001</v>
      </c>
      <c r="AU117">
        <v>19.792999999999999</v>
      </c>
      <c r="AV117">
        <v>20.873000000000001</v>
      </c>
      <c r="AW117">
        <v>23.221</v>
      </c>
      <c r="AX117">
        <v>24.390999999999998</v>
      </c>
      <c r="AY117">
        <v>2014</v>
      </c>
    </row>
    <row r="118" spans="1:51" ht="14.45" x14ac:dyDescent="0.35">
      <c r="A118">
        <v>516</v>
      </c>
      <c r="B118" t="s">
        <v>369</v>
      </c>
      <c r="C118" t="s">
        <v>286</v>
      </c>
      <c r="D118" t="s">
        <v>68</v>
      </c>
      <c r="E118" t="s">
        <v>287</v>
      </c>
      <c r="F118" t="s">
        <v>288</v>
      </c>
      <c r="G118" t="s">
        <v>282</v>
      </c>
      <c r="H118" t="s">
        <v>283</v>
      </c>
      <c r="I118" t="s">
        <v>370</v>
      </c>
      <c r="J118" t="s">
        <v>285</v>
      </c>
      <c r="K118" t="s">
        <v>285</v>
      </c>
      <c r="L118" t="s">
        <v>285</v>
      </c>
      <c r="M118" t="s">
        <v>285</v>
      </c>
      <c r="N118" t="s">
        <v>285</v>
      </c>
      <c r="O118">
        <v>9.7539999999999996</v>
      </c>
      <c r="P118">
        <v>5.8869999999999996</v>
      </c>
      <c r="Q118">
        <v>6.54</v>
      </c>
      <c r="R118">
        <v>5.9470000000000001</v>
      </c>
      <c r="S118">
        <v>6.4640000000000004</v>
      </c>
      <c r="T118">
        <v>7.0839999999999996</v>
      </c>
      <c r="U118">
        <v>7.0979999999999999</v>
      </c>
      <c r="V118">
        <v>7.5679999999999996</v>
      </c>
      <c r="W118">
        <v>7.3639999999999999</v>
      </c>
      <c r="X118">
        <v>6.93</v>
      </c>
      <c r="Y118">
        <v>7.4489999999999998</v>
      </c>
      <c r="Z118">
        <v>8.0069999999999997</v>
      </c>
      <c r="AA118">
        <v>8.5649999999999995</v>
      </c>
      <c r="AB118">
        <v>7.524</v>
      </c>
      <c r="AC118">
        <v>8.6539999999999999</v>
      </c>
      <c r="AD118">
        <v>11.484999999999999</v>
      </c>
      <c r="AE118">
        <v>11.14</v>
      </c>
      <c r="AF118">
        <v>11.615</v>
      </c>
      <c r="AG118">
        <v>12.682</v>
      </c>
      <c r="AH118">
        <v>14.771000000000001</v>
      </c>
      <c r="AI118">
        <v>17.611000000000001</v>
      </c>
      <c r="AJ118">
        <v>20.236999999999998</v>
      </c>
      <c r="AK118">
        <v>20.460999999999999</v>
      </c>
      <c r="AL118">
        <v>22.681000000000001</v>
      </c>
      <c r="AM118">
        <v>17.297999999999998</v>
      </c>
      <c r="AN118">
        <v>18.690000000000001</v>
      </c>
      <c r="AO118">
        <v>23.303000000000001</v>
      </c>
      <c r="AP118">
        <v>23.802</v>
      </c>
      <c r="AQ118">
        <v>22.638999999999999</v>
      </c>
      <c r="AR118">
        <v>21.672000000000001</v>
      </c>
      <c r="AS118">
        <v>15.78</v>
      </c>
      <c r="AT118">
        <v>16.181000000000001</v>
      </c>
      <c r="AU118">
        <v>17.766999999999999</v>
      </c>
      <c r="AV118">
        <v>19.795999999999999</v>
      </c>
      <c r="AW118">
        <v>23.314</v>
      </c>
      <c r="AX118">
        <v>25.855</v>
      </c>
      <c r="AY118">
        <v>2014</v>
      </c>
    </row>
    <row r="119" spans="1:51" ht="14.45" x14ac:dyDescent="0.35">
      <c r="A119">
        <v>516</v>
      </c>
      <c r="B119" t="s">
        <v>369</v>
      </c>
      <c r="C119" t="s">
        <v>289</v>
      </c>
      <c r="D119" t="s">
        <v>68</v>
      </c>
      <c r="E119" t="s">
        <v>287</v>
      </c>
      <c r="F119" t="s">
        <v>290</v>
      </c>
      <c r="G119" t="s">
        <v>291</v>
      </c>
      <c r="H119" t="s">
        <v>283</v>
      </c>
      <c r="I119" t="s">
        <v>292</v>
      </c>
      <c r="J119" t="s">
        <v>285</v>
      </c>
      <c r="K119" t="s">
        <v>285</v>
      </c>
      <c r="L119" t="s">
        <v>285</v>
      </c>
      <c r="M119" t="s">
        <v>285</v>
      </c>
      <c r="N119" t="s">
        <v>285</v>
      </c>
      <c r="O119">
        <v>4.4340000000000002</v>
      </c>
      <c r="P119">
        <v>2.7040000000000002</v>
      </c>
      <c r="Q119">
        <v>3.1059999999999999</v>
      </c>
      <c r="R119">
        <v>2.9550000000000001</v>
      </c>
      <c r="S119">
        <v>3.3149999999999999</v>
      </c>
      <c r="T119">
        <v>3.9079999999999999</v>
      </c>
      <c r="U119">
        <v>4.109</v>
      </c>
      <c r="V119">
        <v>4.6429999999999998</v>
      </c>
      <c r="W119">
        <v>4.5579999999999998</v>
      </c>
      <c r="X119">
        <v>4.5369999999999999</v>
      </c>
      <c r="Y119">
        <v>5.2549999999999999</v>
      </c>
      <c r="Z119">
        <v>5.6790000000000003</v>
      </c>
      <c r="AA119">
        <v>5.7690000000000001</v>
      </c>
      <c r="AB119">
        <v>4.4960000000000004</v>
      </c>
      <c r="AC119">
        <v>5.1059999999999999</v>
      </c>
      <c r="AD119">
        <v>6.6619999999999999</v>
      </c>
      <c r="AE119">
        <v>6.218</v>
      </c>
      <c r="AF119">
        <v>6.4870000000000001</v>
      </c>
      <c r="AG119">
        <v>7.2789999999999999</v>
      </c>
      <c r="AH119">
        <v>8.7390000000000008</v>
      </c>
      <c r="AI119">
        <v>10.581</v>
      </c>
      <c r="AJ119">
        <v>12.736000000000001</v>
      </c>
      <c r="AK119">
        <v>13.576000000000001</v>
      </c>
      <c r="AL119">
        <v>16.030999999999999</v>
      </c>
      <c r="AM119">
        <v>11.893000000000001</v>
      </c>
      <c r="AN119">
        <v>13.707000000000001</v>
      </c>
      <c r="AO119">
        <v>18.527000000000001</v>
      </c>
      <c r="AP119">
        <v>19.047000000000001</v>
      </c>
      <c r="AQ119">
        <v>18.091999999999999</v>
      </c>
      <c r="AR119">
        <v>17.103999999999999</v>
      </c>
      <c r="AS119">
        <v>11.635999999999999</v>
      </c>
      <c r="AT119">
        <v>11.853</v>
      </c>
      <c r="AU119">
        <v>13.038</v>
      </c>
      <c r="AV119">
        <v>14.551</v>
      </c>
      <c r="AW119">
        <v>17.129000000000001</v>
      </c>
      <c r="AX119">
        <v>19.100000000000001</v>
      </c>
      <c r="AY119">
        <v>2014</v>
      </c>
    </row>
    <row r="120" spans="1:51" ht="14.45" x14ac:dyDescent="0.35">
      <c r="A120">
        <v>516</v>
      </c>
      <c r="B120" t="s">
        <v>369</v>
      </c>
      <c r="C120" t="s">
        <v>293</v>
      </c>
      <c r="D120" t="s">
        <v>68</v>
      </c>
      <c r="E120" t="s">
        <v>294</v>
      </c>
      <c r="F120" t="s">
        <v>295</v>
      </c>
      <c r="G120" t="s">
        <v>296</v>
      </c>
      <c r="I120" t="s">
        <v>297</v>
      </c>
      <c r="J120" t="s">
        <v>285</v>
      </c>
      <c r="K120" t="s">
        <v>285</v>
      </c>
      <c r="L120" t="s">
        <v>285</v>
      </c>
      <c r="M120" t="s">
        <v>285</v>
      </c>
      <c r="N120" t="s">
        <v>285</v>
      </c>
      <c r="O120">
        <v>74.819000000000003</v>
      </c>
      <c r="P120">
        <v>46.444000000000003</v>
      </c>
      <c r="Q120">
        <v>51.433</v>
      </c>
      <c r="R120">
        <v>46.94</v>
      </c>
      <c r="S120">
        <v>49.921999999999997</v>
      </c>
      <c r="T120">
        <v>54.119</v>
      </c>
      <c r="U120">
        <v>52.573999999999998</v>
      </c>
      <c r="V120">
        <v>53.506</v>
      </c>
      <c r="W120">
        <v>51.912999999999997</v>
      </c>
      <c r="X120">
        <v>47.362000000000002</v>
      </c>
      <c r="Y120">
        <v>48.722999999999999</v>
      </c>
      <c r="Z120">
        <v>50.908999999999999</v>
      </c>
      <c r="AA120">
        <v>55.274000000000001</v>
      </c>
      <c r="AB120">
        <v>48.828000000000003</v>
      </c>
      <c r="AC120">
        <v>54.497999999999998</v>
      </c>
      <c r="AD120">
        <v>70.317999999999998</v>
      </c>
      <c r="AE120">
        <v>66.385000000000005</v>
      </c>
      <c r="AF120">
        <v>66.634</v>
      </c>
      <c r="AG120">
        <v>70.701999999999998</v>
      </c>
      <c r="AH120">
        <v>81.933999999999997</v>
      </c>
      <c r="AI120">
        <v>97.31</v>
      </c>
      <c r="AJ120">
        <v>107.096</v>
      </c>
      <c r="AK120">
        <v>108.151</v>
      </c>
      <c r="AL120">
        <v>122.30800000000001</v>
      </c>
      <c r="AM120">
        <v>95.007999999999996</v>
      </c>
      <c r="AN120">
        <v>100</v>
      </c>
      <c r="AO120">
        <v>120.181</v>
      </c>
      <c r="AP120">
        <v>121.64700000000001</v>
      </c>
      <c r="AQ120">
        <v>118.21299999999999</v>
      </c>
      <c r="AR120">
        <v>115.878</v>
      </c>
      <c r="AS120">
        <v>85.366</v>
      </c>
      <c r="AT120">
        <v>84.823999999999998</v>
      </c>
      <c r="AU120">
        <v>89.766000000000005</v>
      </c>
      <c r="AV120">
        <v>94.838999999999999</v>
      </c>
      <c r="AW120">
        <v>100.40300000000001</v>
      </c>
      <c r="AX120">
        <v>106.005</v>
      </c>
      <c r="AY120">
        <v>2014</v>
      </c>
    </row>
    <row r="121" spans="1:51" ht="14.45" x14ac:dyDescent="0.35">
      <c r="A121">
        <v>516</v>
      </c>
      <c r="B121" t="s">
        <v>369</v>
      </c>
      <c r="C121" t="s">
        <v>298</v>
      </c>
      <c r="D121" t="s">
        <v>68</v>
      </c>
      <c r="E121" t="s">
        <v>299</v>
      </c>
      <c r="F121" t="s">
        <v>300</v>
      </c>
      <c r="G121" t="s">
        <v>282</v>
      </c>
      <c r="H121" t="s">
        <v>283</v>
      </c>
      <c r="I121" t="s">
        <v>371</v>
      </c>
      <c r="J121">
        <v>1.141</v>
      </c>
      <c r="K121">
        <v>1.3779999999999999</v>
      </c>
      <c r="L121">
        <v>2.165</v>
      </c>
      <c r="M121">
        <v>5.6310000000000002</v>
      </c>
      <c r="N121">
        <v>4.1369999999999996</v>
      </c>
      <c r="O121">
        <v>4.3179999999999996</v>
      </c>
      <c r="P121">
        <v>2.867</v>
      </c>
      <c r="Q121">
        <v>2.4729999999999999</v>
      </c>
      <c r="R121">
        <v>2.7130000000000001</v>
      </c>
      <c r="S121">
        <v>2.9009999999999998</v>
      </c>
      <c r="T121">
        <v>2.8519999999999999</v>
      </c>
      <c r="U121">
        <v>2.782</v>
      </c>
      <c r="V121">
        <v>3.0710000000000002</v>
      </c>
      <c r="W121">
        <v>3.427</v>
      </c>
      <c r="X121">
        <v>4.3140000000000001</v>
      </c>
      <c r="Y121">
        <v>4.4569999999999999</v>
      </c>
      <c r="Z121">
        <v>3.7440000000000002</v>
      </c>
      <c r="AA121">
        <v>4.0759999999999996</v>
      </c>
      <c r="AB121">
        <v>4.0659999999999998</v>
      </c>
      <c r="AC121">
        <v>4.3239999999999998</v>
      </c>
      <c r="AD121">
        <v>4.298</v>
      </c>
      <c r="AE121">
        <v>3.9449999999999998</v>
      </c>
      <c r="AF121">
        <v>4.8029999999999999</v>
      </c>
      <c r="AG121">
        <v>3.91</v>
      </c>
      <c r="AH121">
        <v>4.8879999999999999</v>
      </c>
      <c r="AI121">
        <v>5.1070000000000002</v>
      </c>
      <c r="AJ121">
        <v>5.6130000000000004</v>
      </c>
      <c r="AK121">
        <v>5.9980000000000002</v>
      </c>
      <c r="AL121">
        <v>6.1459999999999999</v>
      </c>
      <c r="AM121">
        <v>6.0380000000000003</v>
      </c>
      <c r="AN121">
        <v>6.7619999999999996</v>
      </c>
      <c r="AO121">
        <v>6.9219999999999997</v>
      </c>
      <c r="AP121">
        <v>7.3769999999999998</v>
      </c>
      <c r="AQ121">
        <v>7.6020000000000003</v>
      </c>
      <c r="AR121">
        <v>7.343</v>
      </c>
      <c r="AS121">
        <v>7.1059999999999999</v>
      </c>
      <c r="AT121">
        <v>7.1929999999999996</v>
      </c>
      <c r="AU121">
        <v>7.4160000000000004</v>
      </c>
      <c r="AV121">
        <v>7.7279999999999998</v>
      </c>
      <c r="AW121">
        <v>8.093</v>
      </c>
      <c r="AX121">
        <v>8.3390000000000004</v>
      </c>
      <c r="AY121">
        <v>2014</v>
      </c>
    </row>
    <row r="122" spans="1:51" ht="14.45" x14ac:dyDescent="0.35">
      <c r="A122">
        <v>918</v>
      </c>
      <c r="B122" t="s">
        <v>372</v>
      </c>
      <c r="C122" t="s">
        <v>279</v>
      </c>
      <c r="D122" t="s">
        <v>69</v>
      </c>
      <c r="E122" t="s">
        <v>280</v>
      </c>
      <c r="F122" t="s">
        <v>281</v>
      </c>
      <c r="G122" t="s">
        <v>282</v>
      </c>
      <c r="H122" t="s">
        <v>283</v>
      </c>
      <c r="I122" t="s">
        <v>373</v>
      </c>
      <c r="J122">
        <v>61.140999999999998</v>
      </c>
      <c r="K122">
        <v>64.382000000000005</v>
      </c>
      <c r="L122">
        <v>67.085999999999999</v>
      </c>
      <c r="M122">
        <v>69.097999999999999</v>
      </c>
      <c r="N122">
        <v>72.277000000000001</v>
      </c>
      <c r="O122">
        <v>73.578000000000003</v>
      </c>
      <c r="P122">
        <v>77.477999999999994</v>
      </c>
      <c r="Q122">
        <v>81.119</v>
      </c>
      <c r="R122">
        <v>83.066000000000003</v>
      </c>
      <c r="S122">
        <v>82.65</v>
      </c>
      <c r="T122">
        <v>75.129000000000005</v>
      </c>
      <c r="U122">
        <v>67.049000000000007</v>
      </c>
      <c r="V122">
        <v>61.399000000000001</v>
      </c>
      <c r="W122">
        <v>54.261000000000003</v>
      </c>
      <c r="X122">
        <v>52.273000000000003</v>
      </c>
      <c r="Y122">
        <v>51.436</v>
      </c>
      <c r="Z122">
        <v>47.298999999999999</v>
      </c>
      <c r="AA122">
        <v>46.783999999999999</v>
      </c>
      <c r="AB122">
        <v>48.404000000000003</v>
      </c>
      <c r="AC122">
        <v>45.670999999999999</v>
      </c>
      <c r="AD122">
        <v>48.429000000000002</v>
      </c>
      <c r="AE122">
        <v>50.268000000000001</v>
      </c>
      <c r="AF122">
        <v>52.521000000000001</v>
      </c>
      <c r="AG122">
        <v>55.334000000000003</v>
      </c>
      <c r="AH122">
        <v>58.963999999999999</v>
      </c>
      <c r="AI122">
        <v>62.475000000000001</v>
      </c>
      <c r="AJ122">
        <v>66.518000000000001</v>
      </c>
      <c r="AK122">
        <v>71.111999999999995</v>
      </c>
      <c r="AL122">
        <v>75.204999999999998</v>
      </c>
      <c r="AM122">
        <v>71.436000000000007</v>
      </c>
      <c r="AN122">
        <v>71.903999999999996</v>
      </c>
      <c r="AO122">
        <v>73.328999999999994</v>
      </c>
      <c r="AP122">
        <v>73.69</v>
      </c>
      <c r="AQ122">
        <v>74.474999999999994</v>
      </c>
      <c r="AR122">
        <v>75.745000000000005</v>
      </c>
      <c r="AS122">
        <v>77.033000000000001</v>
      </c>
      <c r="AT122">
        <v>78.497</v>
      </c>
      <c r="AU122">
        <v>80.066999999999993</v>
      </c>
      <c r="AV122">
        <v>81.668000000000006</v>
      </c>
      <c r="AW122">
        <v>83.546000000000006</v>
      </c>
      <c r="AX122">
        <v>85.635000000000005</v>
      </c>
      <c r="AY122">
        <v>2014</v>
      </c>
    </row>
    <row r="123" spans="1:51" ht="14.45" x14ac:dyDescent="0.35">
      <c r="A123">
        <v>918</v>
      </c>
      <c r="B123" t="s">
        <v>372</v>
      </c>
      <c r="C123" t="s">
        <v>286</v>
      </c>
      <c r="D123" t="s">
        <v>69</v>
      </c>
      <c r="E123" t="s">
        <v>287</v>
      </c>
      <c r="F123" t="s">
        <v>288</v>
      </c>
      <c r="G123" t="s">
        <v>282</v>
      </c>
      <c r="H123" t="s">
        <v>283</v>
      </c>
      <c r="I123" t="s">
        <v>373</v>
      </c>
      <c r="J123">
        <v>2.5999999999999999E-2</v>
      </c>
      <c r="K123">
        <v>2.8000000000000001E-2</v>
      </c>
      <c r="L123">
        <v>0.03</v>
      </c>
      <c r="M123">
        <v>0.03</v>
      </c>
      <c r="N123">
        <v>3.2000000000000001E-2</v>
      </c>
      <c r="O123">
        <v>3.3000000000000002E-2</v>
      </c>
      <c r="P123">
        <v>3.5000000000000003E-2</v>
      </c>
      <c r="Q123">
        <v>3.6999999999999998E-2</v>
      </c>
      <c r="R123">
        <v>3.9E-2</v>
      </c>
      <c r="S123">
        <v>0.04</v>
      </c>
      <c r="T123">
        <v>4.5999999999999999E-2</v>
      </c>
      <c r="U123">
        <v>0.13900000000000001</v>
      </c>
      <c r="V123">
        <v>0.20499999999999999</v>
      </c>
      <c r="W123">
        <v>0.30499999999999999</v>
      </c>
      <c r="X123">
        <v>0.53700000000000003</v>
      </c>
      <c r="Y123">
        <v>0.89900000000000002</v>
      </c>
      <c r="Z123">
        <v>1.798</v>
      </c>
      <c r="AA123">
        <v>18.829999999999998</v>
      </c>
      <c r="AB123">
        <v>25.756</v>
      </c>
      <c r="AC123">
        <v>25.102</v>
      </c>
      <c r="AD123">
        <v>28.353999999999999</v>
      </c>
      <c r="AE123">
        <v>31.25</v>
      </c>
      <c r="AF123">
        <v>33.945</v>
      </c>
      <c r="AG123">
        <v>36.561999999999998</v>
      </c>
      <c r="AH123">
        <v>40.826000000000001</v>
      </c>
      <c r="AI123">
        <v>46.122</v>
      </c>
      <c r="AJ123">
        <v>52.47</v>
      </c>
      <c r="AK123">
        <v>62.357999999999997</v>
      </c>
      <c r="AL123">
        <v>71.289000000000001</v>
      </c>
      <c r="AM123">
        <v>70.561999999999998</v>
      </c>
      <c r="AN123">
        <v>71.903999999999996</v>
      </c>
      <c r="AO123">
        <v>78.433999999999997</v>
      </c>
      <c r="AP123">
        <v>80.043999999999997</v>
      </c>
      <c r="AQ123">
        <v>80.281999999999996</v>
      </c>
      <c r="AR123">
        <v>82.164000000000001</v>
      </c>
      <c r="AS123">
        <v>82.915999999999997</v>
      </c>
      <c r="AT123">
        <v>85.019000000000005</v>
      </c>
      <c r="AU123">
        <v>87.783000000000001</v>
      </c>
      <c r="AV123">
        <v>91.173000000000002</v>
      </c>
      <c r="AW123">
        <v>95.228999999999999</v>
      </c>
      <c r="AX123">
        <v>99.659000000000006</v>
      </c>
      <c r="AY123">
        <v>2014</v>
      </c>
    </row>
    <row r="124" spans="1:51" ht="14.45" x14ac:dyDescent="0.35">
      <c r="A124">
        <v>918</v>
      </c>
      <c r="B124" t="s">
        <v>372</v>
      </c>
      <c r="C124" t="s">
        <v>289</v>
      </c>
      <c r="D124" t="s">
        <v>69</v>
      </c>
      <c r="E124" t="s">
        <v>287</v>
      </c>
      <c r="F124" t="s">
        <v>290</v>
      </c>
      <c r="G124" t="s">
        <v>291</v>
      </c>
      <c r="H124" t="s">
        <v>283</v>
      </c>
      <c r="I124" t="s">
        <v>292</v>
      </c>
      <c r="J124">
        <v>26.603000000000002</v>
      </c>
      <c r="K124">
        <v>28.693999999999999</v>
      </c>
      <c r="L124">
        <v>29.927</v>
      </c>
      <c r="M124">
        <v>30.754000000000001</v>
      </c>
      <c r="N124">
        <v>32.667999999999999</v>
      </c>
      <c r="O124">
        <v>27.971</v>
      </c>
      <c r="P124">
        <v>24.756</v>
      </c>
      <c r="Q124">
        <v>28.696000000000002</v>
      </c>
      <c r="R124">
        <v>46.895000000000003</v>
      </c>
      <c r="S124">
        <v>47.76</v>
      </c>
      <c r="T124">
        <v>21.058</v>
      </c>
      <c r="U124">
        <v>2.0630000000000002</v>
      </c>
      <c r="V124">
        <v>8.3729999999999993</v>
      </c>
      <c r="W124">
        <v>4.5449999999999999</v>
      </c>
      <c r="X124">
        <v>7.99</v>
      </c>
      <c r="Y124">
        <v>13.382999999999999</v>
      </c>
      <c r="Z124">
        <v>10.11</v>
      </c>
      <c r="AA124">
        <v>11.196</v>
      </c>
      <c r="AB124">
        <v>14.755000000000001</v>
      </c>
      <c r="AC124">
        <v>13.692</v>
      </c>
      <c r="AD124">
        <v>13.396000000000001</v>
      </c>
      <c r="AE124">
        <v>14.31</v>
      </c>
      <c r="AF124">
        <v>16.390999999999998</v>
      </c>
      <c r="AG124">
        <v>21.14</v>
      </c>
      <c r="AH124">
        <v>25.952999999999999</v>
      </c>
      <c r="AI124">
        <v>29.376999999999999</v>
      </c>
      <c r="AJ124">
        <v>33.686</v>
      </c>
      <c r="AK124">
        <v>43.7</v>
      </c>
      <c r="AL124">
        <v>53.643999999999998</v>
      </c>
      <c r="AM124">
        <v>50.249000000000002</v>
      </c>
      <c r="AN124">
        <v>48.781999999999996</v>
      </c>
      <c r="AO124">
        <v>55.798999999999999</v>
      </c>
      <c r="AP124">
        <v>52.613</v>
      </c>
      <c r="AQ124">
        <v>54.517000000000003</v>
      </c>
      <c r="AR124">
        <v>55.823999999999998</v>
      </c>
      <c r="AS124">
        <v>47.167000000000002</v>
      </c>
      <c r="AT124">
        <v>48.594000000000001</v>
      </c>
      <c r="AU124">
        <v>50.73</v>
      </c>
      <c r="AV124">
        <v>53.226999999999997</v>
      </c>
      <c r="AW124">
        <v>56.031999999999996</v>
      </c>
      <c r="AX124">
        <v>59.506</v>
      </c>
      <c r="AY124">
        <v>2014</v>
      </c>
    </row>
    <row r="125" spans="1:51" ht="14.45" x14ac:dyDescent="0.35">
      <c r="A125">
        <v>918</v>
      </c>
      <c r="B125" t="s">
        <v>372</v>
      </c>
      <c r="C125" t="s">
        <v>293</v>
      </c>
      <c r="D125" t="s">
        <v>69</v>
      </c>
      <c r="E125" t="s">
        <v>294</v>
      </c>
      <c r="F125" t="s">
        <v>295</v>
      </c>
      <c r="G125" t="s">
        <v>296</v>
      </c>
      <c r="I125" t="s">
        <v>297</v>
      </c>
      <c r="J125">
        <v>4.2999999999999997E-2</v>
      </c>
      <c r="K125">
        <v>4.3999999999999997E-2</v>
      </c>
      <c r="L125">
        <v>4.3999999999999997E-2</v>
      </c>
      <c r="M125">
        <v>4.3999999999999997E-2</v>
      </c>
      <c r="N125">
        <v>4.4999999999999998E-2</v>
      </c>
      <c r="O125">
        <v>4.4999999999999998E-2</v>
      </c>
      <c r="P125">
        <v>4.4999999999999998E-2</v>
      </c>
      <c r="Q125">
        <v>4.5999999999999999E-2</v>
      </c>
      <c r="R125">
        <v>4.7E-2</v>
      </c>
      <c r="S125">
        <v>4.9000000000000002E-2</v>
      </c>
      <c r="T125">
        <v>6.2E-2</v>
      </c>
      <c r="U125">
        <v>0.20699999999999999</v>
      </c>
      <c r="V125">
        <v>0.33400000000000002</v>
      </c>
      <c r="W125">
        <v>0.56299999999999994</v>
      </c>
      <c r="X125">
        <v>1.0269999999999999</v>
      </c>
      <c r="Y125">
        <v>1.748</v>
      </c>
      <c r="Z125">
        <v>3.802</v>
      </c>
      <c r="AA125">
        <v>40.249000000000002</v>
      </c>
      <c r="AB125">
        <v>53.210999999999999</v>
      </c>
      <c r="AC125">
        <v>54.963000000000001</v>
      </c>
      <c r="AD125">
        <v>58.548000000000002</v>
      </c>
      <c r="AE125">
        <v>62.165999999999997</v>
      </c>
      <c r="AF125">
        <v>64.632000000000005</v>
      </c>
      <c r="AG125">
        <v>66.075999999999993</v>
      </c>
      <c r="AH125">
        <v>69.239000000000004</v>
      </c>
      <c r="AI125">
        <v>73.823999999999998</v>
      </c>
      <c r="AJ125">
        <v>78.881</v>
      </c>
      <c r="AK125">
        <v>87.69</v>
      </c>
      <c r="AL125">
        <v>94.793999999999997</v>
      </c>
      <c r="AM125">
        <v>98.777000000000001</v>
      </c>
      <c r="AN125">
        <v>100</v>
      </c>
      <c r="AO125">
        <v>106.961</v>
      </c>
      <c r="AP125">
        <v>108.624</v>
      </c>
      <c r="AQ125">
        <v>107.79600000000001</v>
      </c>
      <c r="AR125">
        <v>108.474</v>
      </c>
      <c r="AS125">
        <v>107.637</v>
      </c>
      <c r="AT125">
        <v>108.31</v>
      </c>
      <c r="AU125">
        <v>109.637</v>
      </c>
      <c r="AV125">
        <v>111.639</v>
      </c>
      <c r="AW125">
        <v>113.983</v>
      </c>
      <c r="AX125">
        <v>116.377</v>
      </c>
      <c r="AY125">
        <v>2014</v>
      </c>
    </row>
    <row r="126" spans="1:51" ht="14.45" x14ac:dyDescent="0.35">
      <c r="A126">
        <v>918</v>
      </c>
      <c r="B126" t="s">
        <v>372</v>
      </c>
      <c r="C126" t="s">
        <v>298</v>
      </c>
      <c r="D126" t="s">
        <v>69</v>
      </c>
      <c r="E126" t="s">
        <v>299</v>
      </c>
      <c r="F126" t="s">
        <v>300</v>
      </c>
      <c r="G126" t="s">
        <v>282</v>
      </c>
      <c r="H126" t="s">
        <v>283</v>
      </c>
      <c r="I126" t="s">
        <v>374</v>
      </c>
      <c r="J126" t="s">
        <v>285</v>
      </c>
      <c r="K126" t="s">
        <v>285</v>
      </c>
      <c r="L126" t="s">
        <v>285</v>
      </c>
      <c r="M126" t="s">
        <v>285</v>
      </c>
      <c r="N126" t="s">
        <v>285</v>
      </c>
      <c r="O126" t="s">
        <v>285</v>
      </c>
      <c r="P126" t="s">
        <v>285</v>
      </c>
      <c r="Q126" t="s">
        <v>285</v>
      </c>
      <c r="R126" t="s">
        <v>285</v>
      </c>
      <c r="S126" t="s">
        <v>285</v>
      </c>
      <c r="T126" t="s">
        <v>285</v>
      </c>
      <c r="U126" t="s">
        <v>285</v>
      </c>
      <c r="V126">
        <v>18.004999999999999</v>
      </c>
      <c r="W126">
        <v>21.146000000000001</v>
      </c>
      <c r="X126">
        <v>21.541</v>
      </c>
      <c r="Y126">
        <v>23.300999999999998</v>
      </c>
      <c r="Z126">
        <v>23.302</v>
      </c>
      <c r="AA126">
        <v>29.8</v>
      </c>
      <c r="AB126">
        <v>8.0980000000000008</v>
      </c>
      <c r="AC126">
        <v>9.0549999999999997</v>
      </c>
      <c r="AD126">
        <v>10.443</v>
      </c>
      <c r="AE126">
        <v>11.303000000000001</v>
      </c>
      <c r="AF126">
        <v>11.949</v>
      </c>
      <c r="AG126">
        <v>13.103</v>
      </c>
      <c r="AH126">
        <v>14.26</v>
      </c>
      <c r="AI126">
        <v>16.001999999999999</v>
      </c>
      <c r="AJ126">
        <v>17.422999999999998</v>
      </c>
      <c r="AK126">
        <v>21.026</v>
      </c>
      <c r="AL126">
        <v>24.369</v>
      </c>
      <c r="AM126">
        <v>24.713999999999999</v>
      </c>
      <c r="AN126">
        <v>25.876999999999999</v>
      </c>
      <c r="AO126">
        <v>25.922999999999998</v>
      </c>
      <c r="AP126">
        <v>26.873999999999999</v>
      </c>
      <c r="AQ126">
        <v>29.175000000000001</v>
      </c>
      <c r="AR126">
        <v>31.193000000000001</v>
      </c>
      <c r="AS126">
        <v>31.315999999999999</v>
      </c>
      <c r="AT126">
        <v>31.338999999999999</v>
      </c>
      <c r="AU126">
        <v>31.95</v>
      </c>
      <c r="AV126">
        <v>32.884999999999998</v>
      </c>
      <c r="AW126">
        <v>33.923000000000002</v>
      </c>
      <c r="AX126">
        <v>35.110999999999997</v>
      </c>
      <c r="AY126">
        <v>2014</v>
      </c>
    </row>
    <row r="127" spans="1:51" ht="14.45" x14ac:dyDescent="0.35">
      <c r="A127">
        <v>748</v>
      </c>
      <c r="B127" t="s">
        <v>375</v>
      </c>
      <c r="C127" t="s">
        <v>279</v>
      </c>
      <c r="D127" t="s">
        <v>70</v>
      </c>
      <c r="E127" t="s">
        <v>280</v>
      </c>
      <c r="F127" t="s">
        <v>281</v>
      </c>
      <c r="G127" t="s">
        <v>282</v>
      </c>
      <c r="H127" t="s">
        <v>283</v>
      </c>
      <c r="I127" t="s">
        <v>376</v>
      </c>
      <c r="J127">
        <v>837.10299999999995</v>
      </c>
      <c r="K127">
        <v>859.375</v>
      </c>
      <c r="L127">
        <v>871.40599999999995</v>
      </c>
      <c r="M127">
        <v>860.94899999999996</v>
      </c>
      <c r="N127">
        <v>874.72500000000002</v>
      </c>
      <c r="O127">
        <v>973.56799999999998</v>
      </c>
      <c r="P127" s="21">
        <v>1051.019</v>
      </c>
      <c r="Q127" s="21">
        <v>1048.5350000000001</v>
      </c>
      <c r="R127" s="21">
        <v>1109.3040000000001</v>
      </c>
      <c r="S127" s="21">
        <v>1133.1569999999999</v>
      </c>
      <c r="T127" s="21">
        <v>1126.325</v>
      </c>
      <c r="U127" s="21">
        <v>1228.4829999999999</v>
      </c>
      <c r="V127" s="21">
        <v>1231.3409999999999</v>
      </c>
      <c r="W127" s="21">
        <v>1273.963</v>
      </c>
      <c r="X127" s="21">
        <v>1290.7159999999999</v>
      </c>
      <c r="Y127" s="21">
        <v>1364.498</v>
      </c>
      <c r="Z127" s="21">
        <v>1514.7940000000001</v>
      </c>
      <c r="AA127" s="21">
        <v>1610.481</v>
      </c>
      <c r="AB127" s="21">
        <v>1728.17</v>
      </c>
      <c r="AC127" s="21">
        <v>1854.9</v>
      </c>
      <c r="AD127" s="21">
        <v>1889.9</v>
      </c>
      <c r="AE127" s="21">
        <v>2014.8</v>
      </c>
      <c r="AF127" s="21">
        <v>2102.5</v>
      </c>
      <c r="AG127" s="21">
        <v>2266.6999999999998</v>
      </c>
      <c r="AH127" s="21">
        <v>2368.1999999999998</v>
      </c>
      <c r="AI127" s="21">
        <v>2573.4</v>
      </c>
      <c r="AJ127" s="21">
        <v>2734.3</v>
      </c>
      <c r="AK127" s="21">
        <v>2846.6309999999999</v>
      </c>
      <c r="AL127" s="21">
        <v>3011.7359999999999</v>
      </c>
      <c r="AM127" s="21">
        <v>3100.942</v>
      </c>
      <c r="AN127" s="21">
        <v>3362.8560000000002</v>
      </c>
      <c r="AO127" s="21">
        <v>3585.71</v>
      </c>
      <c r="AP127" s="21">
        <v>3817.0839999999998</v>
      </c>
      <c r="AQ127" s="21">
        <v>4069.6080000000002</v>
      </c>
      <c r="AR127" s="21">
        <v>4233.366</v>
      </c>
      <c r="AS127" s="21">
        <v>4444.058</v>
      </c>
      <c r="AT127" s="21">
        <v>4709.1000000000004</v>
      </c>
      <c r="AU127" s="21">
        <v>5017.375</v>
      </c>
      <c r="AV127" s="21">
        <v>5348.5219999999999</v>
      </c>
      <c r="AW127" s="21">
        <v>5701.4610000000002</v>
      </c>
      <c r="AX127" s="21">
        <v>6077.6869999999999</v>
      </c>
      <c r="AY127">
        <v>2014</v>
      </c>
    </row>
    <row r="128" spans="1:51" ht="14.45" x14ac:dyDescent="0.35">
      <c r="A128">
        <v>748</v>
      </c>
      <c r="B128" t="s">
        <v>375</v>
      </c>
      <c r="C128" t="s">
        <v>286</v>
      </c>
      <c r="D128" t="s">
        <v>70</v>
      </c>
      <c r="E128" t="s">
        <v>287</v>
      </c>
      <c r="F128" t="s">
        <v>288</v>
      </c>
      <c r="G128" t="s">
        <v>282</v>
      </c>
      <c r="H128" t="s">
        <v>283</v>
      </c>
      <c r="I128" t="s">
        <v>376</v>
      </c>
      <c r="J128">
        <v>448.17899999999997</v>
      </c>
      <c r="K128">
        <v>501.512</v>
      </c>
      <c r="L128">
        <v>564.95899999999995</v>
      </c>
      <c r="M128">
        <v>598.71900000000005</v>
      </c>
      <c r="N128">
        <v>613.65499999999997</v>
      </c>
      <c r="O128">
        <v>697.47799999999995</v>
      </c>
      <c r="P128">
        <v>705.18399999999997</v>
      </c>
      <c r="Q128">
        <v>712.22199999999998</v>
      </c>
      <c r="R128">
        <v>779.18299999999999</v>
      </c>
      <c r="S128">
        <v>834.39400000000001</v>
      </c>
      <c r="T128">
        <v>844.375</v>
      </c>
      <c r="U128">
        <v>884.41800000000001</v>
      </c>
      <c r="V128">
        <v>888.48900000000003</v>
      </c>
      <c r="W128">
        <v>905.98900000000003</v>
      </c>
      <c r="X128" s="21">
        <v>1052.2739999999999</v>
      </c>
      <c r="Y128" s="21">
        <v>1187.7329999999999</v>
      </c>
      <c r="Z128" s="21">
        <v>1323.1559999999999</v>
      </c>
      <c r="AA128" s="21">
        <v>1428.6289999999999</v>
      </c>
      <c r="AB128" s="21">
        <v>1654.7570000000001</v>
      </c>
      <c r="AC128" s="21">
        <v>1854.9</v>
      </c>
      <c r="AD128" s="21">
        <v>1874.7809999999999</v>
      </c>
      <c r="AE128" s="21">
        <v>2077.259</v>
      </c>
      <c r="AF128" s="21">
        <v>2234.9580000000001</v>
      </c>
      <c r="AG128" s="21">
        <v>2443.5030000000002</v>
      </c>
      <c r="AH128" s="21">
        <v>2555.288</v>
      </c>
      <c r="AI128" s="21">
        <v>2882.2080000000001</v>
      </c>
      <c r="AJ128" s="21">
        <v>3040.5419999999999</v>
      </c>
      <c r="AK128" s="21">
        <v>3245.2460000000001</v>
      </c>
      <c r="AL128" s="21">
        <v>3747.9690000000001</v>
      </c>
      <c r="AM128" s="21">
        <v>3951.81</v>
      </c>
      <c r="AN128" s="21">
        <v>4447.57</v>
      </c>
      <c r="AO128" s="21">
        <v>5060.3220000000001</v>
      </c>
      <c r="AP128" s="21">
        <v>5700.5780000000004</v>
      </c>
      <c r="AQ128" s="21">
        <v>6026.2020000000002</v>
      </c>
      <c r="AR128" s="21">
        <v>6170.5829999999996</v>
      </c>
      <c r="AS128" s="21">
        <v>6561.1</v>
      </c>
      <c r="AT128" s="21">
        <v>7084.6</v>
      </c>
      <c r="AU128" s="21">
        <v>7699.3509999999997</v>
      </c>
      <c r="AV128" s="21">
        <v>8371.6589999999997</v>
      </c>
      <c r="AW128" s="21">
        <v>9102.5709999999999</v>
      </c>
      <c r="AX128" s="21">
        <v>9897.2919999999995</v>
      </c>
      <c r="AY128">
        <v>2014</v>
      </c>
    </row>
    <row r="129" spans="1:51" ht="14.45" x14ac:dyDescent="0.35">
      <c r="A129">
        <v>748</v>
      </c>
      <c r="B129" t="s">
        <v>375</v>
      </c>
      <c r="C129" t="s">
        <v>289</v>
      </c>
      <c r="D129" t="s">
        <v>70</v>
      </c>
      <c r="E129" t="s">
        <v>287</v>
      </c>
      <c r="F129" t="s">
        <v>290</v>
      </c>
      <c r="G129" t="s">
        <v>291</v>
      </c>
      <c r="H129" t="s">
        <v>283</v>
      </c>
      <c r="I129" t="s">
        <v>292</v>
      </c>
      <c r="J129">
        <v>2.121</v>
      </c>
      <c r="K129">
        <v>1.8460000000000001</v>
      </c>
      <c r="L129">
        <v>1.7190000000000001</v>
      </c>
      <c r="M129">
        <v>1.571</v>
      </c>
      <c r="N129">
        <v>1.4039999999999999</v>
      </c>
      <c r="O129">
        <v>1.5529999999999999</v>
      </c>
      <c r="P129">
        <v>2.036</v>
      </c>
      <c r="Q129">
        <v>2.37</v>
      </c>
      <c r="R129">
        <v>2.6160000000000001</v>
      </c>
      <c r="S129">
        <v>2.6160000000000001</v>
      </c>
      <c r="T129">
        <v>3.101</v>
      </c>
      <c r="U129">
        <v>3.1349999999999998</v>
      </c>
      <c r="V129">
        <v>3.3570000000000002</v>
      </c>
      <c r="W129">
        <v>3.2</v>
      </c>
      <c r="X129">
        <v>1.9239999999999999</v>
      </c>
      <c r="Y129">
        <v>2.38</v>
      </c>
      <c r="Z129">
        <v>2.5870000000000002</v>
      </c>
      <c r="AA129">
        <v>2.448</v>
      </c>
      <c r="AB129">
        <v>2.8050000000000002</v>
      </c>
      <c r="AC129">
        <v>3.0129999999999999</v>
      </c>
      <c r="AD129">
        <v>2.633</v>
      </c>
      <c r="AE129">
        <v>2.8359999999999999</v>
      </c>
      <c r="AF129">
        <v>3.218</v>
      </c>
      <c r="AG129">
        <v>4.2119999999999997</v>
      </c>
      <c r="AH129">
        <v>4.843</v>
      </c>
      <c r="AI129">
        <v>5.4740000000000002</v>
      </c>
      <c r="AJ129">
        <v>5.82</v>
      </c>
      <c r="AK129">
        <v>6.7809999999999997</v>
      </c>
      <c r="AL129">
        <v>8.4090000000000007</v>
      </c>
      <c r="AM129">
        <v>8.391</v>
      </c>
      <c r="AN129">
        <v>9.1229999999999993</v>
      </c>
      <c r="AO129">
        <v>10.734</v>
      </c>
      <c r="AP129">
        <v>11.172000000000001</v>
      </c>
      <c r="AQ129">
        <v>12.202</v>
      </c>
      <c r="AR129">
        <v>12.503</v>
      </c>
      <c r="AS129">
        <v>11.323</v>
      </c>
      <c r="AT129">
        <v>12.239000000000001</v>
      </c>
      <c r="AU129">
        <v>13.433</v>
      </c>
      <c r="AV129">
        <v>14.778</v>
      </c>
      <c r="AW129">
        <v>16.265999999999998</v>
      </c>
      <c r="AX129">
        <v>18.003</v>
      </c>
      <c r="AY129">
        <v>2014</v>
      </c>
    </row>
    <row r="130" spans="1:51" ht="14.45" x14ac:dyDescent="0.35">
      <c r="A130">
        <v>748</v>
      </c>
      <c r="B130" t="s">
        <v>375</v>
      </c>
      <c r="C130" t="s">
        <v>293</v>
      </c>
      <c r="D130" t="s">
        <v>70</v>
      </c>
      <c r="E130" t="s">
        <v>294</v>
      </c>
      <c r="F130" t="s">
        <v>295</v>
      </c>
      <c r="G130" t="s">
        <v>296</v>
      </c>
      <c r="I130" t="s">
        <v>297</v>
      </c>
      <c r="J130">
        <v>53.539000000000001</v>
      </c>
      <c r="K130">
        <v>58.357999999999997</v>
      </c>
      <c r="L130">
        <v>64.832999999999998</v>
      </c>
      <c r="M130">
        <v>69.542000000000002</v>
      </c>
      <c r="N130">
        <v>70.153999999999996</v>
      </c>
      <c r="O130">
        <v>71.641000000000005</v>
      </c>
      <c r="P130">
        <v>67.094999999999999</v>
      </c>
      <c r="Q130">
        <v>67.924999999999997</v>
      </c>
      <c r="R130">
        <v>70.241</v>
      </c>
      <c r="S130">
        <v>73.634</v>
      </c>
      <c r="T130">
        <v>74.966999999999999</v>
      </c>
      <c r="U130">
        <v>71.992999999999995</v>
      </c>
      <c r="V130">
        <v>72.156000000000006</v>
      </c>
      <c r="W130">
        <v>71.116</v>
      </c>
      <c r="X130">
        <v>81.525999999999996</v>
      </c>
      <c r="Y130">
        <v>87.045000000000002</v>
      </c>
      <c r="Z130">
        <v>87.349000000000004</v>
      </c>
      <c r="AA130">
        <v>88.707999999999998</v>
      </c>
      <c r="AB130">
        <v>95.751999999999995</v>
      </c>
      <c r="AC130">
        <v>100</v>
      </c>
      <c r="AD130">
        <v>99.2</v>
      </c>
      <c r="AE130">
        <v>103.1</v>
      </c>
      <c r="AF130">
        <v>106.3</v>
      </c>
      <c r="AG130">
        <v>107.8</v>
      </c>
      <c r="AH130">
        <v>107.9</v>
      </c>
      <c r="AI130">
        <v>112</v>
      </c>
      <c r="AJ130">
        <v>111.2</v>
      </c>
      <c r="AK130">
        <v>114.003</v>
      </c>
      <c r="AL130">
        <v>124.44499999999999</v>
      </c>
      <c r="AM130">
        <v>127.43899999999999</v>
      </c>
      <c r="AN130">
        <v>132.256</v>
      </c>
      <c r="AO130">
        <v>141.125</v>
      </c>
      <c r="AP130">
        <v>149.34399999999999</v>
      </c>
      <c r="AQ130">
        <v>148.078</v>
      </c>
      <c r="AR130">
        <v>145.761</v>
      </c>
      <c r="AS130">
        <v>147.63800000000001</v>
      </c>
      <c r="AT130">
        <v>150.44499999999999</v>
      </c>
      <c r="AU130">
        <v>153.45400000000001</v>
      </c>
      <c r="AV130">
        <v>156.523</v>
      </c>
      <c r="AW130">
        <v>159.65299999999999</v>
      </c>
      <c r="AX130">
        <v>162.846</v>
      </c>
      <c r="AY130">
        <v>2014</v>
      </c>
    </row>
    <row r="131" spans="1:51" ht="14.45" x14ac:dyDescent="0.35">
      <c r="A131">
        <v>748</v>
      </c>
      <c r="B131" t="s">
        <v>375</v>
      </c>
      <c r="C131" t="s">
        <v>298</v>
      </c>
      <c r="D131" t="s">
        <v>70</v>
      </c>
      <c r="E131" t="s">
        <v>299</v>
      </c>
      <c r="F131" t="s">
        <v>300</v>
      </c>
      <c r="G131" t="s">
        <v>282</v>
      </c>
      <c r="H131" t="s">
        <v>283</v>
      </c>
      <c r="I131" t="s">
        <v>377</v>
      </c>
      <c r="J131" t="s">
        <v>285</v>
      </c>
      <c r="K131" t="s">
        <v>285</v>
      </c>
      <c r="L131" t="s">
        <v>285</v>
      </c>
      <c r="M131" t="s">
        <v>285</v>
      </c>
      <c r="N131" t="s">
        <v>285</v>
      </c>
      <c r="O131">
        <v>78.956000000000003</v>
      </c>
      <c r="P131">
        <v>103.923</v>
      </c>
      <c r="Q131">
        <v>122.143</v>
      </c>
      <c r="R131">
        <v>116.29600000000001</v>
      </c>
      <c r="S131">
        <v>100.236</v>
      </c>
      <c r="T131">
        <v>79.552999999999997</v>
      </c>
      <c r="U131">
        <v>139.69399999999999</v>
      </c>
      <c r="V131">
        <v>135.983</v>
      </c>
      <c r="W131">
        <v>182.03299999999999</v>
      </c>
      <c r="X131">
        <v>211.01300000000001</v>
      </c>
      <c r="Y131">
        <v>259.625</v>
      </c>
      <c r="Z131">
        <v>293.93900000000002</v>
      </c>
      <c r="AA131">
        <v>321.77100000000002</v>
      </c>
      <c r="AB131">
        <v>367.39100000000002</v>
      </c>
      <c r="AC131">
        <v>446.32499999999999</v>
      </c>
      <c r="AD131">
        <v>417.988</v>
      </c>
      <c r="AE131">
        <v>459.37400000000002</v>
      </c>
      <c r="AF131">
        <v>489.16800000000001</v>
      </c>
      <c r="AG131">
        <v>483.81</v>
      </c>
      <c r="AH131">
        <v>582.37</v>
      </c>
      <c r="AI131">
        <v>655.17499999999995</v>
      </c>
      <c r="AJ131">
        <v>748.34900000000005</v>
      </c>
      <c r="AK131">
        <v>833.58799999999997</v>
      </c>
      <c r="AL131">
        <v>783.65599999999995</v>
      </c>
      <c r="AM131">
        <v>956.43899999999996</v>
      </c>
      <c r="AN131" s="21">
        <v>1015.535</v>
      </c>
      <c r="AO131" s="21">
        <v>1116.8240000000001</v>
      </c>
      <c r="AP131" s="21">
        <v>1453.721</v>
      </c>
      <c r="AQ131" s="21">
        <v>1677.336</v>
      </c>
      <c r="AR131" s="21">
        <v>1440.71</v>
      </c>
      <c r="AS131" s="21">
        <v>1629.356</v>
      </c>
      <c r="AT131" s="21">
        <v>1815.8009999999999</v>
      </c>
      <c r="AU131" s="21">
        <v>2059.2800000000002</v>
      </c>
      <c r="AV131" s="21">
        <v>2271.62</v>
      </c>
      <c r="AW131" s="21">
        <v>2460.5940000000001</v>
      </c>
      <c r="AX131" s="21">
        <v>2675.1689999999999</v>
      </c>
      <c r="AY131">
        <v>2014</v>
      </c>
    </row>
    <row r="132" spans="1:51" ht="14.45" x14ac:dyDescent="0.35">
      <c r="A132">
        <v>618</v>
      </c>
      <c r="B132" t="s">
        <v>378</v>
      </c>
      <c r="C132" t="s">
        <v>279</v>
      </c>
      <c r="D132" t="s">
        <v>71</v>
      </c>
      <c r="E132" t="s">
        <v>280</v>
      </c>
      <c r="F132" t="s">
        <v>281</v>
      </c>
      <c r="G132" t="s">
        <v>282</v>
      </c>
      <c r="H132" t="s">
        <v>283</v>
      </c>
      <c r="I132" t="s">
        <v>379</v>
      </c>
      <c r="J132">
        <v>765.58799999999997</v>
      </c>
      <c r="K132">
        <v>858.71100000000001</v>
      </c>
      <c r="L132">
        <v>849.66</v>
      </c>
      <c r="M132">
        <v>881.22799999999995</v>
      </c>
      <c r="N132">
        <v>882.596</v>
      </c>
      <c r="O132">
        <v>986.60299999999995</v>
      </c>
      <c r="P132" s="21">
        <v>1018.6660000000001</v>
      </c>
      <c r="Q132" s="21">
        <v>1074.7190000000001</v>
      </c>
      <c r="R132" s="21">
        <v>1128.7919999999999</v>
      </c>
      <c r="S132" s="21">
        <v>1144.0239999999999</v>
      </c>
      <c r="T132" s="21">
        <v>1183.587</v>
      </c>
      <c r="U132" s="21">
        <v>1252.01</v>
      </c>
      <c r="V132" s="21">
        <v>1264.624</v>
      </c>
      <c r="W132" s="21">
        <v>1185.7570000000001</v>
      </c>
      <c r="X132" s="21">
        <v>1140.3530000000001</v>
      </c>
      <c r="Y132" s="21">
        <v>1050.046</v>
      </c>
      <c r="Z132">
        <v>966.02800000000002</v>
      </c>
      <c r="AA132">
        <v>970.02099999999996</v>
      </c>
      <c r="AB132" s="21">
        <v>1016.117</v>
      </c>
      <c r="AC132" s="21">
        <v>1027.9469999999999</v>
      </c>
      <c r="AD132" s="21">
        <v>1046.2639999999999</v>
      </c>
      <c r="AE132" s="21">
        <v>1063.6869999999999</v>
      </c>
      <c r="AF132" s="21">
        <v>1088.721</v>
      </c>
      <c r="AG132" s="21">
        <v>1115.6099999999999</v>
      </c>
      <c r="AH132" s="21">
        <v>1157.6379999999999</v>
      </c>
      <c r="AI132" s="21">
        <v>1208.24</v>
      </c>
      <c r="AJ132" s="21">
        <v>1273.6600000000001</v>
      </c>
      <c r="AK132" s="21">
        <v>1317.48</v>
      </c>
      <c r="AL132" s="21">
        <v>1382.13</v>
      </c>
      <c r="AM132" s="21">
        <v>1434.69</v>
      </c>
      <c r="AN132" s="21">
        <v>1507.18</v>
      </c>
      <c r="AO132" s="21">
        <v>1570.3340000000001</v>
      </c>
      <c r="AP132" s="21">
        <v>1633.433</v>
      </c>
      <c r="AQ132" s="21">
        <v>1706.4760000000001</v>
      </c>
      <c r="AR132" s="21">
        <v>1787.3050000000001</v>
      </c>
      <c r="AS132" s="21">
        <v>1659.1369999999999</v>
      </c>
      <c r="AT132" s="21">
        <v>1744.595</v>
      </c>
      <c r="AU132" s="21">
        <v>1822.318</v>
      </c>
      <c r="AV132" s="21">
        <v>1913.0519999999999</v>
      </c>
      <c r="AW132" s="21">
        <v>2010.307</v>
      </c>
      <c r="AX132" s="21">
        <v>2114.1469999999999</v>
      </c>
      <c r="AY132">
        <v>2011</v>
      </c>
    </row>
    <row r="133" spans="1:51" ht="14.45" x14ac:dyDescent="0.35">
      <c r="A133">
        <v>618</v>
      </c>
      <c r="B133" t="s">
        <v>378</v>
      </c>
      <c r="C133" t="s">
        <v>286</v>
      </c>
      <c r="D133" t="s">
        <v>71</v>
      </c>
      <c r="E133" t="s">
        <v>287</v>
      </c>
      <c r="F133" t="s">
        <v>288</v>
      </c>
      <c r="G133" t="s">
        <v>282</v>
      </c>
      <c r="H133" t="s">
        <v>283</v>
      </c>
      <c r="I133" t="s">
        <v>379</v>
      </c>
      <c r="J133">
        <v>85.555000000000007</v>
      </c>
      <c r="K133">
        <v>89.031999999999996</v>
      </c>
      <c r="L133">
        <v>94.037000000000006</v>
      </c>
      <c r="M133">
        <v>102.83</v>
      </c>
      <c r="N133">
        <v>120.378</v>
      </c>
      <c r="O133">
        <v>141.262</v>
      </c>
      <c r="P133">
        <v>140.75700000000001</v>
      </c>
      <c r="Q133">
        <v>143.50299999999999</v>
      </c>
      <c r="R133">
        <v>152.815</v>
      </c>
      <c r="S133">
        <v>179.43899999999999</v>
      </c>
      <c r="T133">
        <v>193.68299999999999</v>
      </c>
      <c r="U133">
        <v>211.87200000000001</v>
      </c>
      <c r="V133">
        <v>225.464</v>
      </c>
      <c r="W133">
        <v>227.762</v>
      </c>
      <c r="X133">
        <v>233.58</v>
      </c>
      <c r="Y133">
        <v>249.714</v>
      </c>
      <c r="Z133">
        <v>262.92200000000003</v>
      </c>
      <c r="AA133">
        <v>342.57900000000001</v>
      </c>
      <c r="AB133">
        <v>399.92399999999998</v>
      </c>
      <c r="AC133">
        <v>487.93400000000003</v>
      </c>
      <c r="AD133">
        <v>627.33299999999997</v>
      </c>
      <c r="AE133">
        <v>728.04600000000005</v>
      </c>
      <c r="AF133">
        <v>768.23500000000001</v>
      </c>
      <c r="AG133">
        <v>849.48299999999995</v>
      </c>
      <c r="AH133" s="21">
        <v>1007.616</v>
      </c>
      <c r="AI133" s="21">
        <v>1208.4000000000001</v>
      </c>
      <c r="AJ133" s="21">
        <v>1309.9000000000001</v>
      </c>
      <c r="AK133" s="21">
        <v>1467.231</v>
      </c>
      <c r="AL133" s="21">
        <v>1911.1389999999999</v>
      </c>
      <c r="AM133" s="21">
        <v>2184.1770000000001</v>
      </c>
      <c r="AN133" s="21">
        <v>2501.047</v>
      </c>
      <c r="AO133" s="21">
        <v>2989.9459999999999</v>
      </c>
      <c r="AP133" s="21">
        <v>3620.605</v>
      </c>
      <c r="AQ133" s="21">
        <v>4226.8950000000004</v>
      </c>
      <c r="AR133" s="21">
        <v>4785.2049999999999</v>
      </c>
      <c r="AS133" s="21">
        <v>4785.9769999999999</v>
      </c>
      <c r="AT133" s="21">
        <v>5335.8819999999996</v>
      </c>
      <c r="AU133" s="21">
        <v>5888.4549999999999</v>
      </c>
      <c r="AV133" s="21">
        <v>6538.7719999999999</v>
      </c>
      <c r="AW133" s="21">
        <v>7226.6040000000003</v>
      </c>
      <c r="AX133" s="21">
        <v>7985.527</v>
      </c>
      <c r="AY133">
        <v>2011</v>
      </c>
    </row>
    <row r="134" spans="1:51" ht="14.45" x14ac:dyDescent="0.35">
      <c r="A134">
        <v>618</v>
      </c>
      <c r="B134" t="s">
        <v>378</v>
      </c>
      <c r="C134" t="s">
        <v>289</v>
      </c>
      <c r="D134" t="s">
        <v>71</v>
      </c>
      <c r="E134" t="s">
        <v>287</v>
      </c>
      <c r="F134" t="s">
        <v>290</v>
      </c>
      <c r="G134" t="s">
        <v>291</v>
      </c>
      <c r="H134" t="s">
        <v>283</v>
      </c>
      <c r="I134" t="s">
        <v>292</v>
      </c>
      <c r="J134">
        <v>0.95099999999999996</v>
      </c>
      <c r="K134">
        <v>0.98899999999999999</v>
      </c>
      <c r="L134">
        <v>1.0449999999999999</v>
      </c>
      <c r="M134">
        <v>1.1060000000000001</v>
      </c>
      <c r="N134">
        <v>1.006</v>
      </c>
      <c r="O134">
        <v>1.17</v>
      </c>
      <c r="P134">
        <v>1.2330000000000001</v>
      </c>
      <c r="Q134">
        <v>1.161</v>
      </c>
      <c r="R134">
        <v>1.0880000000000001</v>
      </c>
      <c r="S134">
        <v>1.131</v>
      </c>
      <c r="T134">
        <v>1.131</v>
      </c>
      <c r="U134">
        <v>1.167</v>
      </c>
      <c r="V134">
        <v>1.0820000000000001</v>
      </c>
      <c r="W134">
        <v>0.93799999999999994</v>
      </c>
      <c r="X134">
        <v>0.92400000000000004</v>
      </c>
      <c r="Y134">
        <v>1</v>
      </c>
      <c r="Z134">
        <v>0.86799999999999999</v>
      </c>
      <c r="AA134">
        <v>0.97199999999999998</v>
      </c>
      <c r="AB134">
        <v>0.89300000000000002</v>
      </c>
      <c r="AC134">
        <v>0.86599999999999999</v>
      </c>
      <c r="AD134">
        <v>0.87</v>
      </c>
      <c r="AE134">
        <v>0.877</v>
      </c>
      <c r="AF134">
        <v>0.82499999999999996</v>
      </c>
      <c r="AG134">
        <v>0.78500000000000003</v>
      </c>
      <c r="AH134">
        <v>0.91500000000000004</v>
      </c>
      <c r="AI134">
        <v>1.117</v>
      </c>
      <c r="AJ134">
        <v>1.2729999999999999</v>
      </c>
      <c r="AK134">
        <v>1.3560000000000001</v>
      </c>
      <c r="AL134">
        <v>1.6120000000000001</v>
      </c>
      <c r="AM134">
        <v>1.7749999999999999</v>
      </c>
      <c r="AN134">
        <v>2.032</v>
      </c>
      <c r="AO134">
        <v>2.371</v>
      </c>
      <c r="AP134">
        <v>2.5099999999999998</v>
      </c>
      <c r="AQ134">
        <v>2.7229999999999999</v>
      </c>
      <c r="AR134">
        <v>3.0939999999999999</v>
      </c>
      <c r="AS134">
        <v>2.97</v>
      </c>
      <c r="AT134">
        <v>3.2469999999999999</v>
      </c>
      <c r="AU134">
        <v>3.512</v>
      </c>
      <c r="AV134">
        <v>3.8250000000000002</v>
      </c>
      <c r="AW134">
        <v>4.1449999999999996</v>
      </c>
      <c r="AX134">
        <v>4.4889999999999999</v>
      </c>
      <c r="AY134">
        <v>2011</v>
      </c>
    </row>
    <row r="135" spans="1:51" ht="14.45" x14ac:dyDescent="0.35">
      <c r="A135">
        <v>618</v>
      </c>
      <c r="B135" t="s">
        <v>378</v>
      </c>
      <c r="C135" t="s">
        <v>293</v>
      </c>
      <c r="D135" t="s">
        <v>71</v>
      </c>
      <c r="E135" t="s">
        <v>294</v>
      </c>
      <c r="F135" t="s">
        <v>295</v>
      </c>
      <c r="G135" t="s">
        <v>296</v>
      </c>
      <c r="I135" t="s">
        <v>297</v>
      </c>
      <c r="J135">
        <v>11.175000000000001</v>
      </c>
      <c r="K135">
        <v>10.368</v>
      </c>
      <c r="L135">
        <v>11.068</v>
      </c>
      <c r="M135">
        <v>11.669</v>
      </c>
      <c r="N135">
        <v>13.638999999999999</v>
      </c>
      <c r="O135">
        <v>14.318</v>
      </c>
      <c r="P135">
        <v>13.818</v>
      </c>
      <c r="Q135">
        <v>13.353</v>
      </c>
      <c r="R135">
        <v>13.538</v>
      </c>
      <c r="S135">
        <v>15.685</v>
      </c>
      <c r="T135">
        <v>16.364000000000001</v>
      </c>
      <c r="U135">
        <v>16.922999999999998</v>
      </c>
      <c r="V135">
        <v>17.829000000000001</v>
      </c>
      <c r="W135">
        <v>19.207999999999998</v>
      </c>
      <c r="X135">
        <v>20.483000000000001</v>
      </c>
      <c r="Y135">
        <v>23.780999999999999</v>
      </c>
      <c r="Z135">
        <v>27.216999999999999</v>
      </c>
      <c r="AA135">
        <v>35.317</v>
      </c>
      <c r="AB135">
        <v>39.357999999999997</v>
      </c>
      <c r="AC135">
        <v>47.466999999999999</v>
      </c>
      <c r="AD135">
        <v>59.959000000000003</v>
      </c>
      <c r="AE135">
        <v>68.445999999999998</v>
      </c>
      <c r="AF135">
        <v>70.563000000000002</v>
      </c>
      <c r="AG135">
        <v>76.144999999999996</v>
      </c>
      <c r="AH135">
        <v>87.040999999999997</v>
      </c>
      <c r="AI135">
        <v>100.01300000000001</v>
      </c>
      <c r="AJ135">
        <v>102.845</v>
      </c>
      <c r="AK135">
        <v>111.366</v>
      </c>
      <c r="AL135">
        <v>138.27500000000001</v>
      </c>
      <c r="AM135">
        <v>152.24</v>
      </c>
      <c r="AN135">
        <v>165.94200000000001</v>
      </c>
      <c r="AO135">
        <v>190.40199999999999</v>
      </c>
      <c r="AP135">
        <v>221.65600000000001</v>
      </c>
      <c r="AQ135">
        <v>247.697</v>
      </c>
      <c r="AR135">
        <v>267.733</v>
      </c>
      <c r="AS135">
        <v>288.46199999999999</v>
      </c>
      <c r="AT135">
        <v>305.85199999999998</v>
      </c>
      <c r="AU135">
        <v>323.13</v>
      </c>
      <c r="AV135">
        <v>341.798</v>
      </c>
      <c r="AW135">
        <v>359.47800000000001</v>
      </c>
      <c r="AX135">
        <v>377.71899999999999</v>
      </c>
      <c r="AY135">
        <v>2011</v>
      </c>
    </row>
    <row r="136" spans="1:51" ht="14.45" x14ac:dyDescent="0.35">
      <c r="A136">
        <v>618</v>
      </c>
      <c r="B136" t="s">
        <v>378</v>
      </c>
      <c r="C136" t="s">
        <v>298</v>
      </c>
      <c r="D136" t="s">
        <v>71</v>
      </c>
      <c r="E136" t="s">
        <v>299</v>
      </c>
      <c r="F136" t="s">
        <v>300</v>
      </c>
      <c r="G136" t="s">
        <v>282</v>
      </c>
      <c r="H136" t="s">
        <v>283</v>
      </c>
      <c r="I136" t="s">
        <v>380</v>
      </c>
      <c r="J136" t="s">
        <v>285</v>
      </c>
      <c r="K136" t="s">
        <v>285</v>
      </c>
      <c r="L136" t="s">
        <v>285</v>
      </c>
      <c r="M136" t="s">
        <v>285</v>
      </c>
      <c r="N136" t="s">
        <v>285</v>
      </c>
      <c r="O136" t="s">
        <v>285</v>
      </c>
      <c r="P136" t="s">
        <v>285</v>
      </c>
      <c r="Q136" t="s">
        <v>285</v>
      </c>
      <c r="R136" t="s">
        <v>285</v>
      </c>
      <c r="S136" t="s">
        <v>285</v>
      </c>
      <c r="T136">
        <v>39.244</v>
      </c>
      <c r="U136">
        <v>47.377000000000002</v>
      </c>
      <c r="V136">
        <v>68.513999999999996</v>
      </c>
      <c r="W136">
        <v>63.677</v>
      </c>
      <c r="X136">
        <v>52.667999999999999</v>
      </c>
      <c r="Y136">
        <v>64.277000000000001</v>
      </c>
      <c r="Z136">
        <v>74.790999999999997</v>
      </c>
      <c r="AA136">
        <v>74.864999999999995</v>
      </c>
      <c r="AB136">
        <v>92.805000000000007</v>
      </c>
      <c r="AC136">
        <v>115.123</v>
      </c>
      <c r="AD136">
        <v>123.506</v>
      </c>
      <c r="AE136">
        <v>149.809</v>
      </c>
      <c r="AF136">
        <v>151.499</v>
      </c>
      <c r="AG136">
        <v>224.761</v>
      </c>
      <c r="AH136">
        <v>291.19</v>
      </c>
      <c r="AI136">
        <v>316.39499999999998</v>
      </c>
      <c r="AJ136">
        <v>360.97</v>
      </c>
      <c r="AK136">
        <v>571.71</v>
      </c>
      <c r="AL136">
        <v>786.67600000000004</v>
      </c>
      <c r="AM136">
        <v>829.72299999999996</v>
      </c>
      <c r="AN136" s="21">
        <v>1021.529</v>
      </c>
      <c r="AO136" s="21">
        <v>1189.4649999999999</v>
      </c>
      <c r="AP136" s="21">
        <v>1263.663</v>
      </c>
      <c r="AQ136" s="21">
        <v>1325.578</v>
      </c>
      <c r="AR136" s="21">
        <v>1442.135</v>
      </c>
      <c r="AS136" s="21">
        <v>1452.0509999999999</v>
      </c>
      <c r="AT136" s="21">
        <v>1570.452</v>
      </c>
      <c r="AU136" s="21">
        <v>1745.4739999999999</v>
      </c>
      <c r="AV136" s="21">
        <v>1831.895</v>
      </c>
      <c r="AW136" s="21">
        <v>1946.393</v>
      </c>
      <c r="AX136" s="21">
        <v>2098.6849999999999</v>
      </c>
      <c r="AY136">
        <v>2013</v>
      </c>
    </row>
    <row r="137" spans="1:51" ht="14.45" x14ac:dyDescent="0.35">
      <c r="A137">
        <v>624</v>
      </c>
      <c r="B137" t="s">
        <v>381</v>
      </c>
      <c r="C137" t="s">
        <v>279</v>
      </c>
      <c r="D137" t="s">
        <v>382</v>
      </c>
      <c r="E137" t="s">
        <v>280</v>
      </c>
      <c r="F137" t="s">
        <v>281</v>
      </c>
      <c r="G137" t="s">
        <v>282</v>
      </c>
      <c r="H137" t="s">
        <v>283</v>
      </c>
      <c r="I137" t="s">
        <v>383</v>
      </c>
      <c r="J137">
        <v>23.91</v>
      </c>
      <c r="K137">
        <v>25.93</v>
      </c>
      <c r="L137">
        <v>26.661999999999999</v>
      </c>
      <c r="M137">
        <v>29.201000000000001</v>
      </c>
      <c r="N137">
        <v>30.305</v>
      </c>
      <c r="O137">
        <v>32.923999999999999</v>
      </c>
      <c r="P137">
        <v>33.869999999999997</v>
      </c>
      <c r="Q137">
        <v>35.329000000000001</v>
      </c>
      <c r="R137">
        <v>37.448</v>
      </c>
      <c r="S137">
        <v>39.582000000000001</v>
      </c>
      <c r="T137">
        <v>39.856000000000002</v>
      </c>
      <c r="U137">
        <v>40.414999999999999</v>
      </c>
      <c r="V137">
        <v>41.646000000000001</v>
      </c>
      <c r="W137">
        <v>44.69</v>
      </c>
      <c r="X137">
        <v>47.786999999999999</v>
      </c>
      <c r="Y137">
        <v>51.366999999999997</v>
      </c>
      <c r="Z137">
        <v>54.805</v>
      </c>
      <c r="AA137">
        <v>58.991999999999997</v>
      </c>
      <c r="AB137">
        <v>63.954999999999998</v>
      </c>
      <c r="AC137">
        <v>71.540000000000006</v>
      </c>
      <c r="AD137">
        <v>76.739000000000004</v>
      </c>
      <c r="AE137">
        <v>81.448999999999998</v>
      </c>
      <c r="AF137">
        <v>85.751999999999995</v>
      </c>
      <c r="AG137">
        <v>92.185000000000002</v>
      </c>
      <c r="AH137">
        <v>96.727000000000004</v>
      </c>
      <c r="AI137">
        <v>102.34699999999999</v>
      </c>
      <c r="AJ137">
        <v>111.679</v>
      </c>
      <c r="AK137">
        <v>121.974</v>
      </c>
      <c r="AL137">
        <v>130.08600000000001</v>
      </c>
      <c r="AM137">
        <v>128.453</v>
      </c>
      <c r="AN137">
        <v>130.34299999999999</v>
      </c>
      <c r="AO137">
        <v>135.51900000000001</v>
      </c>
      <c r="AP137">
        <v>136.94800000000001</v>
      </c>
      <c r="AQ137">
        <v>138.36799999999999</v>
      </c>
      <c r="AR137">
        <v>140.91399999999999</v>
      </c>
      <c r="AS137">
        <v>145.78299999999999</v>
      </c>
      <c r="AT137">
        <v>151.10900000000001</v>
      </c>
      <c r="AU137">
        <v>156.63499999999999</v>
      </c>
      <c r="AV137">
        <v>162.93899999999999</v>
      </c>
      <c r="AW137">
        <v>169.81899999999999</v>
      </c>
      <c r="AX137">
        <v>177.018</v>
      </c>
      <c r="AY137">
        <v>2014</v>
      </c>
    </row>
    <row r="138" spans="1:51" ht="14.45" x14ac:dyDescent="0.35">
      <c r="A138">
        <v>624</v>
      </c>
      <c r="B138" t="s">
        <v>381</v>
      </c>
      <c r="C138" t="s">
        <v>286</v>
      </c>
      <c r="D138" t="s">
        <v>382</v>
      </c>
      <c r="E138" t="s">
        <v>287</v>
      </c>
      <c r="F138" t="s">
        <v>288</v>
      </c>
      <c r="G138" t="s">
        <v>282</v>
      </c>
      <c r="H138" t="s">
        <v>283</v>
      </c>
      <c r="I138" t="s">
        <v>383</v>
      </c>
      <c r="J138">
        <v>6.2910000000000004</v>
      </c>
      <c r="K138">
        <v>7.4770000000000003</v>
      </c>
      <c r="L138">
        <v>9.0259999999999998</v>
      </c>
      <c r="M138">
        <v>10.930999999999999</v>
      </c>
      <c r="N138">
        <v>12.34</v>
      </c>
      <c r="O138">
        <v>13.898</v>
      </c>
      <c r="P138">
        <v>16.827000000000002</v>
      </c>
      <c r="Q138">
        <v>18.838999999999999</v>
      </c>
      <c r="R138">
        <v>21.052</v>
      </c>
      <c r="S138">
        <v>23.036999999999999</v>
      </c>
      <c r="T138">
        <v>23.748999999999999</v>
      </c>
      <c r="U138">
        <v>25.242999999999999</v>
      </c>
      <c r="V138">
        <v>26.84</v>
      </c>
      <c r="W138">
        <v>32.011000000000003</v>
      </c>
      <c r="X138">
        <v>36.652999999999999</v>
      </c>
      <c r="Y138">
        <v>41.215000000000003</v>
      </c>
      <c r="Z138">
        <v>45.640999999999998</v>
      </c>
      <c r="AA138">
        <v>50.292000000000002</v>
      </c>
      <c r="AB138">
        <v>56.396999999999998</v>
      </c>
      <c r="AC138">
        <v>67.501000000000005</v>
      </c>
      <c r="AD138">
        <v>70.536000000000001</v>
      </c>
      <c r="AE138">
        <v>75.847999999999999</v>
      </c>
      <c r="AF138">
        <v>79.596999999999994</v>
      </c>
      <c r="AG138">
        <v>87.09</v>
      </c>
      <c r="AH138">
        <v>90.811000000000007</v>
      </c>
      <c r="AI138">
        <v>96.69</v>
      </c>
      <c r="AJ138">
        <v>108.72199999999999</v>
      </c>
      <c r="AK138">
        <v>121.974</v>
      </c>
      <c r="AL138">
        <v>134.69800000000001</v>
      </c>
      <c r="AM138">
        <v>135.87899999999999</v>
      </c>
      <c r="AN138">
        <v>138.56899999999999</v>
      </c>
      <c r="AO138">
        <v>147.92400000000001</v>
      </c>
      <c r="AP138">
        <v>150.351</v>
      </c>
      <c r="AQ138">
        <v>152.63999999999999</v>
      </c>
      <c r="AR138">
        <v>154.15600000000001</v>
      </c>
      <c r="AS138">
        <v>162.744</v>
      </c>
      <c r="AT138">
        <v>172.857</v>
      </c>
      <c r="AU138">
        <v>183.66499999999999</v>
      </c>
      <c r="AV138">
        <v>195.89099999999999</v>
      </c>
      <c r="AW138">
        <v>209.31100000000001</v>
      </c>
      <c r="AX138">
        <v>223.7</v>
      </c>
      <c r="AY138">
        <v>2014</v>
      </c>
    </row>
    <row r="139" spans="1:51" ht="14.45" x14ac:dyDescent="0.35">
      <c r="A139">
        <v>624</v>
      </c>
      <c r="B139" t="s">
        <v>381</v>
      </c>
      <c r="C139" t="s">
        <v>289</v>
      </c>
      <c r="D139" t="s">
        <v>382</v>
      </c>
      <c r="E139" t="s">
        <v>287</v>
      </c>
      <c r="F139" t="s">
        <v>290</v>
      </c>
      <c r="G139" t="s">
        <v>291</v>
      </c>
      <c r="H139" t="s">
        <v>283</v>
      </c>
      <c r="I139" t="s">
        <v>292</v>
      </c>
      <c r="J139">
        <v>0.157</v>
      </c>
      <c r="K139">
        <v>0.154</v>
      </c>
      <c r="L139">
        <v>0.155</v>
      </c>
      <c r="M139">
        <v>0.152</v>
      </c>
      <c r="N139">
        <v>0.14499999999999999</v>
      </c>
      <c r="O139">
        <v>0.152</v>
      </c>
      <c r="P139">
        <v>0.21</v>
      </c>
      <c r="Q139">
        <v>0.26</v>
      </c>
      <c r="R139">
        <v>0.29199999999999998</v>
      </c>
      <c r="S139">
        <v>0.29499999999999998</v>
      </c>
      <c r="T139">
        <v>0.33900000000000002</v>
      </c>
      <c r="U139">
        <v>0.35299999999999998</v>
      </c>
      <c r="V139">
        <v>0.39500000000000002</v>
      </c>
      <c r="W139">
        <v>0.39800000000000002</v>
      </c>
      <c r="X139">
        <v>0.44800000000000001</v>
      </c>
      <c r="Y139">
        <v>0.53600000000000003</v>
      </c>
      <c r="Z139">
        <v>0.55300000000000005</v>
      </c>
      <c r="AA139">
        <v>0.54</v>
      </c>
      <c r="AB139">
        <v>0.57499999999999996</v>
      </c>
      <c r="AC139">
        <v>0.65200000000000002</v>
      </c>
      <c r="AD139">
        <v>0.58899999999999997</v>
      </c>
      <c r="AE139">
        <v>0.61599999999999999</v>
      </c>
      <c r="AF139">
        <v>0.67900000000000005</v>
      </c>
      <c r="AG139">
        <v>0.89100000000000001</v>
      </c>
      <c r="AH139">
        <v>1.0229999999999999</v>
      </c>
      <c r="AI139">
        <v>1.0900000000000001</v>
      </c>
      <c r="AJ139">
        <v>1.2370000000000001</v>
      </c>
      <c r="AK139">
        <v>1.514</v>
      </c>
      <c r="AL139">
        <v>1.7889999999999999</v>
      </c>
      <c r="AM139">
        <v>1.712</v>
      </c>
      <c r="AN139">
        <v>1.6639999999999999</v>
      </c>
      <c r="AO139">
        <v>1.865</v>
      </c>
      <c r="AP139">
        <v>1.752</v>
      </c>
      <c r="AQ139">
        <v>1.8380000000000001</v>
      </c>
      <c r="AR139">
        <v>1.8580000000000001</v>
      </c>
      <c r="AS139">
        <v>1.641</v>
      </c>
      <c r="AT139">
        <v>1.7470000000000001</v>
      </c>
      <c r="AU139">
        <v>1.8759999999999999</v>
      </c>
      <c r="AV139">
        <v>2.0219999999999998</v>
      </c>
      <c r="AW139">
        <v>2.1760000000000002</v>
      </c>
      <c r="AX139">
        <v>2.363</v>
      </c>
      <c r="AY139">
        <v>2014</v>
      </c>
    </row>
    <row r="140" spans="1:51" ht="14.45" x14ac:dyDescent="0.35">
      <c r="A140">
        <v>624</v>
      </c>
      <c r="B140" t="s">
        <v>381</v>
      </c>
      <c r="C140" t="s">
        <v>293</v>
      </c>
      <c r="D140" t="s">
        <v>382</v>
      </c>
      <c r="E140" t="s">
        <v>294</v>
      </c>
      <c r="F140" t="s">
        <v>295</v>
      </c>
      <c r="G140" t="s">
        <v>296</v>
      </c>
      <c r="I140" t="s">
        <v>297</v>
      </c>
      <c r="J140">
        <v>26.312999999999999</v>
      </c>
      <c r="K140">
        <v>28.835000000000001</v>
      </c>
      <c r="L140">
        <v>33.853999999999999</v>
      </c>
      <c r="M140">
        <v>37.433</v>
      </c>
      <c r="N140">
        <v>40.718000000000004</v>
      </c>
      <c r="O140">
        <v>42.210999999999999</v>
      </c>
      <c r="P140">
        <v>49.683</v>
      </c>
      <c r="Q140">
        <v>53.325000000000003</v>
      </c>
      <c r="R140">
        <v>56.216999999999999</v>
      </c>
      <c r="S140">
        <v>58.201999999999998</v>
      </c>
      <c r="T140">
        <v>59.587000000000003</v>
      </c>
      <c r="U140">
        <v>62.457999999999998</v>
      </c>
      <c r="V140">
        <v>64.447000000000003</v>
      </c>
      <c r="W140">
        <v>71.628</v>
      </c>
      <c r="X140">
        <v>76.701999999999998</v>
      </c>
      <c r="Y140">
        <v>80.236000000000004</v>
      </c>
      <c r="Z140">
        <v>83.278000000000006</v>
      </c>
      <c r="AA140">
        <v>85.251000000000005</v>
      </c>
      <c r="AB140">
        <v>88.180999999999997</v>
      </c>
      <c r="AC140">
        <v>94.352999999999994</v>
      </c>
      <c r="AD140">
        <v>91.915999999999997</v>
      </c>
      <c r="AE140">
        <v>93.123000000000005</v>
      </c>
      <c r="AF140">
        <v>92.822000000000003</v>
      </c>
      <c r="AG140">
        <v>94.472999999999999</v>
      </c>
      <c r="AH140">
        <v>93.885000000000005</v>
      </c>
      <c r="AI140">
        <v>94.472999999999999</v>
      </c>
      <c r="AJ140">
        <v>97.352999999999994</v>
      </c>
      <c r="AK140">
        <v>100</v>
      </c>
      <c r="AL140">
        <v>103.54600000000001</v>
      </c>
      <c r="AM140">
        <v>105.78100000000001</v>
      </c>
      <c r="AN140">
        <v>106.31</v>
      </c>
      <c r="AO140">
        <v>109.154</v>
      </c>
      <c r="AP140">
        <v>109.78700000000001</v>
      </c>
      <c r="AQ140">
        <v>110.31399999999999</v>
      </c>
      <c r="AR140">
        <v>109.398</v>
      </c>
      <c r="AS140">
        <v>111.634</v>
      </c>
      <c r="AT140">
        <v>114.393</v>
      </c>
      <c r="AU140">
        <v>117.25700000000001</v>
      </c>
      <c r="AV140">
        <v>120.223</v>
      </c>
      <c r="AW140">
        <v>123.255</v>
      </c>
      <c r="AX140">
        <v>126.371</v>
      </c>
      <c r="AY140">
        <v>2014</v>
      </c>
    </row>
    <row r="141" spans="1:51" ht="14.45" x14ac:dyDescent="0.35">
      <c r="A141">
        <v>624</v>
      </c>
      <c r="B141" t="s">
        <v>381</v>
      </c>
      <c r="C141" t="s">
        <v>298</v>
      </c>
      <c r="D141" t="s">
        <v>382</v>
      </c>
      <c r="E141" t="s">
        <v>299</v>
      </c>
      <c r="F141" t="s">
        <v>300</v>
      </c>
      <c r="G141" t="s">
        <v>282</v>
      </c>
      <c r="H141" t="s">
        <v>283</v>
      </c>
      <c r="I141" t="s">
        <v>384</v>
      </c>
      <c r="J141" t="s">
        <v>285</v>
      </c>
      <c r="K141" t="s">
        <v>285</v>
      </c>
      <c r="L141" t="s">
        <v>285</v>
      </c>
      <c r="M141" t="s">
        <v>285</v>
      </c>
      <c r="N141" t="s">
        <v>285</v>
      </c>
      <c r="O141" t="s">
        <v>285</v>
      </c>
      <c r="P141" t="s">
        <v>285</v>
      </c>
      <c r="Q141" t="s">
        <v>285</v>
      </c>
      <c r="R141" t="s">
        <v>285</v>
      </c>
      <c r="S141" t="s">
        <v>285</v>
      </c>
      <c r="T141" t="s">
        <v>285</v>
      </c>
      <c r="U141" t="s">
        <v>285</v>
      </c>
      <c r="V141" t="s">
        <v>285</v>
      </c>
      <c r="W141" t="s">
        <v>285</v>
      </c>
      <c r="X141">
        <v>17.699000000000002</v>
      </c>
      <c r="Y141">
        <v>19.507999999999999</v>
      </c>
      <c r="Z141">
        <v>19.646999999999998</v>
      </c>
      <c r="AA141">
        <v>19.745999999999999</v>
      </c>
      <c r="AB141">
        <v>18.975999999999999</v>
      </c>
      <c r="AC141">
        <v>24.881</v>
      </c>
      <c r="AD141">
        <v>29.725999999999999</v>
      </c>
      <c r="AE141">
        <v>23.555</v>
      </c>
      <c r="AF141">
        <v>28.994</v>
      </c>
      <c r="AG141">
        <v>25.29</v>
      </c>
      <c r="AH141">
        <v>29.449000000000002</v>
      </c>
      <c r="AI141">
        <v>32.436999999999998</v>
      </c>
      <c r="AJ141">
        <v>36.252000000000002</v>
      </c>
      <c r="AK141">
        <v>35.985999999999997</v>
      </c>
      <c r="AL141">
        <v>39.911000000000001</v>
      </c>
      <c r="AM141">
        <v>44.615000000000002</v>
      </c>
      <c r="AN141">
        <v>53.587000000000003</v>
      </c>
      <c r="AO141">
        <v>49.234999999999999</v>
      </c>
      <c r="AP141">
        <v>52.151000000000003</v>
      </c>
      <c r="AQ141">
        <v>51.332000000000001</v>
      </c>
      <c r="AR141">
        <v>46.783999999999999</v>
      </c>
      <c r="AS141">
        <v>48.112000000000002</v>
      </c>
      <c r="AT141">
        <v>50.497999999999998</v>
      </c>
      <c r="AU141">
        <v>54.988999999999997</v>
      </c>
      <c r="AV141">
        <v>54.624000000000002</v>
      </c>
      <c r="AW141">
        <v>58.091999999999999</v>
      </c>
      <c r="AX141">
        <v>58.518000000000001</v>
      </c>
      <c r="AY141">
        <v>2014</v>
      </c>
    </row>
    <row r="142" spans="1:51" ht="14.45" x14ac:dyDescent="0.35">
      <c r="A142">
        <v>522</v>
      </c>
      <c r="B142" t="s">
        <v>385</v>
      </c>
      <c r="C142" t="s">
        <v>279</v>
      </c>
      <c r="D142" t="s">
        <v>72</v>
      </c>
      <c r="E142" t="s">
        <v>280</v>
      </c>
      <c r="F142" t="s">
        <v>281</v>
      </c>
      <c r="G142" t="s">
        <v>282</v>
      </c>
      <c r="H142" t="s">
        <v>283</v>
      </c>
      <c r="I142" t="s">
        <v>386</v>
      </c>
      <c r="J142" t="s">
        <v>285</v>
      </c>
      <c r="K142" t="s">
        <v>285</v>
      </c>
      <c r="L142" t="s">
        <v>285</v>
      </c>
      <c r="M142" t="s">
        <v>285</v>
      </c>
      <c r="N142" t="s">
        <v>285</v>
      </c>
      <c r="O142" t="s">
        <v>285</v>
      </c>
      <c r="P142" t="s">
        <v>285</v>
      </c>
      <c r="Q142" s="21">
        <v>6260.5789999999997</v>
      </c>
      <c r="R142" s="21">
        <v>6862.5969999999998</v>
      </c>
      <c r="S142" s="21">
        <v>7090.9179999999997</v>
      </c>
      <c r="T142" s="21">
        <v>7170.1850000000004</v>
      </c>
      <c r="U142" s="21">
        <v>7714.5519999999997</v>
      </c>
      <c r="V142" s="21">
        <v>8259.91</v>
      </c>
      <c r="W142" s="21">
        <v>8593.7790000000005</v>
      </c>
      <c r="X142" s="21">
        <v>9296.8729999999996</v>
      </c>
      <c r="Y142" s="21">
        <v>9895.8619999999992</v>
      </c>
      <c r="Z142" s="21">
        <v>10431.459000000001</v>
      </c>
      <c r="AA142" s="21">
        <v>11017.686</v>
      </c>
      <c r="AB142" s="21">
        <v>11569.565000000001</v>
      </c>
      <c r="AC142" s="21">
        <v>12947.472</v>
      </c>
      <c r="AD142" s="21">
        <v>14082.638000000001</v>
      </c>
      <c r="AE142" s="21">
        <v>15230.146000000001</v>
      </c>
      <c r="AF142" s="21">
        <v>16232.128000000001</v>
      </c>
      <c r="AG142" s="21">
        <v>17612.815999999999</v>
      </c>
      <c r="AH142" s="21">
        <v>19434.074000000001</v>
      </c>
      <c r="AI142" s="21">
        <v>22009.106</v>
      </c>
      <c r="AJ142" s="21">
        <v>24379.724999999999</v>
      </c>
      <c r="AK142" s="21">
        <v>26869.523000000001</v>
      </c>
      <c r="AL142" s="21">
        <v>28667.518</v>
      </c>
      <c r="AM142" s="21">
        <v>28692.370999999999</v>
      </c>
      <c r="AN142" s="21">
        <v>30403.32</v>
      </c>
      <c r="AO142" s="21">
        <v>32552.704000000002</v>
      </c>
      <c r="AP142" s="21">
        <v>34933.396000000001</v>
      </c>
      <c r="AQ142" s="21">
        <v>37528.213000000003</v>
      </c>
      <c r="AR142" s="21">
        <v>40156.506000000001</v>
      </c>
      <c r="AS142" s="21">
        <v>42947.442999999999</v>
      </c>
      <c r="AT142" s="21">
        <v>46029.409</v>
      </c>
      <c r="AU142" s="21">
        <v>49335.879000000001</v>
      </c>
      <c r="AV142" s="21">
        <v>52957.455000000002</v>
      </c>
      <c r="AW142" s="21">
        <v>56802.076999999997</v>
      </c>
      <c r="AX142" s="21">
        <v>60925.944000000003</v>
      </c>
      <c r="AY142">
        <v>2013</v>
      </c>
    </row>
    <row r="143" spans="1:51" ht="14.45" x14ac:dyDescent="0.35">
      <c r="A143">
        <v>522</v>
      </c>
      <c r="B143" t="s">
        <v>385</v>
      </c>
      <c r="C143" t="s">
        <v>286</v>
      </c>
      <c r="D143" t="s">
        <v>72</v>
      </c>
      <c r="E143" t="s">
        <v>287</v>
      </c>
      <c r="F143" t="s">
        <v>288</v>
      </c>
      <c r="G143" t="s">
        <v>282</v>
      </c>
      <c r="H143" t="s">
        <v>283</v>
      </c>
      <c r="I143" t="s">
        <v>386</v>
      </c>
      <c r="J143" t="s">
        <v>285</v>
      </c>
      <c r="K143" t="s">
        <v>285</v>
      </c>
      <c r="L143" t="s">
        <v>285</v>
      </c>
      <c r="M143" t="s">
        <v>285</v>
      </c>
      <c r="N143" t="s">
        <v>285</v>
      </c>
      <c r="O143" t="s">
        <v>285</v>
      </c>
      <c r="P143">
        <v>183.155</v>
      </c>
      <c r="Q143">
        <v>125.581</v>
      </c>
      <c r="R143">
        <v>241.31200000000001</v>
      </c>
      <c r="S143">
        <v>296.71499999999997</v>
      </c>
      <c r="T143">
        <v>737.47799999999995</v>
      </c>
      <c r="U143" s="21">
        <v>1644.86</v>
      </c>
      <c r="V143" s="21">
        <v>3089.0369999999998</v>
      </c>
      <c r="W143" s="21">
        <v>6665.6229999999996</v>
      </c>
      <c r="X143" s="21">
        <v>7105.04</v>
      </c>
      <c r="Y143" s="21">
        <v>8433.7070000000003</v>
      </c>
      <c r="Z143" s="21">
        <v>9201.9210000000003</v>
      </c>
      <c r="AA143" s="21">
        <v>10145.329</v>
      </c>
      <c r="AB143" s="21">
        <v>11720.317999999999</v>
      </c>
      <c r="AC143" s="21">
        <v>13376.073</v>
      </c>
      <c r="AD143" s="21">
        <v>14082.638000000001</v>
      </c>
      <c r="AE143" s="21">
        <v>15633.218000000001</v>
      </c>
      <c r="AF143" s="21">
        <v>16780.54</v>
      </c>
      <c r="AG143" s="21">
        <v>18535.164000000001</v>
      </c>
      <c r="AH143" s="21">
        <v>21438.34</v>
      </c>
      <c r="AI143" s="21">
        <v>25754.291000000001</v>
      </c>
      <c r="AJ143" s="21">
        <v>29849.485000000001</v>
      </c>
      <c r="AK143" s="21">
        <v>35042.180999999997</v>
      </c>
      <c r="AL143" s="21">
        <v>41968.385000000002</v>
      </c>
      <c r="AM143" s="21">
        <v>43056.732000000004</v>
      </c>
      <c r="AN143" s="21">
        <v>47047.985000000001</v>
      </c>
      <c r="AO143" s="21">
        <v>52068.692999999999</v>
      </c>
      <c r="AP143" s="21">
        <v>56681.569000000003</v>
      </c>
      <c r="AQ143" s="21">
        <v>61866.089</v>
      </c>
      <c r="AR143" s="21">
        <v>66825.093999999997</v>
      </c>
      <c r="AS143" s="21">
        <v>72767.39</v>
      </c>
      <c r="AT143" s="21">
        <v>80043.513999999996</v>
      </c>
      <c r="AU143" s="21">
        <v>88108.222999999998</v>
      </c>
      <c r="AV143" s="21">
        <v>97273.354000000007</v>
      </c>
      <c r="AW143" s="21">
        <v>107275.448</v>
      </c>
      <c r="AX143" s="21">
        <v>118333.257</v>
      </c>
      <c r="AY143">
        <v>2013</v>
      </c>
    </row>
    <row r="144" spans="1:51" ht="14.45" x14ac:dyDescent="0.35">
      <c r="A144">
        <v>522</v>
      </c>
      <c r="B144" t="s">
        <v>385</v>
      </c>
      <c r="C144" t="s">
        <v>289</v>
      </c>
      <c r="D144" t="s">
        <v>72</v>
      </c>
      <c r="E144" t="s">
        <v>287</v>
      </c>
      <c r="F144" t="s">
        <v>290</v>
      </c>
      <c r="G144" t="s">
        <v>291</v>
      </c>
      <c r="H144" t="s">
        <v>283</v>
      </c>
      <c r="I144" t="s">
        <v>292</v>
      </c>
      <c r="J144" t="s">
        <v>285</v>
      </c>
      <c r="K144" t="s">
        <v>285</v>
      </c>
      <c r="L144" t="s">
        <v>285</v>
      </c>
      <c r="M144" t="s">
        <v>285</v>
      </c>
      <c r="N144" t="s">
        <v>285</v>
      </c>
      <c r="O144" t="s">
        <v>285</v>
      </c>
      <c r="P144">
        <v>0.20499999999999999</v>
      </c>
      <c r="Q144">
        <v>0.14099999999999999</v>
      </c>
      <c r="R144">
        <v>0.27600000000000002</v>
      </c>
      <c r="S144">
        <v>0.34599999999999997</v>
      </c>
      <c r="T144">
        <v>0.89900000000000002</v>
      </c>
      <c r="U144">
        <v>2.0110000000000001</v>
      </c>
      <c r="V144">
        <v>2.4390000000000001</v>
      </c>
      <c r="W144">
        <v>2.427</v>
      </c>
      <c r="X144">
        <v>2.7650000000000001</v>
      </c>
      <c r="Y144">
        <v>3.4409999999999998</v>
      </c>
      <c r="Z144">
        <v>3.5070000000000001</v>
      </c>
      <c r="AA144">
        <v>3.4430000000000001</v>
      </c>
      <c r="AB144">
        <v>3.13</v>
      </c>
      <c r="AC144">
        <v>3.5129999999999999</v>
      </c>
      <c r="AD144">
        <v>3.6669999999999998</v>
      </c>
      <c r="AE144">
        <v>3.992</v>
      </c>
      <c r="AF144">
        <v>4.2889999999999997</v>
      </c>
      <c r="AG144">
        <v>4.665</v>
      </c>
      <c r="AH144">
        <v>5.3339999999999996</v>
      </c>
      <c r="AI144">
        <v>6.2869999999999999</v>
      </c>
      <c r="AJ144">
        <v>7.2679999999999998</v>
      </c>
      <c r="AK144">
        <v>8.6300000000000008</v>
      </c>
      <c r="AL144">
        <v>10.342000000000001</v>
      </c>
      <c r="AM144">
        <v>10.391</v>
      </c>
      <c r="AN144">
        <v>11.231999999999999</v>
      </c>
      <c r="AO144">
        <v>12.818</v>
      </c>
      <c r="AP144">
        <v>14.057</v>
      </c>
      <c r="AQ144">
        <v>15.362</v>
      </c>
      <c r="AR144">
        <v>16.550999999999998</v>
      </c>
      <c r="AS144">
        <v>17.713999999999999</v>
      </c>
      <c r="AT144">
        <v>19.198</v>
      </c>
      <c r="AU144">
        <v>20.86</v>
      </c>
      <c r="AV144">
        <v>22.765000000000001</v>
      </c>
      <c r="AW144">
        <v>24.83</v>
      </c>
      <c r="AX144">
        <v>27.088999999999999</v>
      </c>
      <c r="AY144">
        <v>2013</v>
      </c>
    </row>
    <row r="145" spans="1:51" ht="14.45" x14ac:dyDescent="0.35">
      <c r="A145">
        <v>522</v>
      </c>
      <c r="B145" t="s">
        <v>385</v>
      </c>
      <c r="C145" t="s">
        <v>293</v>
      </c>
      <c r="D145" t="s">
        <v>72</v>
      </c>
      <c r="E145" t="s">
        <v>294</v>
      </c>
      <c r="F145" t="s">
        <v>295</v>
      </c>
      <c r="G145" t="s">
        <v>296</v>
      </c>
      <c r="I145" t="s">
        <v>297</v>
      </c>
      <c r="J145" t="s">
        <v>285</v>
      </c>
      <c r="K145" t="s">
        <v>285</v>
      </c>
      <c r="L145" t="s">
        <v>285</v>
      </c>
      <c r="M145" t="s">
        <v>285</v>
      </c>
      <c r="N145" t="s">
        <v>285</v>
      </c>
      <c r="O145" t="s">
        <v>285</v>
      </c>
      <c r="P145" t="s">
        <v>285</v>
      </c>
      <c r="Q145">
        <v>2.0059999999999998</v>
      </c>
      <c r="R145">
        <v>3.516</v>
      </c>
      <c r="S145">
        <v>4.1840000000000002</v>
      </c>
      <c r="T145">
        <v>10.285</v>
      </c>
      <c r="U145">
        <v>21.321999999999999</v>
      </c>
      <c r="V145">
        <v>37.398000000000003</v>
      </c>
      <c r="W145">
        <v>77.563000000000002</v>
      </c>
      <c r="X145">
        <v>76.424000000000007</v>
      </c>
      <c r="Y145">
        <v>85.224999999999994</v>
      </c>
      <c r="Z145">
        <v>88.212999999999994</v>
      </c>
      <c r="AA145">
        <v>92.081999999999994</v>
      </c>
      <c r="AB145">
        <v>101.303</v>
      </c>
      <c r="AC145">
        <v>103.31</v>
      </c>
      <c r="AD145">
        <v>100</v>
      </c>
      <c r="AE145">
        <v>102.64700000000001</v>
      </c>
      <c r="AF145">
        <v>103.379</v>
      </c>
      <c r="AG145">
        <v>105.23699999999999</v>
      </c>
      <c r="AH145">
        <v>110.313</v>
      </c>
      <c r="AI145">
        <v>117.017</v>
      </c>
      <c r="AJ145">
        <v>122.43600000000001</v>
      </c>
      <c r="AK145">
        <v>130.416</v>
      </c>
      <c r="AL145">
        <v>146.39699999999999</v>
      </c>
      <c r="AM145">
        <v>150.06299999999999</v>
      </c>
      <c r="AN145">
        <v>154.74600000000001</v>
      </c>
      <c r="AO145">
        <v>159.952</v>
      </c>
      <c r="AP145">
        <v>162.256</v>
      </c>
      <c r="AQ145">
        <v>164.852</v>
      </c>
      <c r="AR145">
        <v>166.41200000000001</v>
      </c>
      <c r="AS145">
        <v>169.434</v>
      </c>
      <c r="AT145">
        <v>173.89599999999999</v>
      </c>
      <c r="AU145">
        <v>178.589</v>
      </c>
      <c r="AV145">
        <v>183.68199999999999</v>
      </c>
      <c r="AW145">
        <v>188.858</v>
      </c>
      <c r="AX145">
        <v>194.22499999999999</v>
      </c>
      <c r="AY145">
        <v>2013</v>
      </c>
    </row>
    <row r="146" spans="1:51" ht="14.45" x14ac:dyDescent="0.35">
      <c r="A146">
        <v>522</v>
      </c>
      <c r="B146" t="s">
        <v>385</v>
      </c>
      <c r="C146" t="s">
        <v>298</v>
      </c>
      <c r="D146" t="s">
        <v>72</v>
      </c>
      <c r="E146" t="s">
        <v>299</v>
      </c>
      <c r="F146" t="s">
        <v>300</v>
      </c>
      <c r="G146" t="s">
        <v>282</v>
      </c>
      <c r="H146" t="s">
        <v>283</v>
      </c>
      <c r="I146" t="s">
        <v>387</v>
      </c>
      <c r="J146" t="s">
        <v>285</v>
      </c>
      <c r="K146" t="s">
        <v>285</v>
      </c>
      <c r="L146" t="s">
        <v>285</v>
      </c>
      <c r="M146" t="s">
        <v>285</v>
      </c>
      <c r="N146" t="s">
        <v>285</v>
      </c>
      <c r="O146" t="s">
        <v>285</v>
      </c>
      <c r="P146" t="s">
        <v>285</v>
      </c>
      <c r="Q146" t="s">
        <v>285</v>
      </c>
      <c r="R146" t="s">
        <v>285</v>
      </c>
      <c r="S146" t="s">
        <v>285</v>
      </c>
      <c r="T146" t="s">
        <v>285</v>
      </c>
      <c r="U146" t="s">
        <v>285</v>
      </c>
      <c r="V146" t="s">
        <v>285</v>
      </c>
      <c r="W146" t="s">
        <v>285</v>
      </c>
      <c r="X146" t="s">
        <v>285</v>
      </c>
      <c r="Y146" t="s">
        <v>285</v>
      </c>
      <c r="Z146" s="21">
        <v>1441.472</v>
      </c>
      <c r="AA146" s="21">
        <v>1259.7539999999999</v>
      </c>
      <c r="AB146" s="21">
        <v>1571.1990000000001</v>
      </c>
      <c r="AC146" s="21">
        <v>1846.72</v>
      </c>
      <c r="AD146" s="21">
        <v>2118.6979999999999</v>
      </c>
      <c r="AE146" s="21">
        <v>2365.7310000000002</v>
      </c>
      <c r="AF146" s="21">
        <v>2832.527</v>
      </c>
      <c r="AG146" s="21">
        <v>2919.1</v>
      </c>
      <c r="AH146" s="21">
        <v>2972.355</v>
      </c>
      <c r="AI146" s="21">
        <v>3175.9720000000002</v>
      </c>
      <c r="AJ146" s="21">
        <v>3866.2159999999999</v>
      </c>
      <c r="AK146" s="21">
        <v>5000.6970000000001</v>
      </c>
      <c r="AL146" s="21">
        <v>6455.9179999999997</v>
      </c>
      <c r="AM146" s="21">
        <v>8550.4419999999991</v>
      </c>
      <c r="AN146" s="21">
        <v>9363.4349999999995</v>
      </c>
      <c r="AO146" s="21">
        <v>10236.115</v>
      </c>
      <c r="AP146" s="21">
        <v>11740.132</v>
      </c>
      <c r="AQ146" s="21">
        <v>12685.05</v>
      </c>
      <c r="AR146" s="21">
        <v>14160.043</v>
      </c>
      <c r="AS146" s="21">
        <v>15564.602999999999</v>
      </c>
      <c r="AT146" s="21">
        <v>17583.161</v>
      </c>
      <c r="AU146" s="21">
        <v>19793.616999999998</v>
      </c>
      <c r="AV146" s="21">
        <v>22208.531999999999</v>
      </c>
      <c r="AW146" s="21">
        <v>24478.167000000001</v>
      </c>
      <c r="AX146" s="21">
        <v>26970.473000000002</v>
      </c>
      <c r="AY146">
        <v>2014</v>
      </c>
    </row>
    <row r="147" spans="1:51" ht="14.45" x14ac:dyDescent="0.35">
      <c r="A147">
        <v>622</v>
      </c>
      <c r="B147" t="s">
        <v>388</v>
      </c>
      <c r="C147" t="s">
        <v>279</v>
      </c>
      <c r="D147" t="s">
        <v>73</v>
      </c>
      <c r="E147" t="s">
        <v>280</v>
      </c>
      <c r="F147" t="s">
        <v>281</v>
      </c>
      <c r="G147" t="s">
        <v>282</v>
      </c>
      <c r="H147" t="s">
        <v>283</v>
      </c>
      <c r="I147" t="s">
        <v>389</v>
      </c>
      <c r="J147" s="21">
        <v>4155.8239999999996</v>
      </c>
      <c r="K147" s="21">
        <v>4864.4170000000004</v>
      </c>
      <c r="L147" s="21">
        <v>5232.3320000000003</v>
      </c>
      <c r="M147" s="21">
        <v>5590.4449999999997</v>
      </c>
      <c r="N147" s="21">
        <v>6007.92</v>
      </c>
      <c r="O147" s="21">
        <v>6494.9989999999998</v>
      </c>
      <c r="P147" s="21">
        <v>6936.0789999999997</v>
      </c>
      <c r="Q147" s="21">
        <v>6786.7669999999998</v>
      </c>
      <c r="R147" s="21">
        <v>6253.0060000000003</v>
      </c>
      <c r="S147" s="21">
        <v>6142.3459999999995</v>
      </c>
      <c r="T147" s="21">
        <v>5763.9089999999997</v>
      </c>
      <c r="U147" s="21">
        <v>5546.9530000000004</v>
      </c>
      <c r="V147" s="21">
        <v>5377.7619999999997</v>
      </c>
      <c r="W147" s="21">
        <v>5207.9269999999997</v>
      </c>
      <c r="X147" s="21">
        <v>5077.99</v>
      </c>
      <c r="Y147" s="21">
        <v>5245.7879999999996</v>
      </c>
      <c r="Z147" s="21">
        <v>5508.0770000000002</v>
      </c>
      <c r="AA147" s="21">
        <v>5788.9889999999996</v>
      </c>
      <c r="AB147" s="21">
        <v>6081.3270000000002</v>
      </c>
      <c r="AC147" s="21">
        <v>6348.9059999999999</v>
      </c>
      <c r="AD147" s="21">
        <v>6612.3850000000002</v>
      </c>
      <c r="AE147" s="21">
        <v>6910.8860000000004</v>
      </c>
      <c r="AF147" s="21">
        <v>7187.9470000000001</v>
      </c>
      <c r="AG147" s="21">
        <v>7477.6930000000002</v>
      </c>
      <c r="AH147" s="21">
        <v>7754.5060000000003</v>
      </c>
      <c r="AI147" s="21">
        <v>7932.6</v>
      </c>
      <c r="AJ147" s="21">
        <v>8188.2</v>
      </c>
      <c r="AK147" s="21">
        <v>8454.8880000000008</v>
      </c>
      <c r="AL147" s="21">
        <v>8698.7939999999999</v>
      </c>
      <c r="AM147" s="21">
        <v>8866.8109999999997</v>
      </c>
      <c r="AN147" s="21">
        <v>9156.69</v>
      </c>
      <c r="AO147" s="21">
        <v>9535.82</v>
      </c>
      <c r="AP147" s="21">
        <v>9974.2909999999993</v>
      </c>
      <c r="AQ147" s="21">
        <v>10531.145</v>
      </c>
      <c r="AR147" s="21">
        <v>11127.212</v>
      </c>
      <c r="AS147" s="21">
        <v>11722.377</v>
      </c>
      <c r="AT147" s="21">
        <v>12353.626</v>
      </c>
      <c r="AU147" s="21">
        <v>13030.587</v>
      </c>
      <c r="AV147" s="21">
        <v>13746.138000000001</v>
      </c>
      <c r="AW147" s="21">
        <v>14502.817999999999</v>
      </c>
      <c r="AX147" s="21">
        <v>15300.491</v>
      </c>
      <c r="AY147">
        <v>2014</v>
      </c>
    </row>
    <row r="148" spans="1:51" ht="14.45" x14ac:dyDescent="0.35">
      <c r="A148">
        <v>622</v>
      </c>
      <c r="B148" t="s">
        <v>388</v>
      </c>
      <c r="C148" t="s">
        <v>286</v>
      </c>
      <c r="D148" t="s">
        <v>73</v>
      </c>
      <c r="E148" t="s">
        <v>287</v>
      </c>
      <c r="F148" t="s">
        <v>288</v>
      </c>
      <c r="G148" t="s">
        <v>282</v>
      </c>
      <c r="H148" t="s">
        <v>283</v>
      </c>
      <c r="I148" t="s">
        <v>389</v>
      </c>
      <c r="J148" s="21">
        <v>1600.1859999999999</v>
      </c>
      <c r="K148" s="21">
        <v>2038.4290000000001</v>
      </c>
      <c r="L148" s="21">
        <v>2465.4630000000002</v>
      </c>
      <c r="M148" s="21">
        <v>2970.6770000000001</v>
      </c>
      <c r="N148" s="21">
        <v>3625.3609999999999</v>
      </c>
      <c r="O148" s="21">
        <v>4355.9769999999999</v>
      </c>
      <c r="P148" s="21">
        <v>4659.2870000000003</v>
      </c>
      <c r="Q148" s="21">
        <v>4450.1970000000001</v>
      </c>
      <c r="R148" s="21">
        <v>4135.42</v>
      </c>
      <c r="S148" s="21">
        <v>3986.2159999999999</v>
      </c>
      <c r="T148" s="21">
        <v>3804.4279999999999</v>
      </c>
      <c r="U148" s="21">
        <v>3790.1239999999998</v>
      </c>
      <c r="V148" s="21">
        <v>3625.6489999999999</v>
      </c>
      <c r="W148" s="21">
        <v>3580.2530000000002</v>
      </c>
      <c r="X148" s="21">
        <v>3876.4389999999999</v>
      </c>
      <c r="Y148" s="21">
        <v>4686.2860000000001</v>
      </c>
      <c r="Z148" s="21">
        <v>5186.3119999999999</v>
      </c>
      <c r="AA148" s="21">
        <v>5596.6469999999999</v>
      </c>
      <c r="AB148" s="21">
        <v>5945.84</v>
      </c>
      <c r="AC148" s="21">
        <v>6134.2079999999996</v>
      </c>
      <c r="AD148" s="21">
        <v>6612.3850000000002</v>
      </c>
      <c r="AE148" s="21">
        <v>7061.44</v>
      </c>
      <c r="AF148" s="21">
        <v>7583.0770000000002</v>
      </c>
      <c r="AG148" s="21">
        <v>7917</v>
      </c>
      <c r="AH148" s="21">
        <v>8333.8809999999994</v>
      </c>
      <c r="AI148" s="21">
        <v>8749.6</v>
      </c>
      <c r="AJ148" s="21">
        <v>9387.5</v>
      </c>
      <c r="AK148" s="21">
        <v>9792.2729999999992</v>
      </c>
      <c r="AL148" s="21">
        <v>10443.829</v>
      </c>
      <c r="AM148" s="21">
        <v>11040.329</v>
      </c>
      <c r="AN148" s="21">
        <v>11699.684999999999</v>
      </c>
      <c r="AO148" s="21">
        <v>12545.7</v>
      </c>
      <c r="AP148" s="21">
        <v>13514.687</v>
      </c>
      <c r="AQ148" s="21">
        <v>14607.065000000001</v>
      </c>
      <c r="AR148" s="21">
        <v>15686.017</v>
      </c>
      <c r="AS148" s="21">
        <v>16817.032999999999</v>
      </c>
      <c r="AT148" s="21">
        <v>18066.902999999998</v>
      </c>
      <c r="AU148" s="21">
        <v>19453.839</v>
      </c>
      <c r="AV148" s="21">
        <v>20944.315999999999</v>
      </c>
      <c r="AW148" s="21">
        <v>22568.724999999999</v>
      </c>
      <c r="AX148" s="21">
        <v>24291.987000000001</v>
      </c>
      <c r="AY148">
        <v>2014</v>
      </c>
    </row>
    <row r="149" spans="1:51" ht="14.45" x14ac:dyDescent="0.35">
      <c r="A149">
        <v>622</v>
      </c>
      <c r="B149" t="s">
        <v>388</v>
      </c>
      <c r="C149" t="s">
        <v>289</v>
      </c>
      <c r="D149" t="s">
        <v>73</v>
      </c>
      <c r="E149" t="s">
        <v>287</v>
      </c>
      <c r="F149" t="s">
        <v>290</v>
      </c>
      <c r="G149" t="s">
        <v>291</v>
      </c>
      <c r="H149" t="s">
        <v>283</v>
      </c>
      <c r="I149" t="s">
        <v>292</v>
      </c>
      <c r="J149">
        <v>7.649</v>
      </c>
      <c r="K149">
        <v>8.6649999999999991</v>
      </c>
      <c r="L149">
        <v>8.31</v>
      </c>
      <c r="M149">
        <v>8.3759999999999994</v>
      </c>
      <c r="N149">
        <v>8.8529999999999998</v>
      </c>
      <c r="O149">
        <v>9.2460000000000004</v>
      </c>
      <c r="P149">
        <v>12.052</v>
      </c>
      <c r="Q149">
        <v>13.96</v>
      </c>
      <c r="R149">
        <v>14.176</v>
      </c>
      <c r="S149">
        <v>12.64</v>
      </c>
      <c r="T149">
        <v>12.654</v>
      </c>
      <c r="U149">
        <v>14.109</v>
      </c>
      <c r="V149">
        <v>12.930999999999999</v>
      </c>
      <c r="W149">
        <v>13.492000000000001</v>
      </c>
      <c r="X149">
        <v>8.9120000000000008</v>
      </c>
      <c r="Y149">
        <v>9.0359999999999996</v>
      </c>
      <c r="Z149">
        <v>10.335000000000001</v>
      </c>
      <c r="AA149">
        <v>10.343</v>
      </c>
      <c r="AB149">
        <v>9.875</v>
      </c>
      <c r="AC149">
        <v>10.423999999999999</v>
      </c>
      <c r="AD149">
        <v>9.2720000000000002</v>
      </c>
      <c r="AE149">
        <v>9.6379999999999999</v>
      </c>
      <c r="AF149">
        <v>10.888</v>
      </c>
      <c r="AG149">
        <v>13.63</v>
      </c>
      <c r="AH149">
        <v>15.784000000000001</v>
      </c>
      <c r="AI149">
        <v>16.617000000000001</v>
      </c>
      <c r="AJ149">
        <v>17.97</v>
      </c>
      <c r="AK149">
        <v>20.460999999999999</v>
      </c>
      <c r="AL149">
        <v>23.431999999999999</v>
      </c>
      <c r="AM149">
        <v>23.442</v>
      </c>
      <c r="AN149">
        <v>23.667000000000002</v>
      </c>
      <c r="AO149">
        <v>26.611999999999998</v>
      </c>
      <c r="AP149">
        <v>26.486999999999998</v>
      </c>
      <c r="AQ149">
        <v>29.576000000000001</v>
      </c>
      <c r="AR149">
        <v>31.777000000000001</v>
      </c>
      <c r="AS149">
        <v>28.524000000000001</v>
      </c>
      <c r="AT149">
        <v>30.79</v>
      </c>
      <c r="AU149">
        <v>33.521000000000001</v>
      </c>
      <c r="AV149">
        <v>36.457999999999998</v>
      </c>
      <c r="AW149">
        <v>39.594000000000001</v>
      </c>
      <c r="AX149">
        <v>43.247</v>
      </c>
      <c r="AY149">
        <v>2014</v>
      </c>
    </row>
    <row r="150" spans="1:51" ht="14.45" x14ac:dyDescent="0.35">
      <c r="A150">
        <v>622</v>
      </c>
      <c r="B150" t="s">
        <v>388</v>
      </c>
      <c r="C150" t="s">
        <v>293</v>
      </c>
      <c r="D150" t="s">
        <v>73</v>
      </c>
      <c r="E150" t="s">
        <v>294</v>
      </c>
      <c r="F150" t="s">
        <v>295</v>
      </c>
      <c r="G150" t="s">
        <v>296</v>
      </c>
      <c r="I150" t="s">
        <v>297</v>
      </c>
      <c r="J150">
        <v>38.505000000000003</v>
      </c>
      <c r="K150">
        <v>41.905000000000001</v>
      </c>
      <c r="L150">
        <v>47.12</v>
      </c>
      <c r="M150">
        <v>53.137999999999998</v>
      </c>
      <c r="N150">
        <v>60.343000000000004</v>
      </c>
      <c r="O150">
        <v>67.066999999999993</v>
      </c>
      <c r="P150">
        <v>67.174999999999997</v>
      </c>
      <c r="Q150">
        <v>65.572000000000003</v>
      </c>
      <c r="R150">
        <v>66.135000000000005</v>
      </c>
      <c r="S150">
        <v>64.897000000000006</v>
      </c>
      <c r="T150">
        <v>66.004000000000005</v>
      </c>
      <c r="U150">
        <v>68.328000000000003</v>
      </c>
      <c r="V150">
        <v>67.418999999999997</v>
      </c>
      <c r="W150">
        <v>68.745999999999995</v>
      </c>
      <c r="X150">
        <v>76.337999999999994</v>
      </c>
      <c r="Y150">
        <v>89.334000000000003</v>
      </c>
      <c r="Z150">
        <v>94.158000000000001</v>
      </c>
      <c r="AA150">
        <v>96.677000000000007</v>
      </c>
      <c r="AB150">
        <v>97.772000000000006</v>
      </c>
      <c r="AC150">
        <v>96.617999999999995</v>
      </c>
      <c r="AD150">
        <v>100</v>
      </c>
      <c r="AE150">
        <v>102.179</v>
      </c>
      <c r="AF150">
        <v>105.497</v>
      </c>
      <c r="AG150">
        <v>105.875</v>
      </c>
      <c r="AH150">
        <v>107.471</v>
      </c>
      <c r="AI150">
        <v>110.29900000000001</v>
      </c>
      <c r="AJ150">
        <v>114.64700000000001</v>
      </c>
      <c r="AK150">
        <v>115.818</v>
      </c>
      <c r="AL150">
        <v>120.06100000000001</v>
      </c>
      <c r="AM150">
        <v>124.51300000000001</v>
      </c>
      <c r="AN150">
        <v>127.77200000000001</v>
      </c>
      <c r="AO150">
        <v>131.56399999999999</v>
      </c>
      <c r="AP150">
        <v>135.495</v>
      </c>
      <c r="AQ150">
        <v>138.703</v>
      </c>
      <c r="AR150">
        <v>140.97</v>
      </c>
      <c r="AS150">
        <v>143.46100000000001</v>
      </c>
      <c r="AT150">
        <v>146.24799999999999</v>
      </c>
      <c r="AU150">
        <v>149.29400000000001</v>
      </c>
      <c r="AV150">
        <v>152.36500000000001</v>
      </c>
      <c r="AW150">
        <v>155.61600000000001</v>
      </c>
      <c r="AX150">
        <v>158.76599999999999</v>
      </c>
      <c r="AY150">
        <v>2014</v>
      </c>
    </row>
    <row r="151" spans="1:51" ht="14.45" x14ac:dyDescent="0.35">
      <c r="A151">
        <v>622</v>
      </c>
      <c r="B151" t="s">
        <v>388</v>
      </c>
      <c r="C151" t="s">
        <v>298</v>
      </c>
      <c r="D151" t="s">
        <v>73</v>
      </c>
      <c r="E151" t="s">
        <v>299</v>
      </c>
      <c r="F151" t="s">
        <v>300</v>
      </c>
      <c r="G151" t="s">
        <v>282</v>
      </c>
      <c r="H151" t="s">
        <v>283</v>
      </c>
      <c r="I151" t="s">
        <v>390</v>
      </c>
      <c r="J151" t="s">
        <v>285</v>
      </c>
      <c r="K151" t="s">
        <v>285</v>
      </c>
      <c r="L151" t="s">
        <v>285</v>
      </c>
      <c r="M151" t="s">
        <v>285</v>
      </c>
      <c r="N151" t="s">
        <v>285</v>
      </c>
      <c r="O151" t="s">
        <v>285</v>
      </c>
      <c r="P151" t="s">
        <v>285</v>
      </c>
      <c r="Q151" t="s">
        <v>285</v>
      </c>
      <c r="R151" t="s">
        <v>285</v>
      </c>
      <c r="S151" t="s">
        <v>285</v>
      </c>
      <c r="T151" t="s">
        <v>285</v>
      </c>
      <c r="U151" t="s">
        <v>285</v>
      </c>
      <c r="V151" t="s">
        <v>285</v>
      </c>
      <c r="W151" t="s">
        <v>285</v>
      </c>
      <c r="X151" t="s">
        <v>285</v>
      </c>
      <c r="Y151" t="s">
        <v>285</v>
      </c>
      <c r="Z151" t="s">
        <v>285</v>
      </c>
      <c r="AA151" t="s">
        <v>285</v>
      </c>
      <c r="AB151" t="s">
        <v>285</v>
      </c>
      <c r="AC151" t="s">
        <v>285</v>
      </c>
      <c r="AD151" s="21">
        <v>1093.742</v>
      </c>
      <c r="AE151" s="21">
        <v>1189.866</v>
      </c>
      <c r="AF151" s="21">
        <v>1191.663</v>
      </c>
      <c r="AG151" s="21">
        <v>1219.1189999999999</v>
      </c>
      <c r="AH151" s="21">
        <v>1331.171</v>
      </c>
      <c r="AI151" s="21">
        <v>1278.296</v>
      </c>
      <c r="AJ151" s="21">
        <v>1365.9680000000001</v>
      </c>
      <c r="AK151" s="21">
        <v>1528.3230000000001</v>
      </c>
      <c r="AL151" s="21">
        <v>1980.992</v>
      </c>
      <c r="AM151" s="21">
        <v>1931.2760000000001</v>
      </c>
      <c r="AN151" s="21">
        <v>2066.942</v>
      </c>
      <c r="AO151" s="21">
        <v>2576.0929999999998</v>
      </c>
      <c r="AP151" s="21">
        <v>2640.7339999999999</v>
      </c>
      <c r="AQ151" s="21">
        <v>3199.7579999999998</v>
      </c>
      <c r="AR151" s="21">
        <v>3687.5169999999998</v>
      </c>
      <c r="AS151" s="21">
        <v>3771.1089999999999</v>
      </c>
      <c r="AT151" s="21">
        <v>3998.663</v>
      </c>
      <c r="AU151" s="21">
        <v>4217.0919999999996</v>
      </c>
      <c r="AV151" s="21">
        <v>4424.26</v>
      </c>
      <c r="AW151" s="21">
        <v>4698.4570000000003</v>
      </c>
      <c r="AX151" s="21">
        <v>4986.3720000000003</v>
      </c>
      <c r="AY151">
        <v>2014</v>
      </c>
    </row>
    <row r="152" spans="1:51" ht="14.45" x14ac:dyDescent="0.35">
      <c r="A152">
        <v>156</v>
      </c>
      <c r="B152" t="s">
        <v>391</v>
      </c>
      <c r="C152" t="s">
        <v>279</v>
      </c>
      <c r="D152" t="s">
        <v>74</v>
      </c>
      <c r="E152" t="s">
        <v>280</v>
      </c>
      <c r="F152" t="s">
        <v>281</v>
      </c>
      <c r="G152" t="s">
        <v>282</v>
      </c>
      <c r="H152" t="s">
        <v>283</v>
      </c>
      <c r="I152" t="s">
        <v>392</v>
      </c>
      <c r="J152">
        <v>766.26599999999996</v>
      </c>
      <c r="K152">
        <v>793.10900000000004</v>
      </c>
      <c r="L152">
        <v>769.15499999999997</v>
      </c>
      <c r="M152">
        <v>788.89200000000005</v>
      </c>
      <c r="N152">
        <v>832.84799999999996</v>
      </c>
      <c r="O152">
        <v>871.81899999999996</v>
      </c>
      <c r="P152">
        <v>890.98299999999995</v>
      </c>
      <c r="Q152">
        <v>926.99900000000002</v>
      </c>
      <c r="R152">
        <v>970.91700000000003</v>
      </c>
      <c r="S152">
        <v>993.98099999999999</v>
      </c>
      <c r="T152">
        <v>995.26300000000003</v>
      </c>
      <c r="U152">
        <v>974.16099999999994</v>
      </c>
      <c r="V152">
        <v>982.48400000000004</v>
      </c>
      <c r="W152" s="21">
        <v>1008.101</v>
      </c>
      <c r="X152" s="21">
        <v>1054.01</v>
      </c>
      <c r="Y152" s="21">
        <v>1082.874</v>
      </c>
      <c r="Z152" s="21">
        <v>1101.0619999999999</v>
      </c>
      <c r="AA152" s="21">
        <v>1147.894</v>
      </c>
      <c r="AB152" s="21">
        <v>1195.396</v>
      </c>
      <c r="AC152" s="21">
        <v>1255.133</v>
      </c>
      <c r="AD152" s="21">
        <v>1319.4349999999999</v>
      </c>
      <c r="AE152" s="21">
        <v>1341.712</v>
      </c>
      <c r="AF152" s="21">
        <v>1379.3050000000001</v>
      </c>
      <c r="AG152" s="21">
        <v>1405.8610000000001</v>
      </c>
      <c r="AH152" s="21">
        <v>1449.9880000000001</v>
      </c>
      <c r="AI152" s="21">
        <v>1495.8530000000001</v>
      </c>
      <c r="AJ152" s="21">
        <v>1535.0709999999999</v>
      </c>
      <c r="AK152" s="21">
        <v>1565.9</v>
      </c>
      <c r="AL152" s="21">
        <v>1584.306</v>
      </c>
      <c r="AM152" s="21">
        <v>1541.348</v>
      </c>
      <c r="AN152" s="21">
        <v>1593.357</v>
      </c>
      <c r="AO152" s="21">
        <v>1640.5219999999999</v>
      </c>
      <c r="AP152" s="21">
        <v>1672.067</v>
      </c>
      <c r="AQ152" s="21">
        <v>1705.567</v>
      </c>
      <c r="AR152" s="21">
        <v>1747.171</v>
      </c>
      <c r="AS152" s="21">
        <v>1765.3589999999999</v>
      </c>
      <c r="AT152" s="21">
        <v>1794.6969999999999</v>
      </c>
      <c r="AU152" s="21">
        <v>1838.0029999999999</v>
      </c>
      <c r="AV152" s="21">
        <v>1880.8789999999999</v>
      </c>
      <c r="AW152" s="21">
        <v>1921.047</v>
      </c>
      <c r="AX152" s="21">
        <v>1959.6669999999999</v>
      </c>
      <c r="AY152">
        <v>2014</v>
      </c>
    </row>
    <row r="153" spans="1:51" ht="14.45" x14ac:dyDescent="0.35">
      <c r="A153">
        <v>156</v>
      </c>
      <c r="B153" t="s">
        <v>391</v>
      </c>
      <c r="C153" t="s">
        <v>286</v>
      </c>
      <c r="D153" t="s">
        <v>74</v>
      </c>
      <c r="E153" t="s">
        <v>287</v>
      </c>
      <c r="F153" t="s">
        <v>288</v>
      </c>
      <c r="G153" t="s">
        <v>282</v>
      </c>
      <c r="H153" t="s">
        <v>283</v>
      </c>
      <c r="I153" t="s">
        <v>392</v>
      </c>
      <c r="J153">
        <v>319.18299999999999</v>
      </c>
      <c r="K153">
        <v>366.56200000000001</v>
      </c>
      <c r="L153">
        <v>386.70699999999999</v>
      </c>
      <c r="M153">
        <v>419.40899999999999</v>
      </c>
      <c r="N153">
        <v>458.32</v>
      </c>
      <c r="O153">
        <v>495.62200000000001</v>
      </c>
      <c r="P153">
        <v>521.971</v>
      </c>
      <c r="Q153">
        <v>568.88199999999995</v>
      </c>
      <c r="R153">
        <v>622.75599999999997</v>
      </c>
      <c r="S153">
        <v>667.34900000000005</v>
      </c>
      <c r="T153">
        <v>690.76300000000003</v>
      </c>
      <c r="U153">
        <v>696.88199999999995</v>
      </c>
      <c r="V153">
        <v>713.31200000000001</v>
      </c>
      <c r="W153">
        <v>741.59299999999996</v>
      </c>
      <c r="X153">
        <v>786.58399999999995</v>
      </c>
      <c r="Y153">
        <v>826.21400000000006</v>
      </c>
      <c r="Z153">
        <v>854.84699999999998</v>
      </c>
      <c r="AA153">
        <v>901.37599999999998</v>
      </c>
      <c r="AB153">
        <v>936.73</v>
      </c>
      <c r="AC153" s="21">
        <v>1001.845</v>
      </c>
      <c r="AD153" s="21">
        <v>1098.1659999999999</v>
      </c>
      <c r="AE153" s="21">
        <v>1134.8320000000001</v>
      </c>
      <c r="AF153" s="21">
        <v>1180.9480000000001</v>
      </c>
      <c r="AG153" s="21">
        <v>1243.829</v>
      </c>
      <c r="AH153" s="21">
        <v>1324.94</v>
      </c>
      <c r="AI153" s="21">
        <v>1410.71</v>
      </c>
      <c r="AJ153" s="21">
        <v>1486.9179999999999</v>
      </c>
      <c r="AK153" s="21">
        <v>1565.9</v>
      </c>
      <c r="AL153" s="21">
        <v>1645.9739999999999</v>
      </c>
      <c r="AM153" s="21">
        <v>1567.0070000000001</v>
      </c>
      <c r="AN153" s="21">
        <v>1662.7570000000001</v>
      </c>
      <c r="AO153" s="21">
        <v>1770.0139999999999</v>
      </c>
      <c r="AP153" s="21">
        <v>1831.2280000000001</v>
      </c>
      <c r="AQ153" s="21">
        <v>1893.759</v>
      </c>
      <c r="AR153" s="21">
        <v>1974.825</v>
      </c>
      <c r="AS153" s="21">
        <v>1984.498</v>
      </c>
      <c r="AT153" s="21">
        <v>2047.61</v>
      </c>
      <c r="AU153" s="21">
        <v>2148.3130000000001</v>
      </c>
      <c r="AV153" s="21">
        <v>2250.0569999999998</v>
      </c>
      <c r="AW153" s="21">
        <v>2351.2930000000001</v>
      </c>
      <c r="AX153" s="21">
        <v>2452</v>
      </c>
      <c r="AY153">
        <v>2014</v>
      </c>
    </row>
    <row r="154" spans="1:51" ht="14.45" x14ac:dyDescent="0.35">
      <c r="A154">
        <v>156</v>
      </c>
      <c r="B154" t="s">
        <v>391</v>
      </c>
      <c r="C154" t="s">
        <v>289</v>
      </c>
      <c r="D154" t="s">
        <v>74</v>
      </c>
      <c r="E154" t="s">
        <v>287</v>
      </c>
      <c r="F154" t="s">
        <v>290</v>
      </c>
      <c r="G154" t="s">
        <v>291</v>
      </c>
      <c r="H154" t="s">
        <v>283</v>
      </c>
      <c r="I154" t="s">
        <v>292</v>
      </c>
      <c r="J154">
        <v>272.98200000000003</v>
      </c>
      <c r="K154">
        <v>305.75700000000001</v>
      </c>
      <c r="L154">
        <v>313.47000000000003</v>
      </c>
      <c r="M154">
        <v>340.32100000000003</v>
      </c>
      <c r="N154">
        <v>353.88799999999998</v>
      </c>
      <c r="O154">
        <v>362.97500000000002</v>
      </c>
      <c r="P154">
        <v>375.661</v>
      </c>
      <c r="Q154">
        <v>429.03800000000001</v>
      </c>
      <c r="R154">
        <v>506.041</v>
      </c>
      <c r="S154">
        <v>563.66099999999994</v>
      </c>
      <c r="T154">
        <v>592.04700000000003</v>
      </c>
      <c r="U154">
        <v>608.25300000000004</v>
      </c>
      <c r="V154">
        <v>590.16099999999994</v>
      </c>
      <c r="W154">
        <v>574.86300000000006</v>
      </c>
      <c r="X154">
        <v>575.99800000000005</v>
      </c>
      <c r="Y154">
        <v>602.02300000000002</v>
      </c>
      <c r="Z154">
        <v>626.97400000000005</v>
      </c>
      <c r="AA154">
        <v>651.00900000000001</v>
      </c>
      <c r="AB154">
        <v>631.47199999999998</v>
      </c>
      <c r="AC154">
        <v>674.24800000000005</v>
      </c>
      <c r="AD154">
        <v>739.48099999999999</v>
      </c>
      <c r="AE154">
        <v>732.76199999999994</v>
      </c>
      <c r="AF154">
        <v>752.56200000000001</v>
      </c>
      <c r="AG154">
        <v>887.86800000000005</v>
      </c>
      <c r="AH154" s="21">
        <v>1018.375</v>
      </c>
      <c r="AI154" s="21">
        <v>1164.2529999999999</v>
      </c>
      <c r="AJ154" s="21">
        <v>1310.8520000000001</v>
      </c>
      <c r="AK154" s="21">
        <v>1457.873</v>
      </c>
      <c r="AL154" s="21">
        <v>1542.5609999999999</v>
      </c>
      <c r="AM154" s="21">
        <v>1370.8389999999999</v>
      </c>
      <c r="AN154" s="21">
        <v>1614.0719999999999</v>
      </c>
      <c r="AO154" s="21">
        <v>1788.741</v>
      </c>
      <c r="AP154" s="21">
        <v>1832.7159999999999</v>
      </c>
      <c r="AQ154" s="21">
        <v>1838.9639999999999</v>
      </c>
      <c r="AR154" s="21">
        <v>1785.3869999999999</v>
      </c>
      <c r="AS154" s="21">
        <v>1572.7809999999999</v>
      </c>
      <c r="AT154" s="21">
        <v>1592.348</v>
      </c>
      <c r="AU154" s="21">
        <v>1682.3679999999999</v>
      </c>
      <c r="AV154" s="21">
        <v>1773.8</v>
      </c>
      <c r="AW154" s="21">
        <v>1860.0619999999999</v>
      </c>
      <c r="AX154" s="21">
        <v>1958.153</v>
      </c>
      <c r="AY154">
        <v>2014</v>
      </c>
    </row>
    <row r="155" spans="1:51" ht="14.45" x14ac:dyDescent="0.35">
      <c r="A155">
        <v>156</v>
      </c>
      <c r="B155" t="s">
        <v>391</v>
      </c>
      <c r="C155" t="s">
        <v>293</v>
      </c>
      <c r="D155" t="s">
        <v>74</v>
      </c>
      <c r="E155" t="s">
        <v>294</v>
      </c>
      <c r="F155" t="s">
        <v>295</v>
      </c>
      <c r="G155" t="s">
        <v>296</v>
      </c>
      <c r="I155" t="s">
        <v>297</v>
      </c>
      <c r="J155">
        <v>41.654000000000003</v>
      </c>
      <c r="K155">
        <v>46.218000000000004</v>
      </c>
      <c r="L155">
        <v>50.277000000000001</v>
      </c>
      <c r="M155">
        <v>53.164000000000001</v>
      </c>
      <c r="N155">
        <v>55.03</v>
      </c>
      <c r="O155">
        <v>56.848999999999997</v>
      </c>
      <c r="P155">
        <v>58.584000000000003</v>
      </c>
      <c r="Q155">
        <v>61.368000000000002</v>
      </c>
      <c r="R155">
        <v>64.141000000000005</v>
      </c>
      <c r="S155">
        <v>67.138999999999996</v>
      </c>
      <c r="T155">
        <v>69.405000000000001</v>
      </c>
      <c r="U155">
        <v>71.537000000000006</v>
      </c>
      <c r="V155">
        <v>72.602999999999994</v>
      </c>
      <c r="W155">
        <v>73.563000000000002</v>
      </c>
      <c r="X155">
        <v>74.628</v>
      </c>
      <c r="Y155">
        <v>76.298000000000002</v>
      </c>
      <c r="Z155">
        <v>77.638000000000005</v>
      </c>
      <c r="AA155">
        <v>78.524000000000001</v>
      </c>
      <c r="AB155">
        <v>78.361000000000004</v>
      </c>
      <c r="AC155">
        <v>79.819999999999993</v>
      </c>
      <c r="AD155">
        <v>83.23</v>
      </c>
      <c r="AE155">
        <v>84.581000000000003</v>
      </c>
      <c r="AF155">
        <v>85.619</v>
      </c>
      <c r="AG155">
        <v>88.474999999999994</v>
      </c>
      <c r="AH155">
        <v>91.376000000000005</v>
      </c>
      <c r="AI155">
        <v>94.308000000000007</v>
      </c>
      <c r="AJ155">
        <v>96.863</v>
      </c>
      <c r="AK155">
        <v>100</v>
      </c>
      <c r="AL155">
        <v>103.892</v>
      </c>
      <c r="AM155">
        <v>101.66500000000001</v>
      </c>
      <c r="AN155">
        <v>104.35599999999999</v>
      </c>
      <c r="AO155">
        <v>107.893</v>
      </c>
      <c r="AP155">
        <v>109.51900000000001</v>
      </c>
      <c r="AQ155">
        <v>111.03400000000001</v>
      </c>
      <c r="AR155">
        <v>113.03</v>
      </c>
      <c r="AS155">
        <v>112.413</v>
      </c>
      <c r="AT155">
        <v>114.092</v>
      </c>
      <c r="AU155">
        <v>116.883</v>
      </c>
      <c r="AV155">
        <v>119.628</v>
      </c>
      <c r="AW155">
        <v>122.396</v>
      </c>
      <c r="AX155">
        <v>125.123</v>
      </c>
      <c r="AY155">
        <v>2014</v>
      </c>
    </row>
    <row r="156" spans="1:51" ht="14.45" x14ac:dyDescent="0.35">
      <c r="A156">
        <v>156</v>
      </c>
      <c r="B156" t="s">
        <v>391</v>
      </c>
      <c r="C156" t="s">
        <v>298</v>
      </c>
      <c r="D156" t="s">
        <v>74</v>
      </c>
      <c r="E156" t="s">
        <v>299</v>
      </c>
      <c r="F156" t="s">
        <v>300</v>
      </c>
      <c r="G156" t="s">
        <v>282</v>
      </c>
      <c r="H156" t="s">
        <v>283</v>
      </c>
      <c r="I156" t="s">
        <v>393</v>
      </c>
      <c r="J156">
        <v>136.21199999999999</v>
      </c>
      <c r="K156">
        <v>158.80600000000001</v>
      </c>
      <c r="L156">
        <v>187.286</v>
      </c>
      <c r="M156">
        <v>207.19900000000001</v>
      </c>
      <c r="N156">
        <v>224.03</v>
      </c>
      <c r="O156">
        <v>244.56100000000001</v>
      </c>
      <c r="P156">
        <v>252.36</v>
      </c>
      <c r="Q156">
        <v>266.27800000000002</v>
      </c>
      <c r="R156">
        <v>288.48899999999998</v>
      </c>
      <c r="S156">
        <v>309.86399999999998</v>
      </c>
      <c r="T156">
        <v>340.46300000000002</v>
      </c>
      <c r="U156">
        <v>367.86200000000002</v>
      </c>
      <c r="V156">
        <v>386.37400000000002</v>
      </c>
      <c r="W156">
        <v>393.37900000000002</v>
      </c>
      <c r="X156">
        <v>396.28699999999998</v>
      </c>
      <c r="Y156">
        <v>404.55500000000001</v>
      </c>
      <c r="Z156">
        <v>400.77</v>
      </c>
      <c r="AA156">
        <v>397.75799999999998</v>
      </c>
      <c r="AB156">
        <v>417.97199999999998</v>
      </c>
      <c r="AC156">
        <v>428.87700000000001</v>
      </c>
      <c r="AD156">
        <v>444.53199999999998</v>
      </c>
      <c r="AE156">
        <v>466.99599999999998</v>
      </c>
      <c r="AF156">
        <v>477.23700000000002</v>
      </c>
      <c r="AG156">
        <v>500.50200000000001</v>
      </c>
      <c r="AH156">
        <v>516.55499999999995</v>
      </c>
      <c r="AI156">
        <v>541.98500000000001</v>
      </c>
      <c r="AJ156">
        <v>574.20100000000002</v>
      </c>
      <c r="AK156">
        <v>604.91700000000003</v>
      </c>
      <c r="AL156">
        <v>645.51400000000001</v>
      </c>
      <c r="AM156">
        <v>684.28200000000004</v>
      </c>
      <c r="AN156">
        <v>719.28899999999999</v>
      </c>
      <c r="AO156">
        <v>738.48099999999999</v>
      </c>
      <c r="AP156">
        <v>752.41700000000003</v>
      </c>
      <c r="AQ156">
        <v>770.15599999999995</v>
      </c>
      <c r="AR156">
        <v>777.60500000000002</v>
      </c>
      <c r="AS156">
        <v>788.15300000000002</v>
      </c>
      <c r="AT156">
        <v>808.55799999999999</v>
      </c>
      <c r="AU156">
        <v>842.61699999999996</v>
      </c>
      <c r="AV156">
        <v>878.97400000000005</v>
      </c>
      <c r="AW156">
        <v>918.16800000000001</v>
      </c>
      <c r="AX156">
        <v>957.01800000000003</v>
      </c>
      <c r="AY156">
        <v>2014</v>
      </c>
    </row>
    <row r="157" spans="1:51" ht="14.45" x14ac:dyDescent="0.35">
      <c r="A157">
        <v>626</v>
      </c>
      <c r="B157" t="s">
        <v>394</v>
      </c>
      <c r="C157" t="s">
        <v>279</v>
      </c>
      <c r="D157" t="s">
        <v>76</v>
      </c>
      <c r="E157" t="s">
        <v>280</v>
      </c>
      <c r="F157" t="s">
        <v>281</v>
      </c>
      <c r="G157" t="s">
        <v>282</v>
      </c>
      <c r="H157" t="s">
        <v>283</v>
      </c>
      <c r="I157" t="s">
        <v>395</v>
      </c>
      <c r="J157">
        <v>454.875</v>
      </c>
      <c r="K157">
        <v>513.80100000000004</v>
      </c>
      <c r="L157">
        <v>495.44900000000001</v>
      </c>
      <c r="M157">
        <v>465.58800000000002</v>
      </c>
      <c r="N157">
        <v>511.73700000000002</v>
      </c>
      <c r="O157">
        <v>530.84</v>
      </c>
      <c r="P157">
        <v>569.02200000000005</v>
      </c>
      <c r="Q157">
        <v>569.02200000000005</v>
      </c>
      <c r="R157">
        <v>578.79600000000005</v>
      </c>
      <c r="S157">
        <v>609.86400000000003</v>
      </c>
      <c r="T157">
        <v>596.93399999999997</v>
      </c>
      <c r="U157">
        <v>601.08199999999999</v>
      </c>
      <c r="V157">
        <v>591.07100000000003</v>
      </c>
      <c r="W157">
        <v>591.48</v>
      </c>
      <c r="X157">
        <v>652.85900000000004</v>
      </c>
      <c r="Y157">
        <v>680.65499999999997</v>
      </c>
      <c r="Z157">
        <v>627.66200000000003</v>
      </c>
      <c r="AA157">
        <v>675.95600000000002</v>
      </c>
      <c r="AB157">
        <v>701.26199999999994</v>
      </c>
      <c r="AC157">
        <v>727.36</v>
      </c>
      <c r="AD157">
        <v>715.21400000000006</v>
      </c>
      <c r="AE157">
        <v>718.048</v>
      </c>
      <c r="AF157">
        <v>719.97400000000005</v>
      </c>
      <c r="AG157">
        <v>670.77300000000002</v>
      </c>
      <c r="AH157">
        <v>688.42700000000002</v>
      </c>
      <c r="AI157">
        <v>705.41499999999996</v>
      </c>
      <c r="AJ157">
        <v>739.072</v>
      </c>
      <c r="AK157">
        <v>773.125</v>
      </c>
      <c r="AL157">
        <v>789.00599999999997</v>
      </c>
      <c r="AM157">
        <v>802.49199999999996</v>
      </c>
      <c r="AN157">
        <v>826.94100000000003</v>
      </c>
      <c r="AO157">
        <v>854.23599999999999</v>
      </c>
      <c r="AP157">
        <v>889.36900000000003</v>
      </c>
      <c r="AQ157">
        <v>568.77700000000004</v>
      </c>
      <c r="AR157">
        <v>574.524</v>
      </c>
      <c r="AS157">
        <v>606.12400000000002</v>
      </c>
      <c r="AT157">
        <v>640.94500000000005</v>
      </c>
      <c r="AU157">
        <v>679.05700000000002</v>
      </c>
      <c r="AV157">
        <v>720.125</v>
      </c>
      <c r="AW157">
        <v>756.47199999999998</v>
      </c>
      <c r="AX157">
        <v>786.57299999999998</v>
      </c>
      <c r="AY157">
        <v>2012</v>
      </c>
    </row>
    <row r="158" spans="1:51" ht="14.45" x14ac:dyDescent="0.35">
      <c r="A158">
        <v>626</v>
      </c>
      <c r="B158" t="s">
        <v>394</v>
      </c>
      <c r="C158" t="s">
        <v>286</v>
      </c>
      <c r="D158" t="s">
        <v>76</v>
      </c>
      <c r="E158" t="s">
        <v>287</v>
      </c>
      <c r="F158" t="s">
        <v>288</v>
      </c>
      <c r="G158" t="s">
        <v>282</v>
      </c>
      <c r="H158" t="s">
        <v>283</v>
      </c>
      <c r="I158" t="s">
        <v>395</v>
      </c>
      <c r="J158">
        <v>168.4</v>
      </c>
      <c r="K158">
        <v>218.1</v>
      </c>
      <c r="L158">
        <v>240.4</v>
      </c>
      <c r="M158">
        <v>253.9</v>
      </c>
      <c r="N158">
        <v>278.7</v>
      </c>
      <c r="O158">
        <v>379.9</v>
      </c>
      <c r="P158">
        <v>386.04199999999997</v>
      </c>
      <c r="Q158">
        <v>362.24299999999999</v>
      </c>
      <c r="R158">
        <v>380.16899999999998</v>
      </c>
      <c r="S158">
        <v>402.88400000000001</v>
      </c>
      <c r="T158">
        <v>404.99599999999998</v>
      </c>
      <c r="U158">
        <v>396.16800000000001</v>
      </c>
      <c r="V158">
        <v>377.85700000000003</v>
      </c>
      <c r="W158">
        <v>366.245</v>
      </c>
      <c r="X158">
        <v>473.61900000000003</v>
      </c>
      <c r="Y158">
        <v>560.03700000000003</v>
      </c>
      <c r="Z158">
        <v>516.64700000000005</v>
      </c>
      <c r="AA158">
        <v>566.03599999999994</v>
      </c>
      <c r="AB158">
        <v>606.4</v>
      </c>
      <c r="AC158">
        <v>638.66700000000003</v>
      </c>
      <c r="AD158">
        <v>628.22400000000005</v>
      </c>
      <c r="AE158">
        <v>657.803</v>
      </c>
      <c r="AF158">
        <v>671.26400000000001</v>
      </c>
      <c r="AG158">
        <v>645.11099999999999</v>
      </c>
      <c r="AH158">
        <v>663.98</v>
      </c>
      <c r="AI158">
        <v>705.41499999999996</v>
      </c>
      <c r="AJ158">
        <v>763.71299999999997</v>
      </c>
      <c r="AK158">
        <v>813.58699999999999</v>
      </c>
      <c r="AL158">
        <v>889.06</v>
      </c>
      <c r="AM158">
        <v>935.74699999999996</v>
      </c>
      <c r="AN158">
        <v>983.62800000000004</v>
      </c>
      <c r="AO158" s="21">
        <v>1036.029</v>
      </c>
      <c r="AP158" s="21">
        <v>1107.694</v>
      </c>
      <c r="AQ158">
        <v>759.70500000000004</v>
      </c>
      <c r="AR158">
        <v>851.64400000000001</v>
      </c>
      <c r="AS158">
        <v>954.65599999999995</v>
      </c>
      <c r="AT158" s="21">
        <v>1076.3119999999999</v>
      </c>
      <c r="AU158" s="21">
        <v>1211.4269999999999</v>
      </c>
      <c r="AV158" s="21">
        <v>1354.6559999999999</v>
      </c>
      <c r="AW158" s="21">
        <v>1490.0909999999999</v>
      </c>
      <c r="AX158" s="21">
        <v>1622.931</v>
      </c>
      <c r="AY158">
        <v>2012</v>
      </c>
    </row>
    <row r="159" spans="1:51" ht="14.45" x14ac:dyDescent="0.35">
      <c r="A159">
        <v>626</v>
      </c>
      <c r="B159" t="s">
        <v>394</v>
      </c>
      <c r="C159" t="s">
        <v>289</v>
      </c>
      <c r="D159" t="s">
        <v>76</v>
      </c>
      <c r="E159" t="s">
        <v>287</v>
      </c>
      <c r="F159" t="s">
        <v>290</v>
      </c>
      <c r="G159" t="s">
        <v>291</v>
      </c>
      <c r="H159" t="s">
        <v>283</v>
      </c>
      <c r="I159" t="s">
        <v>292</v>
      </c>
      <c r="J159">
        <v>0.71399999999999997</v>
      </c>
      <c r="K159">
        <v>0.74299999999999999</v>
      </c>
      <c r="L159">
        <v>0.71899999999999997</v>
      </c>
      <c r="M159">
        <v>0.69</v>
      </c>
      <c r="N159">
        <v>0.67</v>
      </c>
      <c r="O159">
        <v>0.88300000000000001</v>
      </c>
      <c r="P159">
        <v>1.1579999999999999</v>
      </c>
      <c r="Q159">
        <v>1.2749999999999999</v>
      </c>
      <c r="R159">
        <v>1.3720000000000001</v>
      </c>
      <c r="S159">
        <v>1.3540000000000001</v>
      </c>
      <c r="T159">
        <v>1.5720000000000001</v>
      </c>
      <c r="U159">
        <v>1.498</v>
      </c>
      <c r="V159">
        <v>1.494</v>
      </c>
      <c r="W159">
        <v>1.3089999999999999</v>
      </c>
      <c r="X159">
        <v>0.85799999999999998</v>
      </c>
      <c r="Y159">
        <v>1.117</v>
      </c>
      <c r="Z159">
        <v>1</v>
      </c>
      <c r="AA159">
        <v>0.97899999999999998</v>
      </c>
      <c r="AB159">
        <v>1.036</v>
      </c>
      <c r="AC159">
        <v>1.0389999999999999</v>
      </c>
      <c r="AD159">
        <v>0.88500000000000001</v>
      </c>
      <c r="AE159">
        <v>0.89700000000000002</v>
      </c>
      <c r="AF159">
        <v>0.96299999999999997</v>
      </c>
      <c r="AG159">
        <v>1.1100000000000001</v>
      </c>
      <c r="AH159">
        <v>1.2569999999999999</v>
      </c>
      <c r="AI159">
        <v>1.337</v>
      </c>
      <c r="AJ159">
        <v>1.4610000000000001</v>
      </c>
      <c r="AK159">
        <v>1.698</v>
      </c>
      <c r="AL159">
        <v>1.9850000000000001</v>
      </c>
      <c r="AM159">
        <v>1.982</v>
      </c>
      <c r="AN159">
        <v>1.986</v>
      </c>
      <c r="AO159">
        <v>2.1960000000000002</v>
      </c>
      <c r="AP159">
        <v>2.1709999999999998</v>
      </c>
      <c r="AQ159">
        <v>1.538</v>
      </c>
      <c r="AR159">
        <v>1.726</v>
      </c>
      <c r="AS159">
        <v>1.6240000000000001</v>
      </c>
      <c r="AT159">
        <v>1.84</v>
      </c>
      <c r="AU159">
        <v>2.0960000000000001</v>
      </c>
      <c r="AV159">
        <v>2.371</v>
      </c>
      <c r="AW159">
        <v>2.637</v>
      </c>
      <c r="AX159">
        <v>2.9159999999999999</v>
      </c>
      <c r="AY159">
        <v>2012</v>
      </c>
    </row>
    <row r="160" spans="1:51" ht="14.45" x14ac:dyDescent="0.35">
      <c r="A160">
        <v>626</v>
      </c>
      <c r="B160" t="s">
        <v>394</v>
      </c>
      <c r="C160" t="s">
        <v>293</v>
      </c>
      <c r="D160" t="s">
        <v>76</v>
      </c>
      <c r="E160" t="s">
        <v>294</v>
      </c>
      <c r="F160" t="s">
        <v>295</v>
      </c>
      <c r="G160" t="s">
        <v>296</v>
      </c>
      <c r="I160" t="s">
        <v>297</v>
      </c>
      <c r="J160">
        <v>37.021000000000001</v>
      </c>
      <c r="K160">
        <v>42.448</v>
      </c>
      <c r="L160">
        <v>48.521999999999998</v>
      </c>
      <c r="M160">
        <v>54.533000000000001</v>
      </c>
      <c r="N160">
        <v>54.462000000000003</v>
      </c>
      <c r="O160">
        <v>71.566000000000003</v>
      </c>
      <c r="P160">
        <v>67.843000000000004</v>
      </c>
      <c r="Q160">
        <v>63.661000000000001</v>
      </c>
      <c r="R160">
        <v>65.683000000000007</v>
      </c>
      <c r="S160">
        <v>66.061000000000007</v>
      </c>
      <c r="T160">
        <v>67.846000000000004</v>
      </c>
      <c r="U160">
        <v>65.909000000000006</v>
      </c>
      <c r="V160">
        <v>63.927</v>
      </c>
      <c r="W160">
        <v>61.92</v>
      </c>
      <c r="X160">
        <v>72.545000000000002</v>
      </c>
      <c r="Y160">
        <v>82.278999999999996</v>
      </c>
      <c r="Z160">
        <v>82.313000000000002</v>
      </c>
      <c r="AA160">
        <v>83.739000000000004</v>
      </c>
      <c r="AB160">
        <v>86.472999999999999</v>
      </c>
      <c r="AC160">
        <v>87.805999999999997</v>
      </c>
      <c r="AD160">
        <v>87.837000000000003</v>
      </c>
      <c r="AE160">
        <v>91.61</v>
      </c>
      <c r="AF160">
        <v>93.234999999999999</v>
      </c>
      <c r="AG160">
        <v>96.174000000000007</v>
      </c>
      <c r="AH160">
        <v>96.448999999999998</v>
      </c>
      <c r="AI160">
        <v>100</v>
      </c>
      <c r="AJ160">
        <v>103.334</v>
      </c>
      <c r="AK160">
        <v>105.23399999999999</v>
      </c>
      <c r="AL160">
        <v>112.681</v>
      </c>
      <c r="AM160">
        <v>116.605</v>
      </c>
      <c r="AN160">
        <v>118.94799999999999</v>
      </c>
      <c r="AO160">
        <v>121.28100000000001</v>
      </c>
      <c r="AP160">
        <v>124.548</v>
      </c>
      <c r="AQ160">
        <v>133.56800000000001</v>
      </c>
      <c r="AR160">
        <v>148.23500000000001</v>
      </c>
      <c r="AS160">
        <v>157.50200000000001</v>
      </c>
      <c r="AT160">
        <v>167.92599999999999</v>
      </c>
      <c r="AU160">
        <v>178.398</v>
      </c>
      <c r="AV160">
        <v>188.114</v>
      </c>
      <c r="AW160">
        <v>196.97900000000001</v>
      </c>
      <c r="AX160">
        <v>206.32900000000001</v>
      </c>
      <c r="AY160">
        <v>2012</v>
      </c>
    </row>
    <row r="161" spans="1:51" ht="14.45" x14ac:dyDescent="0.35">
      <c r="A161">
        <v>626</v>
      </c>
      <c r="B161" t="s">
        <v>394</v>
      </c>
      <c r="C161" t="s">
        <v>298</v>
      </c>
      <c r="D161" t="s">
        <v>76</v>
      </c>
      <c r="E161" t="s">
        <v>299</v>
      </c>
      <c r="F161" t="s">
        <v>300</v>
      </c>
      <c r="G161" t="s">
        <v>282</v>
      </c>
      <c r="H161" t="s">
        <v>283</v>
      </c>
      <c r="I161" t="s">
        <v>396</v>
      </c>
      <c r="J161" t="s">
        <v>285</v>
      </c>
      <c r="K161" t="s">
        <v>285</v>
      </c>
      <c r="L161" t="s">
        <v>285</v>
      </c>
      <c r="M161" t="s">
        <v>285</v>
      </c>
      <c r="N161" t="s">
        <v>285</v>
      </c>
      <c r="O161" t="s">
        <v>285</v>
      </c>
      <c r="P161" t="s">
        <v>285</v>
      </c>
      <c r="Q161" t="s">
        <v>285</v>
      </c>
      <c r="R161">
        <v>81.48</v>
      </c>
      <c r="S161">
        <v>79.021000000000001</v>
      </c>
      <c r="T161">
        <v>89.132999999999996</v>
      </c>
      <c r="U161">
        <v>89.665000000000006</v>
      </c>
      <c r="V161">
        <v>87.253</v>
      </c>
      <c r="W161">
        <v>75.540999999999997</v>
      </c>
      <c r="X161">
        <v>105.864</v>
      </c>
      <c r="Y161">
        <v>115.19499999999999</v>
      </c>
      <c r="Z161">
        <v>60.509</v>
      </c>
      <c r="AA161">
        <v>81.850999999999999</v>
      </c>
      <c r="AB161">
        <v>109.45699999999999</v>
      </c>
      <c r="AC161">
        <v>116.21</v>
      </c>
      <c r="AD161">
        <v>105.732</v>
      </c>
      <c r="AE161">
        <v>93.257999999999996</v>
      </c>
      <c r="AF161">
        <v>113.94799999999999</v>
      </c>
      <c r="AG161">
        <v>84.802000000000007</v>
      </c>
      <c r="AH161">
        <v>90.347999999999999</v>
      </c>
      <c r="AI161">
        <v>120.39700000000001</v>
      </c>
      <c r="AJ161">
        <v>107.48699999999999</v>
      </c>
      <c r="AK161">
        <v>108.26300000000001</v>
      </c>
      <c r="AL161">
        <v>145.916</v>
      </c>
      <c r="AM161">
        <v>155.78299999999999</v>
      </c>
      <c r="AN161">
        <v>182.97399999999999</v>
      </c>
      <c r="AO161">
        <v>162.66</v>
      </c>
      <c r="AP161">
        <v>181.28</v>
      </c>
      <c r="AQ161">
        <v>111.943</v>
      </c>
      <c r="AR161">
        <v>107.256</v>
      </c>
      <c r="AS161">
        <v>155.02600000000001</v>
      </c>
      <c r="AT161">
        <v>167.548</v>
      </c>
      <c r="AU161">
        <v>162.71</v>
      </c>
      <c r="AV161">
        <v>164.84200000000001</v>
      </c>
      <c r="AW161">
        <v>215.44</v>
      </c>
      <c r="AX161">
        <v>229.93700000000001</v>
      </c>
      <c r="AY161">
        <v>2014</v>
      </c>
    </row>
    <row r="162" spans="1:51" ht="14.45" x14ac:dyDescent="0.35">
      <c r="A162">
        <v>628</v>
      </c>
      <c r="B162" t="s">
        <v>397</v>
      </c>
      <c r="C162" t="s">
        <v>279</v>
      </c>
      <c r="D162" t="s">
        <v>77</v>
      </c>
      <c r="E162" t="s">
        <v>280</v>
      </c>
      <c r="F162" t="s">
        <v>281</v>
      </c>
      <c r="G162" t="s">
        <v>282</v>
      </c>
      <c r="H162" t="s">
        <v>283</v>
      </c>
      <c r="I162" t="s">
        <v>398</v>
      </c>
      <c r="J162">
        <v>866.06799999999998</v>
      </c>
      <c r="K162">
        <v>772.48699999999997</v>
      </c>
      <c r="L162">
        <v>814.01900000000001</v>
      </c>
      <c r="M162">
        <v>941.48599999999999</v>
      </c>
      <c r="N162">
        <v>990.97299999999996</v>
      </c>
      <c r="O162" s="21">
        <v>1069.2260000000001</v>
      </c>
      <c r="P162" s="21">
        <v>1133.02</v>
      </c>
      <c r="Q162" s="21">
        <v>1174.3389999999999</v>
      </c>
      <c r="R162" s="21">
        <v>1262.9369999999999</v>
      </c>
      <c r="S162" s="21">
        <v>1287.5899999999999</v>
      </c>
      <c r="T162" s="21">
        <v>1328.819</v>
      </c>
      <c r="U162" s="21">
        <v>1467.047</v>
      </c>
      <c r="V162" s="21">
        <v>1502.1389999999999</v>
      </c>
      <c r="W162" s="21">
        <v>1470.9839999999999</v>
      </c>
      <c r="X162" s="21">
        <v>1551.8</v>
      </c>
      <c r="Y162" s="21">
        <v>1539.7739999999999</v>
      </c>
      <c r="Z162" s="21">
        <v>1572.345</v>
      </c>
      <c r="AA162" s="21">
        <v>1661.2360000000001</v>
      </c>
      <c r="AB162" s="21">
        <v>1776.7180000000001</v>
      </c>
      <c r="AC162" s="21">
        <v>1764.586</v>
      </c>
      <c r="AD162" s="21">
        <v>1749.0630000000001</v>
      </c>
      <c r="AE162" s="21">
        <v>1952.972</v>
      </c>
      <c r="AF162" s="21">
        <v>2118.8020000000001</v>
      </c>
      <c r="AG162" s="21">
        <v>2430.7260000000001</v>
      </c>
      <c r="AH162" s="21">
        <v>3248.163</v>
      </c>
      <c r="AI162" s="21">
        <v>3505.9029999999998</v>
      </c>
      <c r="AJ162" s="21">
        <v>3528.63</v>
      </c>
      <c r="AK162" s="21">
        <v>3644.07</v>
      </c>
      <c r="AL162" s="21">
        <v>3755.3119999999999</v>
      </c>
      <c r="AM162" s="21">
        <v>3913.9070000000002</v>
      </c>
      <c r="AN162" s="21">
        <v>4444.01</v>
      </c>
      <c r="AO162" s="21">
        <v>4447.692</v>
      </c>
      <c r="AP162" s="21">
        <v>4842.7359999999999</v>
      </c>
      <c r="AQ162" s="21">
        <v>5118.4979999999996</v>
      </c>
      <c r="AR162" s="21">
        <v>5471.3149999999996</v>
      </c>
      <c r="AS162" s="21">
        <v>5849.8270000000002</v>
      </c>
      <c r="AT162" s="21">
        <v>6097.3729999999996</v>
      </c>
      <c r="AU162" s="21">
        <v>6593.2719999999999</v>
      </c>
      <c r="AV162" s="21">
        <v>6918.4129999999996</v>
      </c>
      <c r="AW162" s="21">
        <v>7275.2169999999996</v>
      </c>
      <c r="AX162" s="21">
        <v>7480.8689999999997</v>
      </c>
      <c r="AY162">
        <v>2013</v>
      </c>
    </row>
    <row r="163" spans="1:51" ht="14.45" x14ac:dyDescent="0.35">
      <c r="A163">
        <v>628</v>
      </c>
      <c r="B163" t="s">
        <v>397</v>
      </c>
      <c r="C163" t="s">
        <v>286</v>
      </c>
      <c r="D163" t="s">
        <v>77</v>
      </c>
      <c r="E163" t="s">
        <v>287</v>
      </c>
      <c r="F163" t="s">
        <v>288</v>
      </c>
      <c r="G163" t="s">
        <v>282</v>
      </c>
      <c r="H163" t="s">
        <v>283</v>
      </c>
      <c r="I163" t="s">
        <v>398</v>
      </c>
      <c r="J163">
        <v>166.13</v>
      </c>
      <c r="K163">
        <v>251.02600000000001</v>
      </c>
      <c r="L163">
        <v>283.84500000000003</v>
      </c>
      <c r="M163">
        <v>352.322</v>
      </c>
      <c r="N163">
        <v>435.06900000000002</v>
      </c>
      <c r="O163">
        <v>441.74599999999998</v>
      </c>
      <c r="P163">
        <v>419.24099999999999</v>
      </c>
      <c r="Q163">
        <v>412.37900000000002</v>
      </c>
      <c r="R163">
        <v>477.90300000000002</v>
      </c>
      <c r="S163">
        <v>483.33499999999998</v>
      </c>
      <c r="T163">
        <v>497.14100000000002</v>
      </c>
      <c r="U163">
        <v>510.38200000000001</v>
      </c>
      <c r="V163">
        <v>499.17899999999997</v>
      </c>
      <c r="W163">
        <v>466.68099999999998</v>
      </c>
      <c r="X163">
        <v>741.3</v>
      </c>
      <c r="Y163">
        <v>816.75599999999997</v>
      </c>
      <c r="Z163">
        <v>930.50300000000004</v>
      </c>
      <c r="AA163" s="21">
        <v>1020.297</v>
      </c>
      <c r="AB163" s="21">
        <v>1164.875</v>
      </c>
      <c r="AC163" s="21">
        <v>1069.308</v>
      </c>
      <c r="AD163" s="21">
        <v>1115.9690000000001</v>
      </c>
      <c r="AE163" s="21">
        <v>1417.998</v>
      </c>
      <c r="AF163" s="21">
        <v>1567.7529999999999</v>
      </c>
      <c r="AG163" s="21">
        <v>1799.5909999999999</v>
      </c>
      <c r="AH163" s="21">
        <v>2639.3180000000002</v>
      </c>
      <c r="AI163" s="21">
        <v>3505.9029999999998</v>
      </c>
      <c r="AJ163" s="21">
        <v>3880.944</v>
      </c>
      <c r="AK163" s="21">
        <v>4140.2479999999996</v>
      </c>
      <c r="AL163" s="21">
        <v>4635.6499999999996</v>
      </c>
      <c r="AM163" s="21">
        <v>4369.3680000000004</v>
      </c>
      <c r="AN163" s="21">
        <v>5278.5159999999996</v>
      </c>
      <c r="AO163" s="21">
        <v>5736.1840000000002</v>
      </c>
      <c r="AP163" s="21">
        <v>6314.3059999999996</v>
      </c>
      <c r="AQ163" s="21">
        <v>6396.5559999999996</v>
      </c>
      <c r="AR163" s="21">
        <v>6883.6180000000004</v>
      </c>
      <c r="AS163" s="21">
        <v>6894.5410000000002</v>
      </c>
      <c r="AT163" s="21">
        <v>7547.0810000000001</v>
      </c>
      <c r="AU163" s="21">
        <v>8576.17</v>
      </c>
      <c r="AV163" s="21">
        <v>9216.1059999999998</v>
      </c>
      <c r="AW163" s="21">
        <v>9978.51</v>
      </c>
      <c r="AX163" s="21">
        <v>10443.92</v>
      </c>
      <c r="AY163">
        <v>2013</v>
      </c>
    </row>
    <row r="164" spans="1:51" ht="14.45" x14ac:dyDescent="0.35">
      <c r="A164">
        <v>628</v>
      </c>
      <c r="B164" t="s">
        <v>397</v>
      </c>
      <c r="C164" t="s">
        <v>289</v>
      </c>
      <c r="D164" t="s">
        <v>77</v>
      </c>
      <c r="E164" t="s">
        <v>287</v>
      </c>
      <c r="F164" t="s">
        <v>290</v>
      </c>
      <c r="G164" t="s">
        <v>291</v>
      </c>
      <c r="H164" t="s">
        <v>283</v>
      </c>
      <c r="I164" t="s">
        <v>292</v>
      </c>
      <c r="J164">
        <v>0.73799999999999999</v>
      </c>
      <c r="K164">
        <v>0.873</v>
      </c>
      <c r="L164">
        <v>0.84399999999999997</v>
      </c>
      <c r="M164">
        <v>0.84399999999999997</v>
      </c>
      <c r="N164">
        <v>0.90700000000000003</v>
      </c>
      <c r="O164">
        <v>0.98299999999999998</v>
      </c>
      <c r="P164">
        <v>1.2110000000000001</v>
      </c>
      <c r="Q164">
        <v>1.3720000000000001</v>
      </c>
      <c r="R164">
        <v>1.6040000000000001</v>
      </c>
      <c r="S164">
        <v>1.5149999999999999</v>
      </c>
      <c r="T164">
        <v>1.8260000000000001</v>
      </c>
      <c r="U164">
        <v>1.8089999999999999</v>
      </c>
      <c r="V164">
        <v>1.8859999999999999</v>
      </c>
      <c r="W164">
        <v>1.6479999999999999</v>
      </c>
      <c r="X164">
        <v>1.335</v>
      </c>
      <c r="Y164">
        <v>1.6359999999999999</v>
      </c>
      <c r="Z164">
        <v>1.819</v>
      </c>
      <c r="AA164">
        <v>1.748</v>
      </c>
      <c r="AB164">
        <v>1.9750000000000001</v>
      </c>
      <c r="AC164">
        <v>1.7390000000000001</v>
      </c>
      <c r="AD164">
        <v>1.5720000000000001</v>
      </c>
      <c r="AE164">
        <v>1.9359999999999999</v>
      </c>
      <c r="AF164">
        <v>2.2570000000000001</v>
      </c>
      <c r="AG164">
        <v>3.1019999999999999</v>
      </c>
      <c r="AH164">
        <v>5.0030000000000001</v>
      </c>
      <c r="AI164">
        <v>6.6580000000000004</v>
      </c>
      <c r="AJ164">
        <v>7.4290000000000003</v>
      </c>
      <c r="AK164">
        <v>8.6509999999999998</v>
      </c>
      <c r="AL164">
        <v>10.401</v>
      </c>
      <c r="AM164">
        <v>9.2780000000000005</v>
      </c>
      <c r="AN164">
        <v>10.678000000000001</v>
      </c>
      <c r="AO164">
        <v>12.167999999999999</v>
      </c>
      <c r="AP164">
        <v>12.375</v>
      </c>
      <c r="AQ164">
        <v>12.951000000000001</v>
      </c>
      <c r="AR164">
        <v>13.945</v>
      </c>
      <c r="AS164">
        <v>11.688000000000001</v>
      </c>
      <c r="AT164">
        <v>12.82</v>
      </c>
      <c r="AU164">
        <v>14.704000000000001</v>
      </c>
      <c r="AV164">
        <v>15.988</v>
      </c>
      <c r="AW164">
        <v>17.440000000000001</v>
      </c>
      <c r="AX164">
        <v>18.547000000000001</v>
      </c>
      <c r="AY164">
        <v>2013</v>
      </c>
    </row>
    <row r="165" spans="1:51" ht="14.45" x14ac:dyDescent="0.35">
      <c r="A165">
        <v>628</v>
      </c>
      <c r="B165" t="s">
        <v>397</v>
      </c>
      <c r="C165" t="s">
        <v>293</v>
      </c>
      <c r="D165" t="s">
        <v>77</v>
      </c>
      <c r="E165" t="s">
        <v>294</v>
      </c>
      <c r="F165" t="s">
        <v>295</v>
      </c>
      <c r="G165" t="s">
        <v>296</v>
      </c>
      <c r="I165" t="s">
        <v>297</v>
      </c>
      <c r="J165">
        <v>19.181999999999999</v>
      </c>
      <c r="K165">
        <v>32.496000000000002</v>
      </c>
      <c r="L165">
        <v>34.869999999999997</v>
      </c>
      <c r="M165">
        <v>37.421999999999997</v>
      </c>
      <c r="N165">
        <v>43.902999999999999</v>
      </c>
      <c r="O165">
        <v>41.314999999999998</v>
      </c>
      <c r="P165">
        <v>37.002000000000002</v>
      </c>
      <c r="Q165">
        <v>35.116</v>
      </c>
      <c r="R165">
        <v>37.841000000000001</v>
      </c>
      <c r="S165">
        <v>37.537999999999997</v>
      </c>
      <c r="T165">
        <v>37.411999999999999</v>
      </c>
      <c r="U165">
        <v>34.79</v>
      </c>
      <c r="V165">
        <v>33.231000000000002</v>
      </c>
      <c r="W165">
        <v>31.725999999999999</v>
      </c>
      <c r="X165">
        <v>47.77</v>
      </c>
      <c r="Y165">
        <v>53.043999999999997</v>
      </c>
      <c r="Z165">
        <v>59.179000000000002</v>
      </c>
      <c r="AA165">
        <v>61.417999999999999</v>
      </c>
      <c r="AB165">
        <v>65.563000000000002</v>
      </c>
      <c r="AC165">
        <v>60.597999999999999</v>
      </c>
      <c r="AD165">
        <v>63.804000000000002</v>
      </c>
      <c r="AE165">
        <v>72.606999999999999</v>
      </c>
      <c r="AF165">
        <v>73.992000000000004</v>
      </c>
      <c r="AG165">
        <v>74.034999999999997</v>
      </c>
      <c r="AH165">
        <v>81.256</v>
      </c>
      <c r="AI165">
        <v>100</v>
      </c>
      <c r="AJ165">
        <v>109.98399999999999</v>
      </c>
      <c r="AK165">
        <v>113.616</v>
      </c>
      <c r="AL165">
        <v>123.44199999999999</v>
      </c>
      <c r="AM165">
        <v>111.637</v>
      </c>
      <c r="AN165">
        <v>118.77800000000001</v>
      </c>
      <c r="AO165">
        <v>128.97</v>
      </c>
      <c r="AP165">
        <v>130.387</v>
      </c>
      <c r="AQ165">
        <v>124.96899999999999</v>
      </c>
      <c r="AR165">
        <v>125.813</v>
      </c>
      <c r="AS165">
        <v>117.85899999999999</v>
      </c>
      <c r="AT165">
        <v>123.776</v>
      </c>
      <c r="AU165">
        <v>130.07499999999999</v>
      </c>
      <c r="AV165">
        <v>133.21100000000001</v>
      </c>
      <c r="AW165">
        <v>137.15799999999999</v>
      </c>
      <c r="AX165">
        <v>139.608</v>
      </c>
      <c r="AY165">
        <v>2013</v>
      </c>
    </row>
    <row r="166" spans="1:51" ht="14.45" x14ac:dyDescent="0.35">
      <c r="A166">
        <v>628</v>
      </c>
      <c r="B166" t="s">
        <v>397</v>
      </c>
      <c r="C166" t="s">
        <v>298</v>
      </c>
      <c r="D166" t="s">
        <v>77</v>
      </c>
      <c r="E166" t="s">
        <v>299</v>
      </c>
      <c r="F166" t="s">
        <v>300</v>
      </c>
      <c r="G166" t="s">
        <v>282</v>
      </c>
      <c r="H166" t="s">
        <v>283</v>
      </c>
      <c r="I166" t="s">
        <v>399</v>
      </c>
      <c r="J166" t="s">
        <v>285</v>
      </c>
      <c r="K166" t="s">
        <v>285</v>
      </c>
      <c r="L166" t="s">
        <v>285</v>
      </c>
      <c r="M166" t="s">
        <v>285</v>
      </c>
      <c r="N166" t="s">
        <v>285</v>
      </c>
      <c r="O166" t="s">
        <v>285</v>
      </c>
      <c r="P166" t="s">
        <v>285</v>
      </c>
      <c r="Q166" t="s">
        <v>285</v>
      </c>
      <c r="R166" t="s">
        <v>285</v>
      </c>
      <c r="S166" t="s">
        <v>285</v>
      </c>
      <c r="T166" t="s">
        <v>285</v>
      </c>
      <c r="U166" t="s">
        <v>285</v>
      </c>
      <c r="V166" t="s">
        <v>285</v>
      </c>
      <c r="W166" t="s">
        <v>285</v>
      </c>
      <c r="X166" t="s">
        <v>285</v>
      </c>
      <c r="Y166">
        <v>130.298</v>
      </c>
      <c r="Z166">
        <v>144.72</v>
      </c>
      <c r="AA166">
        <v>158.90199999999999</v>
      </c>
      <c r="AB166">
        <v>153.31399999999999</v>
      </c>
      <c r="AC166">
        <v>178.78100000000001</v>
      </c>
      <c r="AD166">
        <v>203.2</v>
      </c>
      <c r="AE166">
        <v>220.5</v>
      </c>
      <c r="AF166">
        <v>280.3</v>
      </c>
      <c r="AG166">
        <v>348.1</v>
      </c>
      <c r="AH166">
        <v>336.77800000000002</v>
      </c>
      <c r="AI166">
        <v>404.94600000000003</v>
      </c>
      <c r="AJ166">
        <v>542.28</v>
      </c>
      <c r="AK166">
        <v>709.29499999999996</v>
      </c>
      <c r="AL166">
        <v>874.40899999999999</v>
      </c>
      <c r="AM166" s="21">
        <v>1057.7760000000001</v>
      </c>
      <c r="AN166" s="21">
        <v>1288.501</v>
      </c>
      <c r="AO166" s="21">
        <v>1284.4760000000001</v>
      </c>
      <c r="AP166" s="21">
        <v>1512.1110000000001</v>
      </c>
      <c r="AQ166" s="21">
        <v>1463.5640000000001</v>
      </c>
      <c r="AR166" s="21">
        <v>1519.1859999999999</v>
      </c>
      <c r="AS166" s="21">
        <v>1214.3389999999999</v>
      </c>
      <c r="AT166" s="21">
        <v>1379.454</v>
      </c>
      <c r="AU166" s="21">
        <v>1553.277</v>
      </c>
      <c r="AV166" s="21">
        <v>1950.325</v>
      </c>
      <c r="AW166" s="21">
        <v>2306.1729999999998</v>
      </c>
      <c r="AX166" s="21">
        <v>2465.6979999999999</v>
      </c>
      <c r="AY166">
        <v>2014</v>
      </c>
    </row>
    <row r="167" spans="1:51" ht="14.45" x14ac:dyDescent="0.35">
      <c r="A167">
        <v>228</v>
      </c>
      <c r="B167" t="s">
        <v>400</v>
      </c>
      <c r="C167" t="s">
        <v>279</v>
      </c>
      <c r="D167" t="s">
        <v>78</v>
      </c>
      <c r="E167" t="s">
        <v>280</v>
      </c>
      <c r="F167" t="s">
        <v>281</v>
      </c>
      <c r="G167" t="s">
        <v>282</v>
      </c>
      <c r="H167" t="s">
        <v>283</v>
      </c>
      <c r="I167" t="s">
        <v>401</v>
      </c>
      <c r="J167" s="21">
        <v>26650.300999999999</v>
      </c>
      <c r="K167" s="21">
        <v>28305.870999999999</v>
      </c>
      <c r="L167" s="21">
        <v>24459.681</v>
      </c>
      <c r="M167" s="21">
        <v>23774.312000000002</v>
      </c>
      <c r="N167" s="21">
        <v>25173.56</v>
      </c>
      <c r="O167" s="21">
        <v>25669.045999999998</v>
      </c>
      <c r="P167" s="21">
        <v>27105.544000000002</v>
      </c>
      <c r="Q167" s="21">
        <v>28889.307000000001</v>
      </c>
      <c r="R167" s="21">
        <v>30994.714</v>
      </c>
      <c r="S167" s="21">
        <v>34281.67</v>
      </c>
      <c r="T167" s="21">
        <v>35540.262999999999</v>
      </c>
      <c r="U167" s="21">
        <v>38363.845000000001</v>
      </c>
      <c r="V167" s="21">
        <v>43047.764000000003</v>
      </c>
      <c r="W167" s="21">
        <v>46029.21</v>
      </c>
      <c r="X167" s="21">
        <v>48637.432000000001</v>
      </c>
      <c r="Y167" s="21">
        <v>53738.188999999998</v>
      </c>
      <c r="Z167" s="21">
        <v>57691.735000000001</v>
      </c>
      <c r="AA167" s="21">
        <v>61503.080999999998</v>
      </c>
      <c r="AB167" s="21">
        <v>63512.286</v>
      </c>
      <c r="AC167" s="21">
        <v>63061.923999999999</v>
      </c>
      <c r="AD167" s="21">
        <v>65880.422999999995</v>
      </c>
      <c r="AE167" s="21">
        <v>68081.861999999994</v>
      </c>
      <c r="AF167" s="21">
        <v>69559.298999999999</v>
      </c>
      <c r="AG167" s="21">
        <v>71915.187000000005</v>
      </c>
      <c r="AH167" s="21">
        <v>76803.271999999997</v>
      </c>
      <c r="AI167" s="21">
        <v>81645.452999999994</v>
      </c>
      <c r="AJ167" s="21">
        <v>86400.966</v>
      </c>
      <c r="AK167" s="21">
        <v>90899.462</v>
      </c>
      <c r="AL167" s="21">
        <v>93838.748000000007</v>
      </c>
      <c r="AM167" s="21">
        <v>92869.373000000007</v>
      </c>
      <c r="AN167" s="21">
        <v>98199.771999999997</v>
      </c>
      <c r="AO167" s="21">
        <v>103850.49099999999</v>
      </c>
      <c r="AP167" s="21">
        <v>109587.914</v>
      </c>
      <c r="AQ167" s="21">
        <v>114311.27</v>
      </c>
      <c r="AR167" s="21">
        <v>116426.947</v>
      </c>
      <c r="AS167" s="21">
        <v>119068.38</v>
      </c>
      <c r="AT167" s="21">
        <v>122048.996</v>
      </c>
      <c r="AU167" s="21">
        <v>125588.417</v>
      </c>
      <c r="AV167" s="21">
        <v>129481.658</v>
      </c>
      <c r="AW167" s="21">
        <v>133754.552</v>
      </c>
      <c r="AX167" s="21">
        <v>138435.962</v>
      </c>
      <c r="AY167">
        <v>2014</v>
      </c>
    </row>
    <row r="168" spans="1:51" ht="14.45" x14ac:dyDescent="0.35">
      <c r="A168">
        <v>228</v>
      </c>
      <c r="B168" t="s">
        <v>400</v>
      </c>
      <c r="C168" t="s">
        <v>286</v>
      </c>
      <c r="D168" t="s">
        <v>78</v>
      </c>
      <c r="E168" t="s">
        <v>287</v>
      </c>
      <c r="F168" t="s">
        <v>288</v>
      </c>
      <c r="G168" t="s">
        <v>282</v>
      </c>
      <c r="H168" t="s">
        <v>283</v>
      </c>
      <c r="I168" t="s">
        <v>401</v>
      </c>
      <c r="J168" s="21">
        <v>1119.3150000000001</v>
      </c>
      <c r="K168" s="21">
        <v>1325.2750000000001</v>
      </c>
      <c r="L168" s="21">
        <v>1289.8810000000001</v>
      </c>
      <c r="M168" s="21">
        <v>1621.5170000000001</v>
      </c>
      <c r="N168" s="21">
        <v>1970.95</v>
      </c>
      <c r="O168" s="21">
        <v>2760.569</v>
      </c>
      <c r="P168" s="21">
        <v>3559.2710000000002</v>
      </c>
      <c r="Q168" s="21">
        <v>4773.9920000000002</v>
      </c>
      <c r="R168" s="21">
        <v>6284.5770000000002</v>
      </c>
      <c r="S168" s="21">
        <v>7887.7809999999999</v>
      </c>
      <c r="T168" s="21">
        <v>10016.477999999999</v>
      </c>
      <c r="U168" s="21">
        <v>13204.561</v>
      </c>
      <c r="V168" s="21">
        <v>16701.928</v>
      </c>
      <c r="W168" s="21">
        <v>19919.310000000001</v>
      </c>
      <c r="X168" s="21">
        <v>23891.094000000001</v>
      </c>
      <c r="Y168" s="21">
        <v>29072.350999999999</v>
      </c>
      <c r="Z168" s="21">
        <v>32023.550999999999</v>
      </c>
      <c r="AA168" s="21">
        <v>35571.938999999998</v>
      </c>
      <c r="AB168" s="21">
        <v>37532.660000000003</v>
      </c>
      <c r="AC168" s="21">
        <v>38279.241000000002</v>
      </c>
      <c r="AD168" s="21">
        <v>42070.396000000001</v>
      </c>
      <c r="AE168" s="21">
        <v>45261.601000000002</v>
      </c>
      <c r="AF168" s="21">
        <v>48296.534</v>
      </c>
      <c r="AG168" s="21">
        <v>52614.139000000003</v>
      </c>
      <c r="AH168" s="21">
        <v>60507.601000000002</v>
      </c>
      <c r="AI168" s="21">
        <v>68884.042000000001</v>
      </c>
      <c r="AJ168" s="21">
        <v>82044.441999999995</v>
      </c>
      <c r="AK168" s="21">
        <v>90427.773000000001</v>
      </c>
      <c r="AL168" s="21">
        <v>93815.502999999997</v>
      </c>
      <c r="AM168" s="21">
        <v>96313.789000000004</v>
      </c>
      <c r="AN168" s="21">
        <v>110868.33</v>
      </c>
      <c r="AO168" s="21">
        <v>121231.538</v>
      </c>
      <c r="AP168" s="21">
        <v>128985.674</v>
      </c>
      <c r="AQ168" s="21">
        <v>137032.39300000001</v>
      </c>
      <c r="AR168" s="21">
        <v>147165.717</v>
      </c>
      <c r="AS168" s="21">
        <v>156133.73699999999</v>
      </c>
      <c r="AT168" s="21">
        <v>164123.57199999999</v>
      </c>
      <c r="AU168" s="21">
        <v>173105.56299999999</v>
      </c>
      <c r="AV168" s="21">
        <v>183197.997</v>
      </c>
      <c r="AW168" s="21">
        <v>194551.595</v>
      </c>
      <c r="AX168" s="21">
        <v>207537.476</v>
      </c>
      <c r="AY168">
        <v>2014</v>
      </c>
    </row>
    <row r="169" spans="1:51" ht="14.45" x14ac:dyDescent="0.35">
      <c r="A169">
        <v>228</v>
      </c>
      <c r="B169" t="s">
        <v>400</v>
      </c>
      <c r="C169" t="s">
        <v>289</v>
      </c>
      <c r="D169" t="s">
        <v>78</v>
      </c>
      <c r="E169" t="s">
        <v>287</v>
      </c>
      <c r="F169" t="s">
        <v>290</v>
      </c>
      <c r="G169" t="s">
        <v>291</v>
      </c>
      <c r="H169" t="s">
        <v>283</v>
      </c>
      <c r="I169" t="s">
        <v>292</v>
      </c>
      <c r="J169">
        <v>28.7</v>
      </c>
      <c r="K169">
        <v>33.981000000000002</v>
      </c>
      <c r="L169">
        <v>25.337</v>
      </c>
      <c r="M169">
        <v>20.581</v>
      </c>
      <c r="N169">
        <v>20.013999999999999</v>
      </c>
      <c r="O169">
        <v>17.161000000000001</v>
      </c>
      <c r="P169">
        <v>18.449000000000002</v>
      </c>
      <c r="Q169">
        <v>21.759</v>
      </c>
      <c r="R169">
        <v>25.65</v>
      </c>
      <c r="S169">
        <v>29.547000000000001</v>
      </c>
      <c r="T169">
        <v>32.850999999999999</v>
      </c>
      <c r="U169">
        <v>37.811999999999998</v>
      </c>
      <c r="V169">
        <v>46.064999999999998</v>
      </c>
      <c r="W169">
        <v>49.284999999999997</v>
      </c>
      <c r="X169">
        <v>56.86</v>
      </c>
      <c r="Y169">
        <v>73.272000000000006</v>
      </c>
      <c r="Z169">
        <v>77.677000000000007</v>
      </c>
      <c r="AA169">
        <v>84.834999999999994</v>
      </c>
      <c r="AB169">
        <v>81.542000000000002</v>
      </c>
      <c r="AC169">
        <v>75.236999999999995</v>
      </c>
      <c r="AD169">
        <v>77.981999999999999</v>
      </c>
      <c r="AE169">
        <v>71.284999999999997</v>
      </c>
      <c r="AF169">
        <v>70.102999999999994</v>
      </c>
      <c r="AG169">
        <v>76.097999999999999</v>
      </c>
      <c r="AH169">
        <v>99.269000000000005</v>
      </c>
      <c r="AI169">
        <v>123.05800000000001</v>
      </c>
      <c r="AJ169">
        <v>154.721</v>
      </c>
      <c r="AK169">
        <v>173.078</v>
      </c>
      <c r="AL169">
        <v>179.565</v>
      </c>
      <c r="AM169">
        <v>172.107</v>
      </c>
      <c r="AN169">
        <v>217.28299999999999</v>
      </c>
      <c r="AO169">
        <v>250.65100000000001</v>
      </c>
      <c r="AP169">
        <v>265.13400000000001</v>
      </c>
      <c r="AQ169">
        <v>276.65899999999999</v>
      </c>
      <c r="AR169">
        <v>258.017</v>
      </c>
      <c r="AS169">
        <v>240.041</v>
      </c>
      <c r="AT169">
        <v>240.309</v>
      </c>
      <c r="AU169">
        <v>250.95099999999999</v>
      </c>
      <c r="AV169">
        <v>262.95299999999997</v>
      </c>
      <c r="AW169">
        <v>276.48399999999998</v>
      </c>
      <c r="AX169">
        <v>292.01900000000001</v>
      </c>
      <c r="AY169">
        <v>2014</v>
      </c>
    </row>
    <row r="170" spans="1:51" ht="14.45" x14ac:dyDescent="0.35">
      <c r="A170">
        <v>228</v>
      </c>
      <c r="B170" t="s">
        <v>400</v>
      </c>
      <c r="C170" t="s">
        <v>293</v>
      </c>
      <c r="D170" t="s">
        <v>78</v>
      </c>
      <c r="E170" t="s">
        <v>294</v>
      </c>
      <c r="F170" t="s">
        <v>295</v>
      </c>
      <c r="G170" t="s">
        <v>296</v>
      </c>
      <c r="I170" t="s">
        <v>297</v>
      </c>
      <c r="J170">
        <v>4.2</v>
      </c>
      <c r="K170">
        <v>4.6820000000000004</v>
      </c>
      <c r="L170">
        <v>5.2729999999999997</v>
      </c>
      <c r="M170">
        <v>6.82</v>
      </c>
      <c r="N170">
        <v>7.8289999999999997</v>
      </c>
      <c r="O170">
        <v>10.754</v>
      </c>
      <c r="P170">
        <v>13.131</v>
      </c>
      <c r="Q170">
        <v>16.524999999999999</v>
      </c>
      <c r="R170">
        <v>20.276</v>
      </c>
      <c r="S170">
        <v>23.009</v>
      </c>
      <c r="T170">
        <v>28.183</v>
      </c>
      <c r="U170">
        <v>34.418999999999997</v>
      </c>
      <c r="V170">
        <v>38.798999999999999</v>
      </c>
      <c r="W170">
        <v>43.274999999999999</v>
      </c>
      <c r="X170">
        <v>49.121000000000002</v>
      </c>
      <c r="Y170">
        <v>54.1</v>
      </c>
      <c r="Z170">
        <v>55.508000000000003</v>
      </c>
      <c r="AA170">
        <v>57.838000000000001</v>
      </c>
      <c r="AB170">
        <v>59.094999999999999</v>
      </c>
      <c r="AC170">
        <v>60.701000000000001</v>
      </c>
      <c r="AD170">
        <v>63.859000000000002</v>
      </c>
      <c r="AE170">
        <v>66.480999999999995</v>
      </c>
      <c r="AF170">
        <v>69.432000000000002</v>
      </c>
      <c r="AG170">
        <v>73.161000000000001</v>
      </c>
      <c r="AH170">
        <v>78.783000000000001</v>
      </c>
      <c r="AI170">
        <v>84.37</v>
      </c>
      <c r="AJ170">
        <v>94.957999999999998</v>
      </c>
      <c r="AK170">
        <v>99.480999999999995</v>
      </c>
      <c r="AL170">
        <v>99.974999999999994</v>
      </c>
      <c r="AM170">
        <v>103.709</v>
      </c>
      <c r="AN170">
        <v>112.901</v>
      </c>
      <c r="AO170">
        <v>116.73699999999999</v>
      </c>
      <c r="AP170">
        <v>117.70099999999999</v>
      </c>
      <c r="AQ170">
        <v>119.877</v>
      </c>
      <c r="AR170">
        <v>126.402</v>
      </c>
      <c r="AS170">
        <v>131.12899999999999</v>
      </c>
      <c r="AT170">
        <v>134.47399999999999</v>
      </c>
      <c r="AU170">
        <v>137.83600000000001</v>
      </c>
      <c r="AV170">
        <v>141.48599999999999</v>
      </c>
      <c r="AW170">
        <v>145.45400000000001</v>
      </c>
      <c r="AX170">
        <v>149.916</v>
      </c>
      <c r="AY170">
        <v>2014</v>
      </c>
    </row>
    <row r="171" spans="1:51" ht="14.45" x14ac:dyDescent="0.35">
      <c r="A171">
        <v>228</v>
      </c>
      <c r="B171" t="s">
        <v>400</v>
      </c>
      <c r="C171" t="s">
        <v>298</v>
      </c>
      <c r="D171" t="s">
        <v>78</v>
      </c>
      <c r="E171" t="s">
        <v>299</v>
      </c>
      <c r="F171" t="s">
        <v>300</v>
      </c>
      <c r="G171" t="s">
        <v>282</v>
      </c>
      <c r="H171" t="s">
        <v>283</v>
      </c>
      <c r="I171" t="s">
        <v>402</v>
      </c>
      <c r="J171" t="s">
        <v>285</v>
      </c>
      <c r="K171" t="s">
        <v>285</v>
      </c>
      <c r="L171" t="s">
        <v>285</v>
      </c>
      <c r="M171" t="s">
        <v>285</v>
      </c>
      <c r="N171" t="s">
        <v>285</v>
      </c>
      <c r="O171" t="s">
        <v>285</v>
      </c>
      <c r="P171" t="s">
        <v>285</v>
      </c>
      <c r="Q171" t="s">
        <v>285</v>
      </c>
      <c r="R171" t="s">
        <v>285</v>
      </c>
      <c r="S171" t="s">
        <v>285</v>
      </c>
      <c r="T171" s="21">
        <v>2126.5659999999998</v>
      </c>
      <c r="U171" s="21">
        <v>2845.8490000000002</v>
      </c>
      <c r="V171" s="21">
        <v>3530.895</v>
      </c>
      <c r="W171" s="21">
        <v>4275.7129999999997</v>
      </c>
      <c r="X171" s="21">
        <v>4996.6109999999999</v>
      </c>
      <c r="Y171" s="21">
        <v>5732.2089999999998</v>
      </c>
      <c r="Z171" s="21">
        <v>6700.7560000000003</v>
      </c>
      <c r="AA171" s="21">
        <v>7428.6319999999996</v>
      </c>
      <c r="AB171" s="21">
        <v>8291.8829999999998</v>
      </c>
      <c r="AC171" s="21">
        <v>9123.6049999999996</v>
      </c>
      <c r="AD171" s="21">
        <v>9670.1350000000002</v>
      </c>
      <c r="AE171" s="21">
        <v>10545.968999999999</v>
      </c>
      <c r="AF171" s="21">
        <v>11264.236000000001</v>
      </c>
      <c r="AG171" s="21">
        <v>11774.611000000001</v>
      </c>
      <c r="AH171" s="21">
        <v>12605.227000000001</v>
      </c>
      <c r="AI171" s="21">
        <v>13930.21</v>
      </c>
      <c r="AJ171" s="21">
        <v>15348.976000000001</v>
      </c>
      <c r="AK171" s="21">
        <v>17509.242999999999</v>
      </c>
      <c r="AL171" s="21">
        <v>20364.623</v>
      </c>
      <c r="AM171" s="21">
        <v>23797.395</v>
      </c>
      <c r="AN171" s="21">
        <v>26499.37</v>
      </c>
      <c r="AO171" s="21">
        <v>28195.532999999999</v>
      </c>
      <c r="AP171" s="21">
        <v>30614.141</v>
      </c>
      <c r="AQ171" s="21">
        <v>32746.368999999999</v>
      </c>
      <c r="AR171" s="21">
        <v>36618.474999999999</v>
      </c>
      <c r="AS171" s="21">
        <v>40879.099000000002</v>
      </c>
      <c r="AT171" s="21">
        <v>44449.203000000001</v>
      </c>
      <c r="AU171" s="21">
        <v>47530.328999999998</v>
      </c>
      <c r="AV171" s="21">
        <v>50945.546000000002</v>
      </c>
      <c r="AW171" s="21">
        <v>54244.114999999998</v>
      </c>
      <c r="AX171" s="21">
        <v>57784.822</v>
      </c>
      <c r="AY171">
        <v>2014</v>
      </c>
    </row>
    <row r="172" spans="1:51" ht="14.45" x14ac:dyDescent="0.35">
      <c r="A172">
        <v>924</v>
      </c>
      <c r="B172" t="s">
        <v>403</v>
      </c>
      <c r="C172" t="s">
        <v>279</v>
      </c>
      <c r="D172" t="s">
        <v>79</v>
      </c>
      <c r="E172" t="s">
        <v>280</v>
      </c>
      <c r="F172" t="s">
        <v>281</v>
      </c>
      <c r="G172" t="s">
        <v>282</v>
      </c>
      <c r="H172" t="s">
        <v>283</v>
      </c>
      <c r="I172" t="s">
        <v>404</v>
      </c>
      <c r="J172">
        <v>773.12699999999995</v>
      </c>
      <c r="K172">
        <v>813.66300000000001</v>
      </c>
      <c r="L172">
        <v>887.35500000000002</v>
      </c>
      <c r="M172">
        <v>983.66</v>
      </c>
      <c r="N172" s="21">
        <v>1132.94</v>
      </c>
      <c r="O172" s="21">
        <v>1285.5039999999999</v>
      </c>
      <c r="P172" s="21">
        <v>1399.2249999999999</v>
      </c>
      <c r="Q172" s="21">
        <v>1561.3009999999999</v>
      </c>
      <c r="R172" s="21">
        <v>1737.425</v>
      </c>
      <c r="S172" s="21">
        <v>1808.02</v>
      </c>
      <c r="T172" s="21">
        <v>1877.43</v>
      </c>
      <c r="U172" s="21">
        <v>2049.7579999999998</v>
      </c>
      <c r="V172" s="21">
        <v>2342.8739999999998</v>
      </c>
      <c r="W172" s="21">
        <v>2668.5329999999999</v>
      </c>
      <c r="X172" s="21">
        <v>3017.5949999999998</v>
      </c>
      <c r="Y172" s="21">
        <v>3349.5309999999999</v>
      </c>
      <c r="Z172" s="21">
        <v>3681.134</v>
      </c>
      <c r="AA172" s="21">
        <v>4019.799</v>
      </c>
      <c r="AB172" s="21">
        <v>4334.683</v>
      </c>
      <c r="AC172" s="21">
        <v>4664.9790000000003</v>
      </c>
      <c r="AD172" s="21">
        <v>5058.2969999999996</v>
      </c>
      <c r="AE172" s="21">
        <v>5478.1509999999998</v>
      </c>
      <c r="AF172" s="21">
        <v>5975.6809999999996</v>
      </c>
      <c r="AG172" s="21">
        <v>6574.7650000000003</v>
      </c>
      <c r="AH172" s="21">
        <v>7237.8329999999996</v>
      </c>
      <c r="AI172" s="21">
        <v>8056.4350000000004</v>
      </c>
      <c r="AJ172" s="21">
        <v>9077.7109999999993</v>
      </c>
      <c r="AK172" s="21">
        <v>10363.333000000001</v>
      </c>
      <c r="AL172" s="21">
        <v>11361.805</v>
      </c>
      <c r="AM172" s="21">
        <v>12407.091</v>
      </c>
      <c r="AN172" s="21">
        <v>13722.243</v>
      </c>
      <c r="AO172" s="21">
        <v>15025.856</v>
      </c>
      <c r="AP172" s="21">
        <v>16189.992</v>
      </c>
      <c r="AQ172" s="21">
        <v>17434.246999999999</v>
      </c>
      <c r="AR172" s="21">
        <v>18706.947</v>
      </c>
      <c r="AS172" s="21">
        <v>19981.456999999999</v>
      </c>
      <c r="AT172" s="21">
        <v>21240.289000000001</v>
      </c>
      <c r="AU172" s="21">
        <v>22514.705999999998</v>
      </c>
      <c r="AV172" s="21">
        <v>23888.102999999999</v>
      </c>
      <c r="AW172" s="21">
        <v>25400.862000000001</v>
      </c>
      <c r="AX172" s="21">
        <v>27009.419000000002</v>
      </c>
      <c r="AY172">
        <v>2014</v>
      </c>
    </row>
    <row r="173" spans="1:51" ht="14.45" x14ac:dyDescent="0.35">
      <c r="A173">
        <v>924</v>
      </c>
      <c r="B173" t="s">
        <v>403</v>
      </c>
      <c r="C173" t="s">
        <v>286</v>
      </c>
      <c r="D173" t="s">
        <v>79</v>
      </c>
      <c r="E173" t="s">
        <v>287</v>
      </c>
      <c r="F173" t="s">
        <v>288</v>
      </c>
      <c r="G173" t="s">
        <v>282</v>
      </c>
      <c r="H173" t="s">
        <v>283</v>
      </c>
      <c r="I173" t="s">
        <v>404</v>
      </c>
      <c r="J173">
        <v>455.16</v>
      </c>
      <c r="K173">
        <v>489.81</v>
      </c>
      <c r="L173">
        <v>533.29999999999995</v>
      </c>
      <c r="M173">
        <v>597.55999999999995</v>
      </c>
      <c r="N173">
        <v>722.63</v>
      </c>
      <c r="O173">
        <v>903.99</v>
      </c>
      <c r="P173" s="21">
        <v>1030.8800000000001</v>
      </c>
      <c r="Q173" s="21">
        <v>1210.22</v>
      </c>
      <c r="R173" s="21">
        <v>1510.11</v>
      </c>
      <c r="S173" s="21">
        <v>1709.03</v>
      </c>
      <c r="T173" s="21">
        <v>1877.43</v>
      </c>
      <c r="U173" s="21">
        <v>2189.5500000000002</v>
      </c>
      <c r="V173" s="21">
        <v>2706.83</v>
      </c>
      <c r="W173" s="21">
        <v>3552.43</v>
      </c>
      <c r="X173" s="21">
        <v>4845.96</v>
      </c>
      <c r="Y173" s="21">
        <v>6112.98</v>
      </c>
      <c r="Z173" s="21">
        <v>7157.23</v>
      </c>
      <c r="AA173" s="21">
        <v>7942.95</v>
      </c>
      <c r="AB173" s="21">
        <v>8488.3700000000008</v>
      </c>
      <c r="AC173" s="21">
        <v>9018.77</v>
      </c>
      <c r="AD173" s="21">
        <v>9977.6299999999992</v>
      </c>
      <c r="AE173" s="21">
        <v>11027.04</v>
      </c>
      <c r="AF173" s="21">
        <v>12100.2</v>
      </c>
      <c r="AG173" s="21">
        <v>13656.46</v>
      </c>
      <c r="AH173" s="21">
        <v>16071.44</v>
      </c>
      <c r="AI173" s="21">
        <v>18589.580000000002</v>
      </c>
      <c r="AJ173" s="21">
        <v>21765.66</v>
      </c>
      <c r="AK173" s="21">
        <v>26801.94</v>
      </c>
      <c r="AL173" s="21">
        <v>31675.17</v>
      </c>
      <c r="AM173" s="21">
        <v>34562.92</v>
      </c>
      <c r="AN173" s="21">
        <v>40890.300000000003</v>
      </c>
      <c r="AO173" s="21">
        <v>48412.35</v>
      </c>
      <c r="AP173" s="21">
        <v>53412.303999999996</v>
      </c>
      <c r="AQ173" s="21">
        <v>58801.875999999997</v>
      </c>
      <c r="AR173" s="21">
        <v>63613.9</v>
      </c>
      <c r="AS173" s="21">
        <v>69238.048999999999</v>
      </c>
      <c r="AT173" s="21">
        <v>74208.233999999997</v>
      </c>
      <c r="AU173" s="21">
        <v>79540.923999999999</v>
      </c>
      <c r="AV173" s="21">
        <v>85692.358999999997</v>
      </c>
      <c r="AW173" s="21">
        <v>92900.236999999994</v>
      </c>
      <c r="AX173" s="21">
        <v>100817.07399999999</v>
      </c>
      <c r="AY173">
        <v>2014</v>
      </c>
    </row>
    <row r="174" spans="1:51" ht="14.45" x14ac:dyDescent="0.35">
      <c r="A174">
        <v>924</v>
      </c>
      <c r="B174" t="s">
        <v>403</v>
      </c>
      <c r="C174" t="s">
        <v>289</v>
      </c>
      <c r="D174" t="s">
        <v>79</v>
      </c>
      <c r="E174" t="s">
        <v>287</v>
      </c>
      <c r="F174" t="s">
        <v>290</v>
      </c>
      <c r="G174" t="s">
        <v>291</v>
      </c>
      <c r="H174" t="s">
        <v>283</v>
      </c>
      <c r="I174" t="s">
        <v>292</v>
      </c>
      <c r="J174">
        <v>303.76400000000001</v>
      </c>
      <c r="K174">
        <v>287.363</v>
      </c>
      <c r="L174">
        <v>281.79000000000002</v>
      </c>
      <c r="M174">
        <v>302.459</v>
      </c>
      <c r="N174">
        <v>311.47300000000001</v>
      </c>
      <c r="O174">
        <v>307.82900000000001</v>
      </c>
      <c r="P174">
        <v>298.56400000000002</v>
      </c>
      <c r="Q174">
        <v>325.14400000000001</v>
      </c>
      <c r="R174">
        <v>405.71499999999997</v>
      </c>
      <c r="S174">
        <v>453.91399999999999</v>
      </c>
      <c r="T174">
        <v>392.505</v>
      </c>
      <c r="U174">
        <v>411.30700000000002</v>
      </c>
      <c r="V174">
        <v>490.84800000000001</v>
      </c>
      <c r="W174">
        <v>616.52700000000004</v>
      </c>
      <c r="X174">
        <v>562.27700000000004</v>
      </c>
      <c r="Y174">
        <v>731.97299999999996</v>
      </c>
      <c r="Z174">
        <v>860.84299999999996</v>
      </c>
      <c r="AA174">
        <v>958.15599999999995</v>
      </c>
      <c r="AB174" s="21">
        <v>1025.2950000000001</v>
      </c>
      <c r="AC174" s="21">
        <v>1089.453</v>
      </c>
      <c r="AD174" s="21">
        <v>1205.2629999999999</v>
      </c>
      <c r="AE174" s="21">
        <v>1332.2470000000001</v>
      </c>
      <c r="AF174" s="21">
        <v>1461.92</v>
      </c>
      <c r="AG174" s="21">
        <v>1649.924</v>
      </c>
      <c r="AH174" s="21">
        <v>1941.748</v>
      </c>
      <c r="AI174" s="21">
        <v>2268.6149999999998</v>
      </c>
      <c r="AJ174" s="21">
        <v>2729.75</v>
      </c>
      <c r="AK174" s="21">
        <v>3523.2750000000001</v>
      </c>
      <c r="AL174" s="21">
        <v>4558.9009999999998</v>
      </c>
      <c r="AM174" s="21">
        <v>5059.7160000000003</v>
      </c>
      <c r="AN174" s="21">
        <v>6039.5469999999996</v>
      </c>
      <c r="AO174" s="21">
        <v>7492.5290000000005</v>
      </c>
      <c r="AP174" s="21">
        <v>8461.5110000000004</v>
      </c>
      <c r="AQ174" s="21">
        <v>9490.8449999999993</v>
      </c>
      <c r="AR174" s="21">
        <v>10356.508</v>
      </c>
      <c r="AS174" s="21">
        <v>11384.763000000001</v>
      </c>
      <c r="AT174" s="21">
        <v>12253.975</v>
      </c>
      <c r="AU174" s="21">
        <v>13173.584999999999</v>
      </c>
      <c r="AV174" s="21">
        <v>14272.353999999999</v>
      </c>
      <c r="AW174" s="21">
        <v>15620.705</v>
      </c>
      <c r="AX174" s="21">
        <v>17100.062999999998</v>
      </c>
      <c r="AY174">
        <v>2014</v>
      </c>
    </row>
    <row r="175" spans="1:51" ht="14.45" x14ac:dyDescent="0.35">
      <c r="A175">
        <v>924</v>
      </c>
      <c r="B175" t="s">
        <v>403</v>
      </c>
      <c r="C175" t="s">
        <v>293</v>
      </c>
      <c r="D175" t="s">
        <v>79</v>
      </c>
      <c r="E175" t="s">
        <v>294</v>
      </c>
      <c r="F175" t="s">
        <v>295</v>
      </c>
      <c r="G175" t="s">
        <v>296</v>
      </c>
      <c r="I175" t="s">
        <v>297</v>
      </c>
      <c r="J175">
        <v>58.872999999999998</v>
      </c>
      <c r="K175">
        <v>60.198</v>
      </c>
      <c r="L175">
        <v>60.1</v>
      </c>
      <c r="M175">
        <v>60.749000000000002</v>
      </c>
      <c r="N175">
        <v>63.783999999999999</v>
      </c>
      <c r="O175">
        <v>70.322000000000003</v>
      </c>
      <c r="P175">
        <v>73.674999999999997</v>
      </c>
      <c r="Q175">
        <v>77.513999999999996</v>
      </c>
      <c r="R175">
        <v>86.917000000000002</v>
      </c>
      <c r="S175">
        <v>94.525000000000006</v>
      </c>
      <c r="T175">
        <v>100</v>
      </c>
      <c r="U175">
        <v>106.82</v>
      </c>
      <c r="V175">
        <v>115.535</v>
      </c>
      <c r="W175">
        <v>133.12299999999999</v>
      </c>
      <c r="X175">
        <v>160.59</v>
      </c>
      <c r="Y175">
        <v>182.50299999999999</v>
      </c>
      <c r="Z175">
        <v>194.43</v>
      </c>
      <c r="AA175">
        <v>197.596</v>
      </c>
      <c r="AB175">
        <v>195.82400000000001</v>
      </c>
      <c r="AC175">
        <v>193.32900000000001</v>
      </c>
      <c r="AD175">
        <v>197.25299999999999</v>
      </c>
      <c r="AE175">
        <v>201.291</v>
      </c>
      <c r="AF175">
        <v>202.49100000000001</v>
      </c>
      <c r="AG175">
        <v>207.71</v>
      </c>
      <c r="AH175">
        <v>222.048</v>
      </c>
      <c r="AI175">
        <v>230.74199999999999</v>
      </c>
      <c r="AJ175">
        <v>239.77</v>
      </c>
      <c r="AK175">
        <v>258.62299999999999</v>
      </c>
      <c r="AL175">
        <v>278.786</v>
      </c>
      <c r="AM175">
        <v>278.57400000000001</v>
      </c>
      <c r="AN175">
        <v>297.98599999999999</v>
      </c>
      <c r="AO175">
        <v>322.19400000000002</v>
      </c>
      <c r="AP175">
        <v>329.90899999999999</v>
      </c>
      <c r="AQ175">
        <v>337.27800000000002</v>
      </c>
      <c r="AR175">
        <v>340.05500000000001</v>
      </c>
      <c r="AS175">
        <v>346.512</v>
      </c>
      <c r="AT175">
        <v>349.375</v>
      </c>
      <c r="AU175">
        <v>353.28399999999999</v>
      </c>
      <c r="AV175">
        <v>358.72399999999999</v>
      </c>
      <c r="AW175">
        <v>365.73700000000002</v>
      </c>
      <c r="AX175">
        <v>373.26600000000002</v>
      </c>
      <c r="AY175">
        <v>2014</v>
      </c>
    </row>
    <row r="176" spans="1:51" ht="14.45" x14ac:dyDescent="0.35">
      <c r="A176">
        <v>924</v>
      </c>
      <c r="B176" t="s">
        <v>403</v>
      </c>
      <c r="C176" t="s">
        <v>298</v>
      </c>
      <c r="D176" t="s">
        <v>79</v>
      </c>
      <c r="E176" t="s">
        <v>299</v>
      </c>
      <c r="F176" t="s">
        <v>300</v>
      </c>
      <c r="G176" t="s">
        <v>282</v>
      </c>
      <c r="H176" t="s">
        <v>283</v>
      </c>
      <c r="I176" t="s">
        <v>405</v>
      </c>
      <c r="J176" t="s">
        <v>285</v>
      </c>
      <c r="K176" t="s">
        <v>285</v>
      </c>
      <c r="L176">
        <v>130.761</v>
      </c>
      <c r="M176">
        <v>149.01300000000001</v>
      </c>
      <c r="N176">
        <v>170.96799999999999</v>
      </c>
      <c r="O176">
        <v>204.91399999999999</v>
      </c>
      <c r="P176">
        <v>232.16</v>
      </c>
      <c r="Q176">
        <v>249.26599999999999</v>
      </c>
      <c r="R176">
        <v>276.59899999999999</v>
      </c>
      <c r="S176">
        <v>320.774</v>
      </c>
      <c r="T176">
        <v>345.37400000000002</v>
      </c>
      <c r="U176">
        <v>366.09500000000003</v>
      </c>
      <c r="V176">
        <v>400.30599999999998</v>
      </c>
      <c r="W176">
        <v>481.33699999999999</v>
      </c>
      <c r="X176">
        <v>603.63300000000004</v>
      </c>
      <c r="Y176">
        <v>682.37199999999996</v>
      </c>
      <c r="Z176">
        <v>793.755</v>
      </c>
      <c r="AA176">
        <v>923.35599999999999</v>
      </c>
      <c r="AB176" s="21">
        <v>1079.818</v>
      </c>
      <c r="AC176" s="21">
        <v>1353.6669999999999</v>
      </c>
      <c r="AD176" s="21">
        <v>1623.55</v>
      </c>
      <c r="AE176" s="21">
        <v>1925.1579999999999</v>
      </c>
      <c r="AF176" s="21">
        <v>2240.2150000000001</v>
      </c>
      <c r="AG176" s="21">
        <v>2499.895</v>
      </c>
      <c r="AH176" s="21">
        <v>2883.5889999999999</v>
      </c>
      <c r="AI176" s="21">
        <v>3427.9279999999999</v>
      </c>
      <c r="AJ176" s="21">
        <v>4027.1729999999998</v>
      </c>
      <c r="AK176" s="21">
        <v>4909.835</v>
      </c>
      <c r="AL176" s="21">
        <v>7164.5389999999998</v>
      </c>
      <c r="AM176" s="21">
        <v>8928.8970000000008</v>
      </c>
      <c r="AN176" s="21">
        <v>10600.183000000001</v>
      </c>
      <c r="AO176" s="21">
        <v>12816.444</v>
      </c>
      <c r="AP176" s="21">
        <v>15005.78</v>
      </c>
      <c r="AQ176" s="21">
        <v>17183.895</v>
      </c>
      <c r="AR176" s="21">
        <v>18895.113000000001</v>
      </c>
      <c r="AS176" s="21">
        <v>21301.113000000001</v>
      </c>
      <c r="AT176" s="21">
        <v>22662.33</v>
      </c>
      <c r="AU176" s="21">
        <v>24017.913</v>
      </c>
      <c r="AV176" s="21">
        <v>25663.18</v>
      </c>
      <c r="AW176" s="21">
        <v>27373.395</v>
      </c>
      <c r="AX176" s="21">
        <v>29215.537</v>
      </c>
      <c r="AY176">
        <v>2014</v>
      </c>
    </row>
    <row r="177" spans="1:51" ht="14.45" x14ac:dyDescent="0.35">
      <c r="A177">
        <v>233</v>
      </c>
      <c r="B177" t="s">
        <v>406</v>
      </c>
      <c r="C177" t="s">
        <v>279</v>
      </c>
      <c r="D177" t="s">
        <v>80</v>
      </c>
      <c r="E177" t="s">
        <v>280</v>
      </c>
      <c r="F177" t="s">
        <v>281</v>
      </c>
      <c r="G177" t="s">
        <v>282</v>
      </c>
      <c r="H177" t="s">
        <v>283</v>
      </c>
      <c r="I177" t="s">
        <v>407</v>
      </c>
      <c r="J177" s="21">
        <v>155733.95600000001</v>
      </c>
      <c r="K177" s="21">
        <v>159279.82</v>
      </c>
      <c r="L177" s="21">
        <v>160790.46299999999</v>
      </c>
      <c r="M177" s="21">
        <v>163321.234</v>
      </c>
      <c r="N177" s="21">
        <v>168793.61199999999</v>
      </c>
      <c r="O177" s="21">
        <v>174038.209</v>
      </c>
      <c r="P177" s="21">
        <v>184174.32699999999</v>
      </c>
      <c r="Q177" s="21">
        <v>194062.52100000001</v>
      </c>
      <c r="R177" s="21">
        <v>201949.55900000001</v>
      </c>
      <c r="S177" s="21">
        <v>208844.31099999999</v>
      </c>
      <c r="T177" s="21">
        <v>217787.02</v>
      </c>
      <c r="U177" s="21">
        <v>222952.758</v>
      </c>
      <c r="V177" s="21">
        <v>232658.46</v>
      </c>
      <c r="W177" s="21">
        <v>245943.63800000001</v>
      </c>
      <c r="X177" s="21">
        <v>258603.209</v>
      </c>
      <c r="Y177" s="21">
        <v>272056.87900000002</v>
      </c>
      <c r="Z177" s="21">
        <v>277649.97399999999</v>
      </c>
      <c r="AA177" s="21">
        <v>287174.18300000002</v>
      </c>
      <c r="AB177" s="21">
        <v>288810.45600000001</v>
      </c>
      <c r="AC177" s="21">
        <v>276668.82</v>
      </c>
      <c r="AD177" s="21">
        <v>284761</v>
      </c>
      <c r="AE177" s="21">
        <v>289539</v>
      </c>
      <c r="AF177" s="21">
        <v>296789</v>
      </c>
      <c r="AG177" s="21">
        <v>308418</v>
      </c>
      <c r="AH177" s="21">
        <v>324866</v>
      </c>
      <c r="AI177" s="21">
        <v>340156</v>
      </c>
      <c r="AJ177" s="21">
        <v>362938</v>
      </c>
      <c r="AK177" s="21">
        <v>387983</v>
      </c>
      <c r="AL177" s="21">
        <v>401744</v>
      </c>
      <c r="AM177" s="21">
        <v>408379</v>
      </c>
      <c r="AN177" s="21">
        <v>424599</v>
      </c>
      <c r="AO177" s="21">
        <v>452578</v>
      </c>
      <c r="AP177" s="21">
        <v>470880</v>
      </c>
      <c r="AQ177" s="21">
        <v>494124</v>
      </c>
      <c r="AR177" s="21">
        <v>516619</v>
      </c>
      <c r="AS177" s="21">
        <v>529525.1</v>
      </c>
      <c r="AT177" s="21">
        <v>544204.49</v>
      </c>
      <c r="AU177" s="21">
        <v>561691.34</v>
      </c>
      <c r="AV177" s="21">
        <v>581764.44799999997</v>
      </c>
      <c r="AW177" s="21">
        <v>604486.27800000005</v>
      </c>
      <c r="AX177" s="21">
        <v>629168.31900000002</v>
      </c>
      <c r="AY177">
        <v>2014</v>
      </c>
    </row>
    <row r="178" spans="1:51" ht="14.45" x14ac:dyDescent="0.35">
      <c r="A178">
        <v>233</v>
      </c>
      <c r="B178" t="s">
        <v>406</v>
      </c>
      <c r="C178" t="s">
        <v>286</v>
      </c>
      <c r="D178" t="s">
        <v>80</v>
      </c>
      <c r="E178" t="s">
        <v>287</v>
      </c>
      <c r="F178" t="s">
        <v>288</v>
      </c>
      <c r="G178" t="s">
        <v>282</v>
      </c>
      <c r="H178" t="s">
        <v>283</v>
      </c>
      <c r="I178" t="s">
        <v>407</v>
      </c>
      <c r="J178" s="21">
        <v>2211.893</v>
      </c>
      <c r="K178" s="21">
        <v>2777.277</v>
      </c>
      <c r="L178" s="21">
        <v>3497.9740000000002</v>
      </c>
      <c r="M178" s="21">
        <v>4277.9409999999998</v>
      </c>
      <c r="N178" s="21">
        <v>5401.9309999999996</v>
      </c>
      <c r="O178" s="21">
        <v>6955.73</v>
      </c>
      <c r="P178" s="21">
        <v>9507.9140000000007</v>
      </c>
      <c r="Q178" s="21">
        <v>12360.38</v>
      </c>
      <c r="R178" s="21">
        <v>16432.141</v>
      </c>
      <c r="S178" s="21">
        <v>21188.047999999999</v>
      </c>
      <c r="T178" s="21">
        <v>28333.601999999999</v>
      </c>
      <c r="U178" s="21">
        <v>36567.745000000003</v>
      </c>
      <c r="V178" s="21">
        <v>46944.644</v>
      </c>
      <c r="W178" s="21">
        <v>61488.317000000003</v>
      </c>
      <c r="X178" s="21">
        <v>81216</v>
      </c>
      <c r="Y178" s="21">
        <v>101548</v>
      </c>
      <c r="Z178" s="21">
        <v>121117</v>
      </c>
      <c r="AA178" s="21">
        <v>146368</v>
      </c>
      <c r="AB178" s="21">
        <v>168949</v>
      </c>
      <c r="AC178" s="21">
        <v>182275</v>
      </c>
      <c r="AD178" s="21">
        <v>208531</v>
      </c>
      <c r="AE178" s="21">
        <v>225851</v>
      </c>
      <c r="AF178" s="21">
        <v>245323</v>
      </c>
      <c r="AG178" s="21">
        <v>272345</v>
      </c>
      <c r="AH178" s="21">
        <v>307762</v>
      </c>
      <c r="AI178" s="21">
        <v>340156</v>
      </c>
      <c r="AJ178" s="21">
        <v>383898</v>
      </c>
      <c r="AK178" s="21">
        <v>431072</v>
      </c>
      <c r="AL178" s="21">
        <v>480087</v>
      </c>
      <c r="AM178" s="21">
        <v>504647</v>
      </c>
      <c r="AN178" s="21">
        <v>544924</v>
      </c>
      <c r="AO178" s="21">
        <v>621615</v>
      </c>
      <c r="AP178" s="21">
        <v>664473</v>
      </c>
      <c r="AQ178" s="21">
        <v>710257</v>
      </c>
      <c r="AR178" s="21">
        <v>756152</v>
      </c>
      <c r="AS178" s="21">
        <v>782979.89500000002</v>
      </c>
      <c r="AT178" s="21">
        <v>829346.196</v>
      </c>
      <c r="AU178" s="21">
        <v>884593.98199999996</v>
      </c>
      <c r="AV178" s="21">
        <v>946971.23</v>
      </c>
      <c r="AW178" s="21">
        <v>1015254.393</v>
      </c>
      <c r="AX178" s="21">
        <v>1089253.307</v>
      </c>
      <c r="AY178">
        <v>2014</v>
      </c>
    </row>
    <row r="179" spans="1:51" ht="14.45" x14ac:dyDescent="0.35">
      <c r="A179">
        <v>233</v>
      </c>
      <c r="B179" t="s">
        <v>406</v>
      </c>
      <c r="C179" t="s">
        <v>289</v>
      </c>
      <c r="D179" t="s">
        <v>80</v>
      </c>
      <c r="E179" t="s">
        <v>287</v>
      </c>
      <c r="F179" t="s">
        <v>290</v>
      </c>
      <c r="G179" t="s">
        <v>291</v>
      </c>
      <c r="H179" t="s">
        <v>283</v>
      </c>
      <c r="I179" t="s">
        <v>292</v>
      </c>
      <c r="J179">
        <v>46.783999999999999</v>
      </c>
      <c r="K179">
        <v>50.969000000000001</v>
      </c>
      <c r="L179">
        <v>54.582999999999998</v>
      </c>
      <c r="M179">
        <v>54.249000000000002</v>
      </c>
      <c r="N179">
        <v>53.581000000000003</v>
      </c>
      <c r="O179">
        <v>48.877000000000002</v>
      </c>
      <c r="P179">
        <v>48.944000000000003</v>
      </c>
      <c r="Q179">
        <v>50.948</v>
      </c>
      <c r="R179">
        <v>54.924999999999997</v>
      </c>
      <c r="S179">
        <v>55.384</v>
      </c>
      <c r="T179">
        <v>56.411999999999999</v>
      </c>
      <c r="U179">
        <v>58.308</v>
      </c>
      <c r="V179">
        <v>68.997</v>
      </c>
      <c r="W179">
        <v>78.194999999999993</v>
      </c>
      <c r="X179">
        <v>98.26</v>
      </c>
      <c r="Y179">
        <v>111.23699999999999</v>
      </c>
      <c r="Z179">
        <v>116.83799999999999</v>
      </c>
      <c r="AA179">
        <v>128.267</v>
      </c>
      <c r="AB179">
        <v>118.44199999999999</v>
      </c>
      <c r="AC179">
        <v>103.761</v>
      </c>
      <c r="AD179">
        <v>99.875</v>
      </c>
      <c r="AE179">
        <v>98.200999999999993</v>
      </c>
      <c r="AF179">
        <v>97.945999999999998</v>
      </c>
      <c r="AG179">
        <v>94.644999999999996</v>
      </c>
      <c r="AH179">
        <v>117.092</v>
      </c>
      <c r="AI179">
        <v>146.547</v>
      </c>
      <c r="AJ179">
        <v>162.76599999999999</v>
      </c>
      <c r="AK179">
        <v>207.465</v>
      </c>
      <c r="AL179">
        <v>244.30199999999999</v>
      </c>
      <c r="AM179">
        <v>233.893</v>
      </c>
      <c r="AN179">
        <v>286.95400000000001</v>
      </c>
      <c r="AO179">
        <v>336.36900000000003</v>
      </c>
      <c r="AP179">
        <v>369.56</v>
      </c>
      <c r="AQ179">
        <v>380.041</v>
      </c>
      <c r="AR179">
        <v>377.86700000000002</v>
      </c>
      <c r="AS179">
        <v>274.18900000000002</v>
      </c>
      <c r="AT179">
        <v>263.476</v>
      </c>
      <c r="AU179">
        <v>303.75</v>
      </c>
      <c r="AV179">
        <v>339.66800000000001</v>
      </c>
      <c r="AW179">
        <v>379.02499999999998</v>
      </c>
      <c r="AX179">
        <v>421.24599999999998</v>
      </c>
      <c r="AY179">
        <v>2014</v>
      </c>
    </row>
    <row r="180" spans="1:51" ht="14.45" x14ac:dyDescent="0.35">
      <c r="A180">
        <v>233</v>
      </c>
      <c r="B180" t="s">
        <v>406</v>
      </c>
      <c r="C180" t="s">
        <v>293</v>
      </c>
      <c r="D180" t="s">
        <v>80</v>
      </c>
      <c r="E180" t="s">
        <v>294</v>
      </c>
      <c r="F180" t="s">
        <v>295</v>
      </c>
      <c r="G180" t="s">
        <v>296</v>
      </c>
      <c r="I180" t="s">
        <v>297</v>
      </c>
      <c r="J180">
        <v>1.42</v>
      </c>
      <c r="K180">
        <v>1.744</v>
      </c>
      <c r="L180">
        <v>2.1749999999999998</v>
      </c>
      <c r="M180">
        <v>2.6190000000000002</v>
      </c>
      <c r="N180">
        <v>3.2</v>
      </c>
      <c r="O180">
        <v>3.9969999999999999</v>
      </c>
      <c r="P180">
        <v>5.1619999999999999</v>
      </c>
      <c r="Q180">
        <v>6.3689999999999998</v>
      </c>
      <c r="R180">
        <v>8.1370000000000005</v>
      </c>
      <c r="S180">
        <v>10.145</v>
      </c>
      <c r="T180">
        <v>13.01</v>
      </c>
      <c r="U180">
        <v>16.402000000000001</v>
      </c>
      <c r="V180">
        <v>20.177</v>
      </c>
      <c r="W180">
        <v>25.001000000000001</v>
      </c>
      <c r="X180">
        <v>31.405999999999999</v>
      </c>
      <c r="Y180">
        <v>37.326000000000001</v>
      </c>
      <c r="Z180">
        <v>43.622</v>
      </c>
      <c r="AA180">
        <v>50.968000000000004</v>
      </c>
      <c r="AB180">
        <v>58.497999999999998</v>
      </c>
      <c r="AC180">
        <v>65.882000000000005</v>
      </c>
      <c r="AD180">
        <v>73.23</v>
      </c>
      <c r="AE180">
        <v>78.004000000000005</v>
      </c>
      <c r="AF180">
        <v>82.659000000000006</v>
      </c>
      <c r="AG180">
        <v>88.304000000000002</v>
      </c>
      <c r="AH180">
        <v>94.734999999999999</v>
      </c>
      <c r="AI180">
        <v>100</v>
      </c>
      <c r="AJ180">
        <v>105.77500000000001</v>
      </c>
      <c r="AK180">
        <v>111.10599999999999</v>
      </c>
      <c r="AL180">
        <v>119.501</v>
      </c>
      <c r="AM180">
        <v>123.57299999999999</v>
      </c>
      <c r="AN180">
        <v>128.339</v>
      </c>
      <c r="AO180">
        <v>137.35</v>
      </c>
      <c r="AP180">
        <v>141.113</v>
      </c>
      <c r="AQ180">
        <v>143.74100000000001</v>
      </c>
      <c r="AR180">
        <v>146.36600000000001</v>
      </c>
      <c r="AS180">
        <v>147.86500000000001</v>
      </c>
      <c r="AT180">
        <v>152.39599999999999</v>
      </c>
      <c r="AU180">
        <v>157.488</v>
      </c>
      <c r="AV180">
        <v>162.77600000000001</v>
      </c>
      <c r="AW180">
        <v>167.953</v>
      </c>
      <c r="AX180">
        <v>173.126</v>
      </c>
      <c r="AY180">
        <v>2014</v>
      </c>
    </row>
    <row r="181" spans="1:51" ht="14.45" x14ac:dyDescent="0.35">
      <c r="A181">
        <v>233</v>
      </c>
      <c r="B181" t="s">
        <v>406</v>
      </c>
      <c r="C181" t="s">
        <v>298</v>
      </c>
      <c r="D181" t="s">
        <v>80</v>
      </c>
      <c r="E181" t="s">
        <v>299</v>
      </c>
      <c r="F181" t="s">
        <v>300</v>
      </c>
      <c r="G181" t="s">
        <v>282</v>
      </c>
      <c r="H181" t="s">
        <v>283</v>
      </c>
      <c r="I181" t="s">
        <v>408</v>
      </c>
      <c r="J181" t="s">
        <v>285</v>
      </c>
      <c r="K181" t="s">
        <v>285</v>
      </c>
      <c r="L181">
        <v>523.20000000000005</v>
      </c>
      <c r="M181">
        <v>640.4</v>
      </c>
      <c r="N181">
        <v>821.8</v>
      </c>
      <c r="O181" s="21">
        <v>1015.6</v>
      </c>
      <c r="P181" s="21">
        <v>1338.7</v>
      </c>
      <c r="Q181" s="21">
        <v>1807.748</v>
      </c>
      <c r="R181" s="21">
        <v>2375.6419999999998</v>
      </c>
      <c r="S181" s="21">
        <v>3728.4</v>
      </c>
      <c r="T181" s="21">
        <v>4911.7</v>
      </c>
      <c r="U181" s="21">
        <v>6427.5</v>
      </c>
      <c r="V181" s="21">
        <v>8585.7999999999993</v>
      </c>
      <c r="W181" s="21">
        <v>12219.898999999999</v>
      </c>
      <c r="X181" s="21">
        <v>16599.933000000001</v>
      </c>
      <c r="Y181" s="21">
        <v>22394.002</v>
      </c>
      <c r="Z181" s="21">
        <v>30166.297999999999</v>
      </c>
      <c r="AA181" s="21">
        <v>38066.131000000001</v>
      </c>
      <c r="AB181" s="21">
        <v>44215.074999999997</v>
      </c>
      <c r="AC181" s="21">
        <v>51176.495999999999</v>
      </c>
      <c r="AD181" s="21">
        <v>55106.927000000003</v>
      </c>
      <c r="AE181" s="21">
        <v>62193.851999999999</v>
      </c>
      <c r="AF181" s="21">
        <v>68437.998000000007</v>
      </c>
      <c r="AG181" s="21">
        <v>75813.233999999997</v>
      </c>
      <c r="AH181" s="21">
        <v>81313.884999999995</v>
      </c>
      <c r="AI181" s="21">
        <v>87471.638000000006</v>
      </c>
      <c r="AJ181" s="21">
        <v>108552.22199999999</v>
      </c>
      <c r="AK181" s="21">
        <v>120816.16</v>
      </c>
      <c r="AL181" s="21">
        <v>127887.564</v>
      </c>
      <c r="AM181" s="21">
        <v>148980.258</v>
      </c>
      <c r="AN181" s="21">
        <v>160177.848</v>
      </c>
      <c r="AO181" s="21">
        <v>178027.12299999999</v>
      </c>
      <c r="AP181" s="21">
        <v>187773.255</v>
      </c>
      <c r="AQ181" s="21">
        <v>205972.41500000001</v>
      </c>
      <c r="AR181" s="21">
        <v>222718.84299999999</v>
      </c>
      <c r="AS181" s="21">
        <v>234255.084</v>
      </c>
      <c r="AT181" s="21">
        <v>246021.198</v>
      </c>
      <c r="AU181" s="21">
        <v>256815.07399999999</v>
      </c>
      <c r="AV181" s="21">
        <v>269965.174</v>
      </c>
      <c r="AW181" s="21">
        <v>282029.09899999999</v>
      </c>
      <c r="AX181" s="21">
        <v>295896.777</v>
      </c>
      <c r="AY181">
        <v>2014</v>
      </c>
    </row>
    <row r="182" spans="1:51" ht="14.45" x14ac:dyDescent="0.35">
      <c r="A182">
        <v>632</v>
      </c>
      <c r="B182" t="s">
        <v>409</v>
      </c>
      <c r="C182" t="s">
        <v>279</v>
      </c>
      <c r="D182" t="s">
        <v>81</v>
      </c>
      <c r="E182" t="s">
        <v>280</v>
      </c>
      <c r="F182" t="s">
        <v>281</v>
      </c>
      <c r="G182" t="s">
        <v>282</v>
      </c>
      <c r="H182" t="s">
        <v>283</v>
      </c>
      <c r="I182" t="s">
        <v>410</v>
      </c>
      <c r="J182">
        <v>74.2</v>
      </c>
      <c r="K182">
        <v>78.253</v>
      </c>
      <c r="L182">
        <v>81.429000000000002</v>
      </c>
      <c r="M182">
        <v>83.947000000000003</v>
      </c>
      <c r="N182">
        <v>87.444999999999993</v>
      </c>
      <c r="O182">
        <v>89.194000000000003</v>
      </c>
      <c r="P182">
        <v>90.977999999999994</v>
      </c>
      <c r="Q182">
        <v>92.468000000000004</v>
      </c>
      <c r="R182">
        <v>94.953000000000003</v>
      </c>
      <c r="S182">
        <v>91.933000000000007</v>
      </c>
      <c r="T182">
        <v>96.616</v>
      </c>
      <c r="U182">
        <v>91.400999999999996</v>
      </c>
      <c r="V182">
        <v>99.197999999999993</v>
      </c>
      <c r="W182">
        <v>102.18</v>
      </c>
      <c r="X182">
        <v>96.787999999999997</v>
      </c>
      <c r="Y182">
        <v>100.282</v>
      </c>
      <c r="Z182">
        <v>98.938000000000002</v>
      </c>
      <c r="AA182">
        <v>103.10899999999999</v>
      </c>
      <c r="AB182">
        <v>104.297</v>
      </c>
      <c r="AC182">
        <v>106.30500000000001</v>
      </c>
      <c r="AD182">
        <v>107.81100000000001</v>
      </c>
      <c r="AE182">
        <v>111.4</v>
      </c>
      <c r="AF182">
        <v>116.023</v>
      </c>
      <c r="AG182">
        <v>118.89400000000001</v>
      </c>
      <c r="AH182">
        <v>118.60899999999999</v>
      </c>
      <c r="AI182">
        <v>123.626</v>
      </c>
      <c r="AJ182">
        <v>125.161</v>
      </c>
      <c r="AK182">
        <v>125.776</v>
      </c>
      <c r="AL182">
        <v>127.002</v>
      </c>
      <c r="AM182">
        <v>129.30099999999999</v>
      </c>
      <c r="AN182">
        <v>131.95400000000001</v>
      </c>
      <c r="AO182">
        <v>134.893</v>
      </c>
      <c r="AP182">
        <v>138.886</v>
      </c>
      <c r="AQ182">
        <v>143.773</v>
      </c>
      <c r="AR182">
        <v>146.577</v>
      </c>
      <c r="AS182">
        <v>148.09299999999999</v>
      </c>
      <c r="AT182">
        <v>151.28800000000001</v>
      </c>
      <c r="AU182">
        <v>156.32400000000001</v>
      </c>
      <c r="AV182">
        <v>162.54599999999999</v>
      </c>
      <c r="AW182">
        <v>169.048</v>
      </c>
      <c r="AX182">
        <v>175.81</v>
      </c>
      <c r="AY182">
        <v>2013</v>
      </c>
    </row>
    <row r="183" spans="1:51" ht="14.45" x14ac:dyDescent="0.35">
      <c r="A183">
        <v>632</v>
      </c>
      <c r="B183" t="s">
        <v>409</v>
      </c>
      <c r="C183" t="s">
        <v>286</v>
      </c>
      <c r="D183" t="s">
        <v>81</v>
      </c>
      <c r="E183" t="s">
        <v>287</v>
      </c>
      <c r="F183" t="s">
        <v>288</v>
      </c>
      <c r="G183" t="s">
        <v>282</v>
      </c>
      <c r="H183" t="s">
        <v>283</v>
      </c>
      <c r="I183" t="s">
        <v>410</v>
      </c>
      <c r="J183">
        <v>32.067999999999998</v>
      </c>
      <c r="K183">
        <v>36.087000000000003</v>
      </c>
      <c r="L183">
        <v>41.424999999999997</v>
      </c>
      <c r="M183">
        <v>46.622</v>
      </c>
      <c r="N183">
        <v>51.527999999999999</v>
      </c>
      <c r="O183">
        <v>53.847000000000001</v>
      </c>
      <c r="P183">
        <v>56.27</v>
      </c>
      <c r="Q183">
        <v>59.034999999999997</v>
      </c>
      <c r="R183">
        <v>61.795999999999999</v>
      </c>
      <c r="S183">
        <v>63.396999999999998</v>
      </c>
      <c r="T183">
        <v>68.075999999999993</v>
      </c>
      <c r="U183">
        <v>73.268000000000001</v>
      </c>
      <c r="V183">
        <v>74.335999999999999</v>
      </c>
      <c r="W183">
        <v>78.680000000000007</v>
      </c>
      <c r="X183">
        <v>77.350999999999999</v>
      </c>
      <c r="Y183">
        <v>86.811999999999998</v>
      </c>
      <c r="Z183">
        <v>88.432000000000002</v>
      </c>
      <c r="AA183">
        <v>92.834999999999994</v>
      </c>
      <c r="AB183">
        <v>95.302999999999997</v>
      </c>
      <c r="AC183">
        <v>102.782</v>
      </c>
      <c r="AD183">
        <v>107.81100000000001</v>
      </c>
      <c r="AE183">
        <v>121.015</v>
      </c>
      <c r="AF183">
        <v>131.29300000000001</v>
      </c>
      <c r="AG183">
        <v>141.43700000000001</v>
      </c>
      <c r="AH183">
        <v>143.596</v>
      </c>
      <c r="AI183">
        <v>153.11199999999999</v>
      </c>
      <c r="AJ183">
        <v>158.114</v>
      </c>
      <c r="AK183">
        <v>167.126</v>
      </c>
      <c r="AL183">
        <v>178.047</v>
      </c>
      <c r="AM183">
        <v>189.542</v>
      </c>
      <c r="AN183">
        <v>201.84899999999999</v>
      </c>
      <c r="AO183">
        <v>216.03899999999999</v>
      </c>
      <c r="AP183">
        <v>228.18899999999999</v>
      </c>
      <c r="AQ183">
        <v>243.60599999999999</v>
      </c>
      <c r="AR183">
        <v>253.167</v>
      </c>
      <c r="AS183">
        <v>260.60199999999998</v>
      </c>
      <c r="AT183">
        <v>275.87799999999999</v>
      </c>
      <c r="AU183">
        <v>291.54199999999997</v>
      </c>
      <c r="AV183">
        <v>310.03199999999998</v>
      </c>
      <c r="AW183">
        <v>330.15499999999997</v>
      </c>
      <c r="AX183">
        <v>352.05500000000001</v>
      </c>
      <c r="AY183">
        <v>2013</v>
      </c>
    </row>
    <row r="184" spans="1:51" ht="14.45" x14ac:dyDescent="0.35">
      <c r="A184">
        <v>632</v>
      </c>
      <c r="B184" t="s">
        <v>409</v>
      </c>
      <c r="C184" t="s">
        <v>289</v>
      </c>
      <c r="D184" t="s">
        <v>81</v>
      </c>
      <c r="E184" t="s">
        <v>287</v>
      </c>
      <c r="F184" t="s">
        <v>290</v>
      </c>
      <c r="G184" t="s">
        <v>291</v>
      </c>
      <c r="H184" t="s">
        <v>283</v>
      </c>
      <c r="I184" t="s">
        <v>292</v>
      </c>
      <c r="J184">
        <v>0.152</v>
      </c>
      <c r="K184">
        <v>0.13300000000000001</v>
      </c>
      <c r="L184">
        <v>0.126</v>
      </c>
      <c r="M184">
        <v>0.122</v>
      </c>
      <c r="N184">
        <v>0.11799999999999999</v>
      </c>
      <c r="O184">
        <v>0.12</v>
      </c>
      <c r="P184">
        <v>0.16200000000000001</v>
      </c>
      <c r="Q184">
        <v>0.19600000000000001</v>
      </c>
      <c r="R184">
        <v>0.20699999999999999</v>
      </c>
      <c r="S184">
        <v>0.19900000000000001</v>
      </c>
      <c r="T184">
        <v>0.25</v>
      </c>
      <c r="U184">
        <v>0.26</v>
      </c>
      <c r="V184">
        <v>0.28100000000000003</v>
      </c>
      <c r="W184">
        <v>0.27800000000000002</v>
      </c>
      <c r="X184">
        <v>0.186</v>
      </c>
      <c r="Y184">
        <v>0.23200000000000001</v>
      </c>
      <c r="Z184">
        <v>0.23100000000000001</v>
      </c>
      <c r="AA184">
        <v>0.21199999999999999</v>
      </c>
      <c r="AB184">
        <v>0.216</v>
      </c>
      <c r="AC184">
        <v>0.223</v>
      </c>
      <c r="AD184">
        <v>0.20200000000000001</v>
      </c>
      <c r="AE184">
        <v>0.22</v>
      </c>
      <c r="AF184">
        <v>0.252</v>
      </c>
      <c r="AG184">
        <v>0.32500000000000001</v>
      </c>
      <c r="AH184">
        <v>0.36299999999999999</v>
      </c>
      <c r="AI184">
        <v>0.38800000000000001</v>
      </c>
      <c r="AJ184">
        <v>0.40400000000000003</v>
      </c>
      <c r="AK184">
        <v>0.46600000000000003</v>
      </c>
      <c r="AL184">
        <v>0.53300000000000003</v>
      </c>
      <c r="AM184">
        <v>0.53700000000000003</v>
      </c>
      <c r="AN184">
        <v>0.54400000000000004</v>
      </c>
      <c r="AO184">
        <v>0.61099999999999999</v>
      </c>
      <c r="AP184">
        <v>0.59599999999999997</v>
      </c>
      <c r="AQ184">
        <v>0.65800000000000003</v>
      </c>
      <c r="AR184">
        <v>0.69699999999999995</v>
      </c>
      <c r="AS184">
        <v>0.58899999999999997</v>
      </c>
      <c r="AT184">
        <v>0.625</v>
      </c>
      <c r="AU184">
        <v>0.66800000000000004</v>
      </c>
      <c r="AV184">
        <v>0.71699999999999997</v>
      </c>
      <c r="AW184">
        <v>0.76900000000000002</v>
      </c>
      <c r="AX184">
        <v>0.83399999999999996</v>
      </c>
      <c r="AY184">
        <v>2013</v>
      </c>
    </row>
    <row r="185" spans="1:51" ht="14.45" x14ac:dyDescent="0.35">
      <c r="A185">
        <v>632</v>
      </c>
      <c r="B185" t="s">
        <v>409</v>
      </c>
      <c r="C185" t="s">
        <v>293</v>
      </c>
      <c r="D185" t="s">
        <v>81</v>
      </c>
      <c r="E185" t="s">
        <v>294</v>
      </c>
      <c r="F185" t="s">
        <v>295</v>
      </c>
      <c r="G185" t="s">
        <v>296</v>
      </c>
      <c r="I185" t="s">
        <v>297</v>
      </c>
      <c r="J185">
        <v>43.218000000000004</v>
      </c>
      <c r="K185">
        <v>46.115000000000002</v>
      </c>
      <c r="L185">
        <v>50.872999999999998</v>
      </c>
      <c r="M185">
        <v>55.536999999999999</v>
      </c>
      <c r="N185">
        <v>58.926000000000002</v>
      </c>
      <c r="O185">
        <v>60.371000000000002</v>
      </c>
      <c r="P185">
        <v>61.85</v>
      </c>
      <c r="Q185">
        <v>63.844000000000001</v>
      </c>
      <c r="R185">
        <v>65.081000000000003</v>
      </c>
      <c r="S185">
        <v>68.959999999999994</v>
      </c>
      <c r="T185">
        <v>70.459999999999994</v>
      </c>
      <c r="U185">
        <v>80.161000000000001</v>
      </c>
      <c r="V185">
        <v>74.936999999999998</v>
      </c>
      <c r="W185">
        <v>77.001999999999995</v>
      </c>
      <c r="X185">
        <v>79.918000000000006</v>
      </c>
      <c r="Y185">
        <v>86.567999999999998</v>
      </c>
      <c r="Z185">
        <v>89.381</v>
      </c>
      <c r="AA185">
        <v>90.036000000000001</v>
      </c>
      <c r="AB185">
        <v>91.376000000000005</v>
      </c>
      <c r="AC185">
        <v>96.686000000000007</v>
      </c>
      <c r="AD185">
        <v>100</v>
      </c>
      <c r="AE185">
        <v>108.631</v>
      </c>
      <c r="AF185">
        <v>113.161</v>
      </c>
      <c r="AG185">
        <v>118.961</v>
      </c>
      <c r="AH185">
        <v>121.06699999999999</v>
      </c>
      <c r="AI185">
        <v>123.851</v>
      </c>
      <c r="AJ185">
        <v>126.328</v>
      </c>
      <c r="AK185">
        <v>132.876</v>
      </c>
      <c r="AL185">
        <v>140.19200000000001</v>
      </c>
      <c r="AM185">
        <v>146.589</v>
      </c>
      <c r="AN185">
        <v>152.97</v>
      </c>
      <c r="AO185">
        <v>160.15700000000001</v>
      </c>
      <c r="AP185">
        <v>164.29900000000001</v>
      </c>
      <c r="AQ185">
        <v>169.43899999999999</v>
      </c>
      <c r="AR185">
        <v>172.72</v>
      </c>
      <c r="AS185">
        <v>175.97200000000001</v>
      </c>
      <c r="AT185">
        <v>182.35400000000001</v>
      </c>
      <c r="AU185">
        <v>186.499</v>
      </c>
      <c r="AV185">
        <v>190.73500000000001</v>
      </c>
      <c r="AW185">
        <v>195.30199999999999</v>
      </c>
      <c r="AX185">
        <v>200.24700000000001</v>
      </c>
      <c r="AY185">
        <v>2013</v>
      </c>
    </row>
    <row r="186" spans="1:51" ht="14.45" x14ac:dyDescent="0.35">
      <c r="A186">
        <v>632</v>
      </c>
      <c r="B186" t="s">
        <v>409</v>
      </c>
      <c r="C186" t="s">
        <v>298</v>
      </c>
      <c r="D186" t="s">
        <v>81</v>
      </c>
      <c r="E186" t="s">
        <v>299</v>
      </c>
      <c r="F186" t="s">
        <v>300</v>
      </c>
      <c r="G186" t="s">
        <v>282</v>
      </c>
      <c r="H186" t="s">
        <v>283</v>
      </c>
      <c r="I186" t="s">
        <v>411</v>
      </c>
      <c r="J186" t="s">
        <v>285</v>
      </c>
      <c r="K186" t="s">
        <v>285</v>
      </c>
      <c r="L186" t="s">
        <v>285</v>
      </c>
      <c r="M186" t="s">
        <v>285</v>
      </c>
      <c r="N186">
        <v>19.254000000000001</v>
      </c>
      <c r="O186">
        <v>21.356000000000002</v>
      </c>
      <c r="P186">
        <v>22.86</v>
      </c>
      <c r="Q186">
        <v>21.11</v>
      </c>
      <c r="R186">
        <v>20.239999999999998</v>
      </c>
      <c r="S186">
        <v>20.619</v>
      </c>
      <c r="T186">
        <v>22.143999999999998</v>
      </c>
      <c r="U186">
        <v>22.527000000000001</v>
      </c>
      <c r="V186">
        <v>23.518000000000001</v>
      </c>
      <c r="W186">
        <v>19.709</v>
      </c>
      <c r="X186">
        <v>28.548999999999999</v>
      </c>
      <c r="Y186">
        <v>27.021999999999998</v>
      </c>
      <c r="Z186">
        <v>23.353000000000002</v>
      </c>
      <c r="AA186">
        <v>23.076000000000001</v>
      </c>
      <c r="AB186">
        <v>21.038</v>
      </c>
      <c r="AC186">
        <v>19.669</v>
      </c>
      <c r="AD186">
        <v>17.614000000000001</v>
      </c>
      <c r="AE186">
        <v>26.591999999999999</v>
      </c>
      <c r="AF186">
        <v>31.699000000000002</v>
      </c>
      <c r="AG186">
        <v>30.347000000000001</v>
      </c>
      <c r="AH186">
        <v>28.847000000000001</v>
      </c>
      <c r="AI186">
        <v>30.425000000000001</v>
      </c>
      <c r="AJ186">
        <v>33.598999999999997</v>
      </c>
      <c r="AK186">
        <v>37.314</v>
      </c>
      <c r="AL186">
        <v>46.338000000000001</v>
      </c>
      <c r="AM186">
        <v>43.627000000000002</v>
      </c>
      <c r="AN186">
        <v>44.703000000000003</v>
      </c>
      <c r="AO186">
        <v>47.792999999999999</v>
      </c>
      <c r="AP186">
        <v>57.802999999999997</v>
      </c>
      <c r="AQ186">
        <v>61.305</v>
      </c>
      <c r="AR186">
        <v>61.79</v>
      </c>
      <c r="AS186">
        <v>66.034000000000006</v>
      </c>
      <c r="AT186">
        <v>75.647999999999996</v>
      </c>
      <c r="AU186">
        <v>81.343000000000004</v>
      </c>
      <c r="AV186">
        <v>86.911000000000001</v>
      </c>
      <c r="AW186">
        <v>86.656999999999996</v>
      </c>
      <c r="AX186">
        <v>98.206000000000003</v>
      </c>
      <c r="AY186">
        <v>2013</v>
      </c>
    </row>
    <row r="187" spans="1:51" ht="14.45" x14ac:dyDescent="0.35">
      <c r="A187">
        <v>636</v>
      </c>
      <c r="B187" t="s">
        <v>412</v>
      </c>
      <c r="C187" t="s">
        <v>279</v>
      </c>
      <c r="D187" t="s">
        <v>413</v>
      </c>
      <c r="E187" t="s">
        <v>280</v>
      </c>
      <c r="F187" t="s">
        <v>281</v>
      </c>
      <c r="G187" t="s">
        <v>282</v>
      </c>
      <c r="H187" t="s">
        <v>283</v>
      </c>
      <c r="I187" t="s">
        <v>414</v>
      </c>
      <c r="J187" s="21">
        <v>8372.4390000000003</v>
      </c>
      <c r="K187" s="21">
        <v>8451.52</v>
      </c>
      <c r="L187" s="21">
        <v>8413.1090000000004</v>
      </c>
      <c r="M187" s="21">
        <v>8531.7309999999998</v>
      </c>
      <c r="N187" s="21">
        <v>8945.0470000000005</v>
      </c>
      <c r="O187" s="21">
        <v>8986.5689999999995</v>
      </c>
      <c r="P187" s="21">
        <v>9410.76</v>
      </c>
      <c r="Q187" s="21">
        <v>9662.1319999999996</v>
      </c>
      <c r="R187" s="21">
        <v>9707.02</v>
      </c>
      <c r="S187" s="21">
        <v>9584.7009999999991</v>
      </c>
      <c r="T187" s="21">
        <v>8955.1470000000008</v>
      </c>
      <c r="U187" s="21">
        <v>8198.8410000000003</v>
      </c>
      <c r="V187" s="21">
        <v>7341.1040000000003</v>
      </c>
      <c r="W187" s="21">
        <v>6352.3819999999996</v>
      </c>
      <c r="X187" s="21">
        <v>5962.0950000000003</v>
      </c>
      <c r="Y187" s="21">
        <v>6126.7920000000004</v>
      </c>
      <c r="Z187" s="21">
        <v>6008.2539999999999</v>
      </c>
      <c r="AA187" s="21">
        <v>5537.2089999999998</v>
      </c>
      <c r="AB187" s="21">
        <v>5322.6360000000004</v>
      </c>
      <c r="AC187" s="21">
        <v>5120.2460000000001</v>
      </c>
      <c r="AD187" s="21">
        <v>4703.6679999999997</v>
      </c>
      <c r="AE187" s="21">
        <v>4604.8829999999998</v>
      </c>
      <c r="AF187" s="21">
        <v>4740.6239999999998</v>
      </c>
      <c r="AG187" s="21">
        <v>5005.0479999999998</v>
      </c>
      <c r="AH187" s="21">
        <v>5342.3059999999996</v>
      </c>
      <c r="AI187" s="21">
        <v>5670.0649999999996</v>
      </c>
      <c r="AJ187" s="21">
        <v>5971.77</v>
      </c>
      <c r="AK187" s="21">
        <v>6345.3689999999997</v>
      </c>
      <c r="AL187" s="21">
        <v>6740.67</v>
      </c>
      <c r="AM187" s="21">
        <v>6933.0870000000004</v>
      </c>
      <c r="AN187" s="21">
        <v>7425.89</v>
      </c>
      <c r="AO187" s="21">
        <v>7936.3450000000003</v>
      </c>
      <c r="AP187" s="21">
        <v>8498.8389999999999</v>
      </c>
      <c r="AQ187" s="21">
        <v>9219.7070000000003</v>
      </c>
      <c r="AR187" s="21">
        <v>10065.141</v>
      </c>
      <c r="AS187" s="21">
        <v>10914.697</v>
      </c>
      <c r="AT187" s="21">
        <v>11711.458000000001</v>
      </c>
      <c r="AU187" s="21">
        <v>12507.817999999999</v>
      </c>
      <c r="AV187" s="21">
        <v>13283.279</v>
      </c>
      <c r="AW187" s="21">
        <v>14146.671</v>
      </c>
      <c r="AX187" s="21">
        <v>14882.28</v>
      </c>
      <c r="AY187">
        <v>2006</v>
      </c>
    </row>
    <row r="188" spans="1:51" ht="14.45" x14ac:dyDescent="0.35">
      <c r="A188">
        <v>636</v>
      </c>
      <c r="B188" t="s">
        <v>412</v>
      </c>
      <c r="C188" t="s">
        <v>286</v>
      </c>
      <c r="D188" t="s">
        <v>413</v>
      </c>
      <c r="E188" t="s">
        <v>287</v>
      </c>
      <c r="F188" t="s">
        <v>288</v>
      </c>
      <c r="G188" t="s">
        <v>282</v>
      </c>
      <c r="H188" t="s">
        <v>283</v>
      </c>
      <c r="I188" t="s">
        <v>414</v>
      </c>
      <c r="J188" t="s">
        <v>310</v>
      </c>
      <c r="K188" t="s">
        <v>310</v>
      </c>
      <c r="L188" t="s">
        <v>310</v>
      </c>
      <c r="M188" t="s">
        <v>310</v>
      </c>
      <c r="N188" t="s">
        <v>310</v>
      </c>
      <c r="O188" t="s">
        <v>310</v>
      </c>
      <c r="P188" t="s">
        <v>310</v>
      </c>
      <c r="Q188" t="s">
        <v>310</v>
      </c>
      <c r="R188" t="s">
        <v>310</v>
      </c>
      <c r="S188" t="s">
        <v>310</v>
      </c>
      <c r="T188" t="s">
        <v>310</v>
      </c>
      <c r="U188" t="s">
        <v>310</v>
      </c>
      <c r="V188" t="s">
        <v>310</v>
      </c>
      <c r="W188">
        <v>1E-3</v>
      </c>
      <c r="X188">
        <v>0.307</v>
      </c>
      <c r="Y188">
        <v>1.758</v>
      </c>
      <c r="Z188">
        <v>12.84</v>
      </c>
      <c r="AA188">
        <v>34.582000000000001</v>
      </c>
      <c r="AB188">
        <v>44.286999999999999</v>
      </c>
      <c r="AC188">
        <v>229.768</v>
      </c>
      <c r="AD188" s="21">
        <v>1317.075</v>
      </c>
      <c r="AE188" s="21">
        <v>2231.4549999999999</v>
      </c>
      <c r="AF188" s="21">
        <v>3025.8710000000001</v>
      </c>
      <c r="AG188" s="21">
        <v>3623.25</v>
      </c>
      <c r="AH188" s="21">
        <v>4113.6329999999998</v>
      </c>
      <c r="AI188" s="21">
        <v>5670.0649999999996</v>
      </c>
      <c r="AJ188" s="21">
        <v>6694.74</v>
      </c>
      <c r="AK188" s="21">
        <v>8456.11</v>
      </c>
      <c r="AL188" s="21">
        <v>10741.831</v>
      </c>
      <c r="AM188" s="21">
        <v>14788.934999999999</v>
      </c>
      <c r="AN188" s="21">
        <v>18698.924999999999</v>
      </c>
      <c r="AO188" s="21">
        <v>22598.145</v>
      </c>
      <c r="AP188" s="21">
        <v>25343.516</v>
      </c>
      <c r="AQ188" s="21">
        <v>30051.179</v>
      </c>
      <c r="AR188" s="21">
        <v>33224.281000000003</v>
      </c>
      <c r="AS188" s="21">
        <v>36200.300000000003</v>
      </c>
      <c r="AT188" s="21">
        <v>39270.688000000002</v>
      </c>
      <c r="AU188" s="21">
        <v>42827.205999999998</v>
      </c>
      <c r="AV188" s="21">
        <v>46530.915000000001</v>
      </c>
      <c r="AW188" s="21">
        <v>50796.461000000003</v>
      </c>
      <c r="AX188" s="21">
        <v>54825.207000000002</v>
      </c>
      <c r="AY188">
        <v>2006</v>
      </c>
    </row>
    <row r="189" spans="1:51" ht="14.45" x14ac:dyDescent="0.35">
      <c r="A189">
        <v>636</v>
      </c>
      <c r="B189" t="s">
        <v>412</v>
      </c>
      <c r="C189" t="s">
        <v>289</v>
      </c>
      <c r="D189" t="s">
        <v>413</v>
      </c>
      <c r="E189" t="s">
        <v>287</v>
      </c>
      <c r="F189" t="s">
        <v>290</v>
      </c>
      <c r="G189" t="s">
        <v>291</v>
      </c>
      <c r="H189" t="s">
        <v>283</v>
      </c>
      <c r="I189" t="s">
        <v>292</v>
      </c>
      <c r="J189">
        <v>68.605999999999995</v>
      </c>
      <c r="K189">
        <v>59.725999999999999</v>
      </c>
      <c r="L189">
        <v>64.938999999999993</v>
      </c>
      <c r="M189">
        <v>52.378</v>
      </c>
      <c r="N189">
        <v>34.951000000000001</v>
      </c>
      <c r="O189">
        <v>31.943000000000001</v>
      </c>
      <c r="P189">
        <v>35.840000000000003</v>
      </c>
      <c r="Q189">
        <v>33.932000000000002</v>
      </c>
      <c r="R189">
        <v>39.314</v>
      </c>
      <c r="S189">
        <v>40.006</v>
      </c>
      <c r="T189">
        <v>41.448</v>
      </c>
      <c r="U189">
        <v>40.25</v>
      </c>
      <c r="V189">
        <v>36.332999999999998</v>
      </c>
      <c r="W189">
        <v>47.45</v>
      </c>
      <c r="X189">
        <v>25.745999999999999</v>
      </c>
      <c r="Y189">
        <v>25.021000000000001</v>
      </c>
      <c r="Z189">
        <v>32.098999999999997</v>
      </c>
      <c r="AA189">
        <v>28.818999999999999</v>
      </c>
      <c r="AB189">
        <v>21.088999999999999</v>
      </c>
      <c r="AC189">
        <v>19.146999999999998</v>
      </c>
      <c r="AD189">
        <v>19.077000000000002</v>
      </c>
      <c r="AE189">
        <v>8.173</v>
      </c>
      <c r="AF189">
        <v>8.7189999999999994</v>
      </c>
      <c r="AG189">
        <v>8.9540000000000006</v>
      </c>
      <c r="AH189">
        <v>10.340999999999999</v>
      </c>
      <c r="AI189">
        <v>11.951000000000001</v>
      </c>
      <c r="AJ189">
        <v>14.295999999999999</v>
      </c>
      <c r="AK189">
        <v>16.364000000000001</v>
      </c>
      <c r="AL189">
        <v>19.129000000000001</v>
      </c>
      <c r="AM189">
        <v>18.315000000000001</v>
      </c>
      <c r="AN189">
        <v>20.640999999999998</v>
      </c>
      <c r="AO189">
        <v>24.574999999999999</v>
      </c>
      <c r="AP189">
        <v>27.565999999999999</v>
      </c>
      <c r="AQ189">
        <v>32.676000000000002</v>
      </c>
      <c r="AR189">
        <v>35.917999999999999</v>
      </c>
      <c r="AS189">
        <v>39.058999999999997</v>
      </c>
      <c r="AT189">
        <v>42.055999999999997</v>
      </c>
      <c r="AU189">
        <v>45.41</v>
      </c>
      <c r="AV189">
        <v>48.848999999999997</v>
      </c>
      <c r="AW189">
        <v>52.798999999999999</v>
      </c>
      <c r="AX189">
        <v>56.421999999999997</v>
      </c>
      <c r="AY189">
        <v>2006</v>
      </c>
    </row>
    <row r="190" spans="1:51" ht="14.45" x14ac:dyDescent="0.35">
      <c r="A190">
        <v>636</v>
      </c>
      <c r="B190" t="s">
        <v>412</v>
      </c>
      <c r="C190" t="s">
        <v>293</v>
      </c>
      <c r="D190" t="s">
        <v>413</v>
      </c>
      <c r="E190" t="s">
        <v>294</v>
      </c>
      <c r="F190" t="s">
        <v>295</v>
      </c>
      <c r="G190" t="s">
        <v>296</v>
      </c>
      <c r="I190" t="s">
        <v>297</v>
      </c>
      <c r="J190" t="s">
        <v>310</v>
      </c>
      <c r="K190" t="s">
        <v>310</v>
      </c>
      <c r="L190" t="s">
        <v>310</v>
      </c>
      <c r="M190" t="s">
        <v>310</v>
      </c>
      <c r="N190" t="s">
        <v>310</v>
      </c>
      <c r="O190" t="s">
        <v>310</v>
      </c>
      <c r="P190" t="s">
        <v>310</v>
      </c>
      <c r="Q190" t="s">
        <v>310</v>
      </c>
      <c r="R190" t="s">
        <v>310</v>
      </c>
      <c r="S190" t="s">
        <v>310</v>
      </c>
      <c r="T190" t="s">
        <v>310</v>
      </c>
      <c r="U190" t="s">
        <v>310</v>
      </c>
      <c r="V190" t="s">
        <v>310</v>
      </c>
      <c r="W190" t="s">
        <v>310</v>
      </c>
      <c r="X190">
        <v>5.0000000000000001E-3</v>
      </c>
      <c r="Y190">
        <v>2.9000000000000001E-2</v>
      </c>
      <c r="Z190">
        <v>0.214</v>
      </c>
      <c r="AA190">
        <v>0.625</v>
      </c>
      <c r="AB190">
        <v>0.83199999999999996</v>
      </c>
      <c r="AC190">
        <v>4.4870000000000001</v>
      </c>
      <c r="AD190">
        <v>28.001000000000001</v>
      </c>
      <c r="AE190">
        <v>48.457999999999998</v>
      </c>
      <c r="AF190">
        <v>63.829000000000001</v>
      </c>
      <c r="AG190">
        <v>72.391999999999996</v>
      </c>
      <c r="AH190">
        <v>77.001000000000005</v>
      </c>
      <c r="AI190">
        <v>100</v>
      </c>
      <c r="AJ190">
        <v>112.10599999999999</v>
      </c>
      <c r="AK190">
        <v>133.26400000000001</v>
      </c>
      <c r="AL190">
        <v>159.35900000000001</v>
      </c>
      <c r="AM190">
        <v>213.31</v>
      </c>
      <c r="AN190">
        <v>251.80699999999999</v>
      </c>
      <c r="AO190">
        <v>284.74200000000002</v>
      </c>
      <c r="AP190">
        <v>298.2</v>
      </c>
      <c r="AQ190">
        <v>325.94499999999999</v>
      </c>
      <c r="AR190">
        <v>330.09300000000002</v>
      </c>
      <c r="AS190">
        <v>331.666</v>
      </c>
      <c r="AT190">
        <v>335.31900000000002</v>
      </c>
      <c r="AU190">
        <v>342.404</v>
      </c>
      <c r="AV190">
        <v>350.29700000000003</v>
      </c>
      <c r="AW190">
        <v>359.07</v>
      </c>
      <c r="AX190">
        <v>368.39299999999997</v>
      </c>
      <c r="AY190">
        <v>2006</v>
      </c>
    </row>
    <row r="191" spans="1:51" ht="14.45" x14ac:dyDescent="0.35">
      <c r="A191">
        <v>636</v>
      </c>
      <c r="B191" t="s">
        <v>412</v>
      </c>
      <c r="C191" t="s">
        <v>298</v>
      </c>
      <c r="D191" t="s">
        <v>413</v>
      </c>
      <c r="E191" t="s">
        <v>299</v>
      </c>
      <c r="F191" t="s">
        <v>300</v>
      </c>
      <c r="G191" t="s">
        <v>282</v>
      </c>
      <c r="H191" t="s">
        <v>283</v>
      </c>
      <c r="I191" t="s">
        <v>415</v>
      </c>
      <c r="J191" t="s">
        <v>285</v>
      </c>
      <c r="K191" t="s">
        <v>285</v>
      </c>
      <c r="L191" t="s">
        <v>285</v>
      </c>
      <c r="M191" t="s">
        <v>285</v>
      </c>
      <c r="N191" t="s">
        <v>285</v>
      </c>
      <c r="O191" t="s">
        <v>285</v>
      </c>
      <c r="P191" t="s">
        <v>285</v>
      </c>
      <c r="Q191" t="s">
        <v>285</v>
      </c>
      <c r="R191" t="s">
        <v>285</v>
      </c>
      <c r="S191" t="s">
        <v>285</v>
      </c>
      <c r="T191" t="s">
        <v>285</v>
      </c>
      <c r="U191" t="s">
        <v>285</v>
      </c>
      <c r="V191" t="s">
        <v>285</v>
      </c>
      <c r="W191" t="s">
        <v>285</v>
      </c>
      <c r="X191" t="s">
        <v>285</v>
      </c>
      <c r="Y191" t="s">
        <v>285</v>
      </c>
      <c r="Z191">
        <v>0.27900000000000003</v>
      </c>
      <c r="AA191">
        <v>0.86899999999999999</v>
      </c>
      <c r="AB191">
        <v>1.2330000000000001</v>
      </c>
      <c r="AC191">
        <v>4.9340000000000002</v>
      </c>
      <c r="AD191">
        <v>32.701000000000001</v>
      </c>
      <c r="AE191">
        <v>115.34099999999999</v>
      </c>
      <c r="AF191">
        <v>157.31800000000001</v>
      </c>
      <c r="AG191">
        <v>361.75599999999997</v>
      </c>
      <c r="AH191">
        <v>359.46</v>
      </c>
      <c r="AI191">
        <v>621.78</v>
      </c>
      <c r="AJ191">
        <v>664.65800000000002</v>
      </c>
      <c r="AK191">
        <v>898.01800000000003</v>
      </c>
      <c r="AL191" s="21">
        <v>1358.8030000000001</v>
      </c>
      <c r="AM191" s="21">
        <v>2055.5540000000001</v>
      </c>
      <c r="AN191" s="21">
        <v>3319.0149999999999</v>
      </c>
      <c r="AO191" s="21">
        <v>3543.5659999999998</v>
      </c>
      <c r="AP191" s="21">
        <v>3910.3339999999998</v>
      </c>
      <c r="AQ191" s="21">
        <v>3681.2109999999998</v>
      </c>
      <c r="AR191" s="21">
        <v>4404.2139999999999</v>
      </c>
      <c r="AS191" s="21">
        <v>5131.6109999999999</v>
      </c>
      <c r="AT191" s="21">
        <v>6102.9970000000003</v>
      </c>
      <c r="AU191" s="21">
        <v>6597.9080000000004</v>
      </c>
      <c r="AV191" s="21">
        <v>7207.0140000000001</v>
      </c>
      <c r="AW191" s="21">
        <v>8176.1409999999996</v>
      </c>
      <c r="AX191" s="21">
        <v>9017.2890000000007</v>
      </c>
      <c r="AY191">
        <v>2013</v>
      </c>
    </row>
    <row r="192" spans="1:51" ht="14.45" x14ac:dyDescent="0.35">
      <c r="A192">
        <v>634</v>
      </c>
      <c r="B192" t="s">
        <v>416</v>
      </c>
      <c r="C192" t="s">
        <v>279</v>
      </c>
      <c r="D192" t="s">
        <v>82</v>
      </c>
      <c r="E192" t="s">
        <v>280</v>
      </c>
      <c r="F192" t="s">
        <v>281</v>
      </c>
      <c r="G192" t="s">
        <v>282</v>
      </c>
      <c r="H192" t="s">
        <v>283</v>
      </c>
      <c r="I192" t="s">
        <v>417</v>
      </c>
      <c r="J192">
        <v>432.17</v>
      </c>
      <c r="K192">
        <v>443.46100000000001</v>
      </c>
      <c r="L192">
        <v>454.149</v>
      </c>
      <c r="M192">
        <v>465.01499999999999</v>
      </c>
      <c r="N192">
        <v>476.06099999999998</v>
      </c>
      <c r="O192">
        <v>487.29</v>
      </c>
      <c r="P192">
        <v>498.70600000000002</v>
      </c>
      <c r="Q192">
        <v>510.31200000000001</v>
      </c>
      <c r="R192">
        <v>622.11099999999999</v>
      </c>
      <c r="S192">
        <v>754.43</v>
      </c>
      <c r="T192">
        <v>762</v>
      </c>
      <c r="U192">
        <v>780.25300000000004</v>
      </c>
      <c r="V192">
        <v>800.63199999999995</v>
      </c>
      <c r="W192">
        <v>792.78899999999999</v>
      </c>
      <c r="X192">
        <v>749.24</v>
      </c>
      <c r="Y192">
        <v>779.1</v>
      </c>
      <c r="Z192">
        <v>812.52700000000004</v>
      </c>
      <c r="AA192">
        <v>807.45</v>
      </c>
      <c r="AB192">
        <v>837.62900000000002</v>
      </c>
      <c r="AC192">
        <v>816</v>
      </c>
      <c r="AD192">
        <v>877.82</v>
      </c>
      <c r="AE192">
        <v>911.2</v>
      </c>
      <c r="AF192">
        <v>952.95</v>
      </c>
      <c r="AG192">
        <v>960.7</v>
      </c>
      <c r="AH192">
        <v>994.1</v>
      </c>
      <c r="AI192" s="21">
        <v>1071.2</v>
      </c>
      <c r="AJ192" s="21">
        <v>1138</v>
      </c>
      <c r="AK192" s="21">
        <v>1119.9939999999999</v>
      </c>
      <c r="AL192" s="21">
        <v>1182.403</v>
      </c>
      <c r="AM192" s="21">
        <v>1270.7159999999999</v>
      </c>
      <c r="AN192" s="21">
        <v>1381.817</v>
      </c>
      <c r="AO192" s="21">
        <v>1428.9380000000001</v>
      </c>
      <c r="AP192" s="21">
        <v>1483.4169999999999</v>
      </c>
      <c r="AQ192" s="21">
        <v>1532.7</v>
      </c>
      <c r="AR192" s="21">
        <v>1637.6669999999999</v>
      </c>
      <c r="AS192" s="21">
        <v>1653.845</v>
      </c>
      <c r="AT192" s="21">
        <v>1760.86</v>
      </c>
      <c r="AU192" s="21">
        <v>1883.856</v>
      </c>
      <c r="AV192" s="21">
        <v>1945.0909999999999</v>
      </c>
      <c r="AW192" s="21">
        <v>1912.588</v>
      </c>
      <c r="AX192" s="21">
        <v>1920.11</v>
      </c>
      <c r="AY192">
        <v>2014</v>
      </c>
    </row>
    <row r="193" spans="1:51" ht="14.45" x14ac:dyDescent="0.35">
      <c r="A193">
        <v>634</v>
      </c>
      <c r="B193" t="s">
        <v>416</v>
      </c>
      <c r="C193" t="s">
        <v>286</v>
      </c>
      <c r="D193" t="s">
        <v>82</v>
      </c>
      <c r="E193" t="s">
        <v>287</v>
      </c>
      <c r="F193" t="s">
        <v>288</v>
      </c>
      <c r="G193" t="s">
        <v>282</v>
      </c>
      <c r="H193" t="s">
        <v>283</v>
      </c>
      <c r="I193" t="s">
        <v>417</v>
      </c>
      <c r="J193">
        <v>440.14299999999997</v>
      </c>
      <c r="K193">
        <v>464.06400000000002</v>
      </c>
      <c r="L193">
        <v>489.28500000000003</v>
      </c>
      <c r="M193">
        <v>515.87699999999995</v>
      </c>
      <c r="N193">
        <v>543.91399999999999</v>
      </c>
      <c r="O193">
        <v>573.47500000000002</v>
      </c>
      <c r="P193">
        <v>604.64200000000005</v>
      </c>
      <c r="Q193">
        <v>637.50400000000002</v>
      </c>
      <c r="R193">
        <v>672.15099999999995</v>
      </c>
      <c r="S193">
        <v>760.57500000000005</v>
      </c>
      <c r="T193">
        <v>762</v>
      </c>
      <c r="U193">
        <v>768.7</v>
      </c>
      <c r="V193">
        <v>776.4</v>
      </c>
      <c r="W193">
        <v>760.1</v>
      </c>
      <c r="X193">
        <v>982.36</v>
      </c>
      <c r="Y193" s="21">
        <v>1056.2</v>
      </c>
      <c r="Z193" s="21">
        <v>1299.7</v>
      </c>
      <c r="AA193" s="21">
        <v>1355.7</v>
      </c>
      <c r="AB193" s="21">
        <v>1150.0999999999999</v>
      </c>
      <c r="AC193" s="21">
        <v>1449.3</v>
      </c>
      <c r="AD193" s="21">
        <v>2292.5</v>
      </c>
      <c r="AE193" s="21">
        <v>2048.3000000000002</v>
      </c>
      <c r="AF193" s="21">
        <v>2104.9</v>
      </c>
      <c r="AG193" s="21">
        <v>2031.8</v>
      </c>
      <c r="AH193" s="21">
        <v>2455.8000000000002</v>
      </c>
      <c r="AI193" s="21">
        <v>3210.7</v>
      </c>
      <c r="AJ193" s="21">
        <v>4042.6</v>
      </c>
      <c r="AK193" s="21">
        <v>4023.2950000000001</v>
      </c>
      <c r="AL193" s="21">
        <v>5310.5330000000004</v>
      </c>
      <c r="AM193" s="21">
        <v>4529.9399999999996</v>
      </c>
      <c r="AN193" s="21">
        <v>5946.5839999999998</v>
      </c>
      <c r="AO193" s="21">
        <v>6804.3860000000004</v>
      </c>
      <c r="AP193" s="21">
        <v>6979.1670000000004</v>
      </c>
      <c r="AQ193" s="21">
        <v>6656.6670000000004</v>
      </c>
      <c r="AR193" s="21">
        <v>6689.6260000000002</v>
      </c>
      <c r="AS193" s="21">
        <v>5229.9870000000001</v>
      </c>
      <c r="AT193" s="21">
        <v>5732.5550000000003</v>
      </c>
      <c r="AU193" s="21">
        <v>7082.0190000000002</v>
      </c>
      <c r="AV193" s="21">
        <v>7355.2449999999999</v>
      </c>
      <c r="AW193" s="21">
        <v>7139.8109999999997</v>
      </c>
      <c r="AX193" s="21">
        <v>6873.9210000000003</v>
      </c>
      <c r="AY193">
        <v>2014</v>
      </c>
    </row>
    <row r="194" spans="1:51" ht="14.45" x14ac:dyDescent="0.35">
      <c r="A194">
        <v>634</v>
      </c>
      <c r="B194" t="s">
        <v>416</v>
      </c>
      <c r="C194" t="s">
        <v>289</v>
      </c>
      <c r="D194" t="s">
        <v>82</v>
      </c>
      <c r="E194" t="s">
        <v>287</v>
      </c>
      <c r="F194" t="s">
        <v>290</v>
      </c>
      <c r="G194" t="s">
        <v>291</v>
      </c>
      <c r="H194" t="s">
        <v>283</v>
      </c>
      <c r="I194" t="s">
        <v>292</v>
      </c>
      <c r="J194">
        <v>2.0830000000000002</v>
      </c>
      <c r="K194">
        <v>1.708</v>
      </c>
      <c r="L194">
        <v>1.4890000000000001</v>
      </c>
      <c r="M194">
        <v>1.3540000000000001</v>
      </c>
      <c r="N194">
        <v>1.2450000000000001</v>
      </c>
      <c r="O194">
        <v>1.276</v>
      </c>
      <c r="P194">
        <v>1.746</v>
      </c>
      <c r="Q194">
        <v>2.121</v>
      </c>
      <c r="R194">
        <v>2.2570000000000001</v>
      </c>
      <c r="S194">
        <v>2.3839999999999999</v>
      </c>
      <c r="T194">
        <v>2.7989999999999999</v>
      </c>
      <c r="U194">
        <v>2.7250000000000001</v>
      </c>
      <c r="V194">
        <v>2.9329999999999998</v>
      </c>
      <c r="W194">
        <v>2.6840000000000002</v>
      </c>
      <c r="X194">
        <v>1.7689999999999999</v>
      </c>
      <c r="Y194">
        <v>2.1160000000000001</v>
      </c>
      <c r="Z194">
        <v>2.54</v>
      </c>
      <c r="AA194">
        <v>2.323</v>
      </c>
      <c r="AB194">
        <v>1.9490000000000001</v>
      </c>
      <c r="AC194">
        <v>2.3570000000000002</v>
      </c>
      <c r="AD194">
        <v>3.22</v>
      </c>
      <c r="AE194">
        <v>2.794</v>
      </c>
      <c r="AF194">
        <v>3.02</v>
      </c>
      <c r="AG194">
        <v>3.5030000000000001</v>
      </c>
      <c r="AH194">
        <v>4.6550000000000002</v>
      </c>
      <c r="AI194">
        <v>6.0979999999999999</v>
      </c>
      <c r="AJ194">
        <v>7.7380000000000004</v>
      </c>
      <c r="AK194">
        <v>8.407</v>
      </c>
      <c r="AL194">
        <v>11.914999999999999</v>
      </c>
      <c r="AM194">
        <v>9.6180000000000003</v>
      </c>
      <c r="AN194">
        <v>12.029</v>
      </c>
      <c r="AO194">
        <v>14.433</v>
      </c>
      <c r="AP194">
        <v>13.678000000000001</v>
      </c>
      <c r="AQ194">
        <v>13.478</v>
      </c>
      <c r="AR194">
        <v>13.552</v>
      </c>
      <c r="AS194">
        <v>8.8710000000000004</v>
      </c>
      <c r="AT194">
        <v>9.7690000000000001</v>
      </c>
      <c r="AU194">
        <v>12.202999999999999</v>
      </c>
      <c r="AV194">
        <v>12.803000000000001</v>
      </c>
      <c r="AW194">
        <v>12.526</v>
      </c>
      <c r="AX194">
        <v>12.238</v>
      </c>
      <c r="AY194">
        <v>2014</v>
      </c>
    </row>
    <row r="195" spans="1:51" ht="14.45" x14ac:dyDescent="0.35">
      <c r="A195">
        <v>634</v>
      </c>
      <c r="B195" t="s">
        <v>416</v>
      </c>
      <c r="C195" t="s">
        <v>293</v>
      </c>
      <c r="D195" t="s">
        <v>82</v>
      </c>
      <c r="E195" t="s">
        <v>294</v>
      </c>
      <c r="F195" t="s">
        <v>295</v>
      </c>
      <c r="G195" t="s">
        <v>296</v>
      </c>
      <c r="I195" t="s">
        <v>297</v>
      </c>
      <c r="J195">
        <v>101.845</v>
      </c>
      <c r="K195">
        <v>104.646</v>
      </c>
      <c r="L195">
        <v>107.73699999999999</v>
      </c>
      <c r="M195">
        <v>110.938</v>
      </c>
      <c r="N195">
        <v>114.253</v>
      </c>
      <c r="O195">
        <v>117.68600000000001</v>
      </c>
      <c r="P195">
        <v>121.242</v>
      </c>
      <c r="Q195">
        <v>124.92400000000001</v>
      </c>
      <c r="R195">
        <v>108.044</v>
      </c>
      <c r="S195">
        <v>100.815</v>
      </c>
      <c r="T195">
        <v>100</v>
      </c>
      <c r="U195">
        <v>98.519000000000005</v>
      </c>
      <c r="V195">
        <v>96.972999999999999</v>
      </c>
      <c r="W195">
        <v>95.876999999999995</v>
      </c>
      <c r="X195">
        <v>131.114</v>
      </c>
      <c r="Y195">
        <v>135.56700000000001</v>
      </c>
      <c r="Z195">
        <v>159.958</v>
      </c>
      <c r="AA195">
        <v>167.899</v>
      </c>
      <c r="AB195">
        <v>137.304</v>
      </c>
      <c r="AC195">
        <v>177.61</v>
      </c>
      <c r="AD195">
        <v>261.15800000000002</v>
      </c>
      <c r="AE195">
        <v>224.791</v>
      </c>
      <c r="AF195">
        <v>220.88300000000001</v>
      </c>
      <c r="AG195">
        <v>211.49199999999999</v>
      </c>
      <c r="AH195">
        <v>247.03800000000001</v>
      </c>
      <c r="AI195">
        <v>299.72899999999998</v>
      </c>
      <c r="AJ195">
        <v>355.23700000000002</v>
      </c>
      <c r="AK195">
        <v>359.22500000000002</v>
      </c>
      <c r="AL195">
        <v>449.13</v>
      </c>
      <c r="AM195">
        <v>356.48700000000002</v>
      </c>
      <c r="AN195">
        <v>430.34500000000003</v>
      </c>
      <c r="AO195">
        <v>476.185</v>
      </c>
      <c r="AP195">
        <v>470.47899999999998</v>
      </c>
      <c r="AQ195">
        <v>434.31</v>
      </c>
      <c r="AR195">
        <v>408.48500000000001</v>
      </c>
      <c r="AS195">
        <v>316.23200000000003</v>
      </c>
      <c r="AT195">
        <v>325.55399999999997</v>
      </c>
      <c r="AU195">
        <v>375.93200000000002</v>
      </c>
      <c r="AV195">
        <v>378.14400000000001</v>
      </c>
      <c r="AW195">
        <v>373.30599999999998</v>
      </c>
      <c r="AX195">
        <v>357.99599999999998</v>
      </c>
      <c r="AY195">
        <v>2014</v>
      </c>
    </row>
    <row r="196" spans="1:51" ht="14.45" x14ac:dyDescent="0.35">
      <c r="A196">
        <v>634</v>
      </c>
      <c r="B196" t="s">
        <v>416</v>
      </c>
      <c r="C196" t="s">
        <v>298</v>
      </c>
      <c r="D196" t="s">
        <v>82</v>
      </c>
      <c r="E196" t="s">
        <v>299</v>
      </c>
      <c r="F196" t="s">
        <v>300</v>
      </c>
      <c r="G196" t="s">
        <v>282</v>
      </c>
      <c r="H196" t="s">
        <v>283</v>
      </c>
      <c r="I196" t="s">
        <v>418</v>
      </c>
      <c r="J196" t="s">
        <v>285</v>
      </c>
      <c r="K196" t="s">
        <v>285</v>
      </c>
      <c r="L196" t="s">
        <v>285</v>
      </c>
      <c r="M196" t="s">
        <v>285</v>
      </c>
      <c r="N196" t="s">
        <v>285</v>
      </c>
      <c r="O196" t="s">
        <v>285</v>
      </c>
      <c r="P196" t="s">
        <v>285</v>
      </c>
      <c r="Q196" t="s">
        <v>285</v>
      </c>
      <c r="R196" t="s">
        <v>285</v>
      </c>
      <c r="S196">
        <v>154.19999999999999</v>
      </c>
      <c r="T196">
        <v>241.07400000000001</v>
      </c>
      <c r="U196">
        <v>291.81799999999998</v>
      </c>
      <c r="V196">
        <v>284.51400000000001</v>
      </c>
      <c r="W196">
        <v>279.33999999999997</v>
      </c>
      <c r="X196">
        <v>352.62299999999999</v>
      </c>
      <c r="Y196">
        <v>338.26799999999997</v>
      </c>
      <c r="Z196">
        <v>228.39599999999999</v>
      </c>
      <c r="AA196">
        <v>332.68599999999998</v>
      </c>
      <c r="AB196">
        <v>331.21499999999997</v>
      </c>
      <c r="AC196">
        <v>467.83</v>
      </c>
      <c r="AD196">
        <v>583.50199999999995</v>
      </c>
      <c r="AE196">
        <v>501.62400000000002</v>
      </c>
      <c r="AF196">
        <v>582.53499999999997</v>
      </c>
      <c r="AG196">
        <v>605.30799999999999</v>
      </c>
      <c r="AH196">
        <v>656.31</v>
      </c>
      <c r="AI196">
        <v>775.76199999999994</v>
      </c>
      <c r="AJ196" s="21">
        <v>1123.0530000000001</v>
      </c>
      <c r="AK196" s="21">
        <v>1201.4870000000001</v>
      </c>
      <c r="AL196" s="21">
        <v>1255.6189999999999</v>
      </c>
      <c r="AM196" s="21">
        <v>1117.279</v>
      </c>
      <c r="AN196" s="21">
        <v>1274.932</v>
      </c>
      <c r="AO196" s="21">
        <v>1774.4</v>
      </c>
      <c r="AP196" s="21">
        <v>2525.9</v>
      </c>
      <c r="AQ196" s="21">
        <v>3242.6680000000001</v>
      </c>
      <c r="AR196" s="21">
        <v>3350.2</v>
      </c>
      <c r="AS196" s="21">
        <v>2647.2579999999998</v>
      </c>
      <c r="AT196" s="21">
        <v>2605.7310000000002</v>
      </c>
      <c r="AU196" s="21">
        <v>2665.4349999999999</v>
      </c>
      <c r="AV196" s="21">
        <v>2405.1489999999999</v>
      </c>
      <c r="AW196" s="21">
        <v>2294.7530000000002</v>
      </c>
      <c r="AX196" s="21">
        <v>2251.1860000000001</v>
      </c>
      <c r="AY196">
        <v>2014</v>
      </c>
    </row>
    <row r="197" spans="1:51" ht="14.45" x14ac:dyDescent="0.35">
      <c r="A197">
        <v>238</v>
      </c>
      <c r="B197" t="s">
        <v>419</v>
      </c>
      <c r="C197" t="s">
        <v>279</v>
      </c>
      <c r="D197" t="s">
        <v>85</v>
      </c>
      <c r="E197" t="s">
        <v>280</v>
      </c>
      <c r="F197" t="s">
        <v>281</v>
      </c>
      <c r="G197" t="s">
        <v>282</v>
      </c>
      <c r="H197" t="s">
        <v>283</v>
      </c>
      <c r="I197" t="s">
        <v>420</v>
      </c>
      <c r="J197">
        <v>675.37</v>
      </c>
      <c r="K197">
        <v>660.11</v>
      </c>
      <c r="L197">
        <v>612.01900000000001</v>
      </c>
      <c r="M197">
        <v>629.52</v>
      </c>
      <c r="N197">
        <v>680.06</v>
      </c>
      <c r="O197">
        <v>684.96799999999996</v>
      </c>
      <c r="P197">
        <v>722.88900000000001</v>
      </c>
      <c r="Q197">
        <v>757.33199999999999</v>
      </c>
      <c r="R197">
        <v>783.32399999999996</v>
      </c>
      <c r="S197">
        <v>827.70699999999999</v>
      </c>
      <c r="T197">
        <v>857.505</v>
      </c>
      <c r="U197">
        <v>876.91099999999994</v>
      </c>
      <c r="V197">
        <v>957.16600000000005</v>
      </c>
      <c r="W197" s="21">
        <v>1028.127</v>
      </c>
      <c r="X197" s="21">
        <v>1076.7529999999999</v>
      </c>
      <c r="Y197" s="21">
        <v>1118.971</v>
      </c>
      <c r="Z197" s="21">
        <v>1128.8920000000001</v>
      </c>
      <c r="AA197" s="21">
        <v>1191.864</v>
      </c>
      <c r="AB197" s="21">
        <v>1291.9549999999999</v>
      </c>
      <c r="AC197" s="21">
        <v>1398.182</v>
      </c>
      <c r="AD197" s="21">
        <v>1423.3610000000001</v>
      </c>
      <c r="AE197" s="21">
        <v>1438.682</v>
      </c>
      <c r="AF197" s="21">
        <v>1480.4349999999999</v>
      </c>
      <c r="AG197" s="21">
        <v>1575.249</v>
      </c>
      <c r="AH197" s="21">
        <v>1642.346</v>
      </c>
      <c r="AI197" s="21">
        <v>1739.021</v>
      </c>
      <c r="AJ197" s="21">
        <v>1891.701</v>
      </c>
      <c r="AK197" s="21">
        <v>2041.8140000000001</v>
      </c>
      <c r="AL197" s="21">
        <v>2097.5880000000002</v>
      </c>
      <c r="AM197" s="21">
        <v>2076.2829999999999</v>
      </c>
      <c r="AN197" s="21">
        <v>2179.1480000000001</v>
      </c>
      <c r="AO197" s="21">
        <v>2277.5970000000002</v>
      </c>
      <c r="AP197" s="21">
        <v>2395.2939999999999</v>
      </c>
      <c r="AQ197" s="21">
        <v>2477.6260000000002</v>
      </c>
      <c r="AR197" s="21">
        <v>2564.402</v>
      </c>
      <c r="AS197" s="21">
        <v>2641.3339999999998</v>
      </c>
      <c r="AT197" s="21">
        <v>2746.9870000000001</v>
      </c>
      <c r="AU197" s="21">
        <v>2873.348</v>
      </c>
      <c r="AV197" s="21">
        <v>3015.2919999999999</v>
      </c>
      <c r="AW197" s="21">
        <v>3157.01</v>
      </c>
      <c r="AX197" s="21">
        <v>3292.7620000000002</v>
      </c>
      <c r="AY197">
        <v>2014</v>
      </c>
    </row>
    <row r="198" spans="1:51" ht="14.45" x14ac:dyDescent="0.35">
      <c r="A198">
        <v>238</v>
      </c>
      <c r="B198" t="s">
        <v>419</v>
      </c>
      <c r="C198" t="s">
        <v>286</v>
      </c>
      <c r="D198" t="s">
        <v>85</v>
      </c>
      <c r="E198" t="s">
        <v>287</v>
      </c>
      <c r="F198" t="s">
        <v>288</v>
      </c>
      <c r="G198" t="s">
        <v>282</v>
      </c>
      <c r="H198" t="s">
        <v>283</v>
      </c>
      <c r="I198" t="s">
        <v>420</v>
      </c>
      <c r="J198">
        <v>41.405000000000001</v>
      </c>
      <c r="K198">
        <v>57.103000000000002</v>
      </c>
      <c r="L198">
        <v>97.504999999999995</v>
      </c>
      <c r="M198">
        <v>129.31399999999999</v>
      </c>
      <c r="N198">
        <v>163.011</v>
      </c>
      <c r="O198">
        <v>197.92</v>
      </c>
      <c r="P198">
        <v>246.57900000000001</v>
      </c>
      <c r="Q198">
        <v>284.53300000000002</v>
      </c>
      <c r="R198">
        <v>349.74299999999999</v>
      </c>
      <c r="S198">
        <v>425.911</v>
      </c>
      <c r="T198">
        <v>522.84799999999996</v>
      </c>
      <c r="U198">
        <v>876.91099999999994</v>
      </c>
      <c r="V198" s="21">
        <v>1153.2049999999999</v>
      </c>
      <c r="W198" s="21">
        <v>1370.2919999999999</v>
      </c>
      <c r="X198" s="21">
        <v>1658.2360000000001</v>
      </c>
      <c r="Y198" s="21">
        <v>2105.6869999999999</v>
      </c>
      <c r="Z198" s="21">
        <v>2459.9569999999999</v>
      </c>
      <c r="AA198" s="21">
        <v>2984.02</v>
      </c>
      <c r="AB198" s="21">
        <v>3626.83</v>
      </c>
      <c r="AC198" s="21">
        <v>4512.7629999999999</v>
      </c>
      <c r="AD198" s="21">
        <v>4914.5339999999997</v>
      </c>
      <c r="AE198" s="21">
        <v>5394.6530000000002</v>
      </c>
      <c r="AF198" s="21">
        <v>6060.9440000000004</v>
      </c>
      <c r="AG198" s="21">
        <v>6983.5990000000002</v>
      </c>
      <c r="AH198" s="21">
        <v>8143.55</v>
      </c>
      <c r="AI198" s="21">
        <v>9538.9770000000008</v>
      </c>
      <c r="AJ198" s="21">
        <v>11517.822</v>
      </c>
      <c r="AK198" s="21">
        <v>13598.403</v>
      </c>
      <c r="AL198" s="21">
        <v>15701.76</v>
      </c>
      <c r="AM198" s="21">
        <v>16844.744999999999</v>
      </c>
      <c r="AN198" s="21">
        <v>19086.721000000001</v>
      </c>
      <c r="AO198" s="21">
        <v>20852.224999999999</v>
      </c>
      <c r="AP198" s="21">
        <v>22781.773000000001</v>
      </c>
      <c r="AQ198" s="21">
        <v>24606.875</v>
      </c>
      <c r="AR198" s="21">
        <v>26675.007000000001</v>
      </c>
      <c r="AS198" s="21">
        <v>28005.733</v>
      </c>
      <c r="AT198" s="21">
        <v>30224.007000000001</v>
      </c>
      <c r="AU198" s="21">
        <v>32877.050000000003</v>
      </c>
      <c r="AV198" s="21">
        <v>35903.230000000003</v>
      </c>
      <c r="AW198" s="21">
        <v>39075.618000000002</v>
      </c>
      <c r="AX198" s="21">
        <v>42364.146000000001</v>
      </c>
      <c r="AY198">
        <v>2014</v>
      </c>
    </row>
    <row r="199" spans="1:51" ht="14.45" x14ac:dyDescent="0.35">
      <c r="A199">
        <v>238</v>
      </c>
      <c r="B199" t="s">
        <v>419</v>
      </c>
      <c r="C199" t="s">
        <v>289</v>
      </c>
      <c r="D199" t="s">
        <v>85</v>
      </c>
      <c r="E199" t="s">
        <v>287</v>
      </c>
      <c r="F199" t="s">
        <v>290</v>
      </c>
      <c r="G199" t="s">
        <v>291</v>
      </c>
      <c r="H199" t="s">
        <v>283</v>
      </c>
      <c r="I199" t="s">
        <v>292</v>
      </c>
      <c r="J199">
        <v>4.8310000000000004</v>
      </c>
      <c r="K199">
        <v>2.6240000000000001</v>
      </c>
      <c r="L199">
        <v>2.6070000000000002</v>
      </c>
      <c r="M199">
        <v>3.1469999999999998</v>
      </c>
      <c r="N199">
        <v>3.66</v>
      </c>
      <c r="O199">
        <v>3.923</v>
      </c>
      <c r="P199">
        <v>4.4039999999999999</v>
      </c>
      <c r="Q199">
        <v>4.5330000000000004</v>
      </c>
      <c r="R199">
        <v>4.6139999999999999</v>
      </c>
      <c r="S199">
        <v>5.2249999999999996</v>
      </c>
      <c r="T199">
        <v>5.71</v>
      </c>
      <c r="U199">
        <v>7.1580000000000004</v>
      </c>
      <c r="V199">
        <v>8.5739999999999998</v>
      </c>
      <c r="W199">
        <v>9.6379999999999999</v>
      </c>
      <c r="X199">
        <v>10.557</v>
      </c>
      <c r="Y199">
        <v>11.714</v>
      </c>
      <c r="Z199">
        <v>11.845000000000001</v>
      </c>
      <c r="AA199">
        <v>12.827999999999999</v>
      </c>
      <c r="AB199">
        <v>14.101000000000001</v>
      </c>
      <c r="AC199">
        <v>15.795</v>
      </c>
      <c r="AD199">
        <v>15.946999999999999</v>
      </c>
      <c r="AE199">
        <v>16.404</v>
      </c>
      <c r="AF199">
        <v>16.844000000000001</v>
      </c>
      <c r="AG199">
        <v>17.518000000000001</v>
      </c>
      <c r="AH199">
        <v>18.594999999999999</v>
      </c>
      <c r="AI199">
        <v>19.965</v>
      </c>
      <c r="AJ199">
        <v>22.526</v>
      </c>
      <c r="AK199">
        <v>26.321999999999999</v>
      </c>
      <c r="AL199">
        <v>29.838000000000001</v>
      </c>
      <c r="AM199">
        <v>29.382999999999999</v>
      </c>
      <c r="AN199">
        <v>36.298000000000002</v>
      </c>
      <c r="AO199">
        <v>41.237000000000002</v>
      </c>
      <c r="AP199">
        <v>45.301000000000002</v>
      </c>
      <c r="AQ199">
        <v>49.237000000000002</v>
      </c>
      <c r="AR199">
        <v>49.552999999999997</v>
      </c>
      <c r="AS199">
        <v>51.618000000000002</v>
      </c>
      <c r="AT199">
        <v>54.976999999999997</v>
      </c>
      <c r="AU199">
        <v>58.786999999999999</v>
      </c>
      <c r="AV199">
        <v>62.963000000000001</v>
      </c>
      <c r="AW199">
        <v>67.209000000000003</v>
      </c>
      <c r="AX199">
        <v>71.816000000000003</v>
      </c>
      <c r="AY199">
        <v>2014</v>
      </c>
    </row>
    <row r="200" spans="1:51" ht="14.45" x14ac:dyDescent="0.35">
      <c r="A200">
        <v>238</v>
      </c>
      <c r="B200" t="s">
        <v>419</v>
      </c>
      <c r="C200" t="s">
        <v>293</v>
      </c>
      <c r="D200" t="s">
        <v>85</v>
      </c>
      <c r="E200" t="s">
        <v>294</v>
      </c>
      <c r="F200" t="s">
        <v>295</v>
      </c>
      <c r="G200" t="s">
        <v>296</v>
      </c>
      <c r="I200" t="s">
        <v>297</v>
      </c>
      <c r="J200">
        <v>6.1310000000000002</v>
      </c>
      <c r="K200">
        <v>8.6509999999999998</v>
      </c>
      <c r="L200">
        <v>15.932</v>
      </c>
      <c r="M200">
        <v>20.542000000000002</v>
      </c>
      <c r="N200">
        <v>23.97</v>
      </c>
      <c r="O200">
        <v>28.895</v>
      </c>
      <c r="P200">
        <v>34.11</v>
      </c>
      <c r="Q200">
        <v>37.570999999999998</v>
      </c>
      <c r="R200">
        <v>44.649000000000001</v>
      </c>
      <c r="S200">
        <v>51.457000000000001</v>
      </c>
      <c r="T200">
        <v>60.972999999999999</v>
      </c>
      <c r="U200">
        <v>100</v>
      </c>
      <c r="V200">
        <v>120.48099999999999</v>
      </c>
      <c r="W200">
        <v>133.28</v>
      </c>
      <c r="X200">
        <v>154.00299999999999</v>
      </c>
      <c r="Y200">
        <v>188.18100000000001</v>
      </c>
      <c r="Z200">
        <v>217.90899999999999</v>
      </c>
      <c r="AA200">
        <v>250.36600000000001</v>
      </c>
      <c r="AB200">
        <v>280.72399999999999</v>
      </c>
      <c r="AC200">
        <v>322.75900000000001</v>
      </c>
      <c r="AD200">
        <v>345.27699999999999</v>
      </c>
      <c r="AE200">
        <v>374.97199999999998</v>
      </c>
      <c r="AF200">
        <v>409.40300000000002</v>
      </c>
      <c r="AG200">
        <v>443.33300000000003</v>
      </c>
      <c r="AH200">
        <v>495.84899999999999</v>
      </c>
      <c r="AI200">
        <v>548.52599999999995</v>
      </c>
      <c r="AJ200">
        <v>608.86099999999999</v>
      </c>
      <c r="AK200">
        <v>665.99599999999998</v>
      </c>
      <c r="AL200">
        <v>748.56299999999999</v>
      </c>
      <c r="AM200">
        <v>811.29300000000001</v>
      </c>
      <c r="AN200">
        <v>875.88</v>
      </c>
      <c r="AO200">
        <v>915.53599999999994</v>
      </c>
      <c r="AP200">
        <v>951.10599999999999</v>
      </c>
      <c r="AQ200">
        <v>993.16300000000001</v>
      </c>
      <c r="AR200" s="21">
        <v>1040.204</v>
      </c>
      <c r="AS200" s="21">
        <v>1060.288</v>
      </c>
      <c r="AT200" s="21">
        <v>1100.26</v>
      </c>
      <c r="AU200" s="21">
        <v>1144.2070000000001</v>
      </c>
      <c r="AV200" s="21">
        <v>1190.7049999999999</v>
      </c>
      <c r="AW200" s="21">
        <v>1237.741</v>
      </c>
      <c r="AX200" s="21">
        <v>1286.5840000000001</v>
      </c>
      <c r="AY200">
        <v>2014</v>
      </c>
    </row>
    <row r="201" spans="1:51" ht="14.45" x14ac:dyDescent="0.35">
      <c r="A201">
        <v>238</v>
      </c>
      <c r="B201" t="s">
        <v>419</v>
      </c>
      <c r="C201" t="s">
        <v>298</v>
      </c>
      <c r="D201" t="s">
        <v>85</v>
      </c>
      <c r="E201" t="s">
        <v>299</v>
      </c>
      <c r="F201" t="s">
        <v>300</v>
      </c>
      <c r="G201" t="s">
        <v>282</v>
      </c>
      <c r="H201" t="s">
        <v>283</v>
      </c>
      <c r="I201" t="s">
        <v>421</v>
      </c>
      <c r="J201" t="s">
        <v>285</v>
      </c>
      <c r="K201" t="s">
        <v>285</v>
      </c>
      <c r="L201" t="s">
        <v>285</v>
      </c>
      <c r="M201" t="s">
        <v>285</v>
      </c>
      <c r="N201" t="s">
        <v>285</v>
      </c>
      <c r="O201" t="s">
        <v>285</v>
      </c>
      <c r="P201" t="s">
        <v>285</v>
      </c>
      <c r="Q201" t="s">
        <v>285</v>
      </c>
      <c r="R201" t="s">
        <v>285</v>
      </c>
      <c r="S201" t="s">
        <v>285</v>
      </c>
      <c r="T201">
        <v>99.143000000000001</v>
      </c>
      <c r="U201">
        <v>123.38800000000001</v>
      </c>
      <c r="V201">
        <v>158.33600000000001</v>
      </c>
      <c r="W201">
        <v>188.24299999999999</v>
      </c>
      <c r="X201">
        <v>286.959</v>
      </c>
      <c r="Y201">
        <v>337.66300000000001</v>
      </c>
      <c r="Z201">
        <v>413.86500000000001</v>
      </c>
      <c r="AA201">
        <v>465.48200000000003</v>
      </c>
      <c r="AB201">
        <v>548.93600000000004</v>
      </c>
      <c r="AC201">
        <v>663.07799999999997</v>
      </c>
      <c r="AD201">
        <v>780.61500000000001</v>
      </c>
      <c r="AE201">
        <v>907.86300000000006</v>
      </c>
      <c r="AF201" s="21">
        <v>1106.645</v>
      </c>
      <c r="AG201" s="21">
        <v>1209.5820000000001</v>
      </c>
      <c r="AH201" s="21">
        <v>1386.0229999999999</v>
      </c>
      <c r="AI201" s="21">
        <v>1587.971</v>
      </c>
      <c r="AJ201" s="21">
        <v>1804.3879999999999</v>
      </c>
      <c r="AK201" s="21">
        <v>2061.752</v>
      </c>
      <c r="AL201" s="21">
        <v>2535.587</v>
      </c>
      <c r="AM201" s="21">
        <v>2969.5140000000001</v>
      </c>
      <c r="AN201" s="21">
        <v>3623.0810000000001</v>
      </c>
      <c r="AO201" s="21">
        <v>3762.442</v>
      </c>
      <c r="AP201" s="21">
        <v>4177.7150000000001</v>
      </c>
      <c r="AQ201" s="21">
        <v>4765.2759999999998</v>
      </c>
      <c r="AR201" s="21">
        <v>5229.6120000000001</v>
      </c>
      <c r="AS201" s="21">
        <v>5530.2489999999998</v>
      </c>
      <c r="AT201" s="21">
        <v>6036.7489999999998</v>
      </c>
      <c r="AU201" s="21">
        <v>6646.7510000000002</v>
      </c>
      <c r="AV201" s="21">
        <v>7302.6220000000003</v>
      </c>
      <c r="AW201" s="21">
        <v>8000.5510000000004</v>
      </c>
      <c r="AX201" s="21">
        <v>8742.8790000000008</v>
      </c>
      <c r="AY201">
        <v>2014</v>
      </c>
    </row>
    <row r="202" spans="1:51" x14ac:dyDescent="0.25">
      <c r="A202">
        <v>662</v>
      </c>
      <c r="B202" t="s">
        <v>422</v>
      </c>
      <c r="C202" t="s">
        <v>279</v>
      </c>
      <c r="D202" t="s">
        <v>86</v>
      </c>
      <c r="E202" t="s">
        <v>280</v>
      </c>
      <c r="F202" t="s">
        <v>281</v>
      </c>
      <c r="G202" t="s">
        <v>282</v>
      </c>
      <c r="H202" t="s">
        <v>283</v>
      </c>
      <c r="I202" t="s">
        <v>423</v>
      </c>
      <c r="J202" s="21">
        <v>6678.5330000000004</v>
      </c>
      <c r="K202" s="21">
        <v>6912.1210000000001</v>
      </c>
      <c r="L202" s="21">
        <v>6925.9449999999997</v>
      </c>
      <c r="M202" s="21">
        <v>6752.7960000000003</v>
      </c>
      <c r="N202" s="21">
        <v>6617.74</v>
      </c>
      <c r="O202" s="21">
        <v>6855.9790000000003</v>
      </c>
      <c r="P202" s="21">
        <v>7185.0659999999998</v>
      </c>
      <c r="Q202" s="21">
        <v>7149.1409999999996</v>
      </c>
      <c r="R202" s="21">
        <v>7230.6409999999996</v>
      </c>
      <c r="S202" s="21">
        <v>7443.9449999999997</v>
      </c>
      <c r="T202" s="21">
        <v>7362.8059999999996</v>
      </c>
      <c r="U202" s="21">
        <v>7365.7510000000002</v>
      </c>
      <c r="V202" s="21">
        <v>7347.3370000000004</v>
      </c>
      <c r="W202" s="21">
        <v>8301.4519999999993</v>
      </c>
      <c r="X202" s="21">
        <v>8315.68</v>
      </c>
      <c r="Y202" s="21">
        <v>8779.0059999999994</v>
      </c>
      <c r="Z202" s="21">
        <v>9493.2389999999996</v>
      </c>
      <c r="AA202" s="21">
        <v>10036.504000000001</v>
      </c>
      <c r="AB202" s="21">
        <v>10531.371999999999</v>
      </c>
      <c r="AC202" s="21">
        <v>10701.72</v>
      </c>
      <c r="AD202" s="21">
        <v>10480.365</v>
      </c>
      <c r="AE202" s="21">
        <v>10493.085999999999</v>
      </c>
      <c r="AF202" s="21">
        <v>10318.099</v>
      </c>
      <c r="AG202" s="21">
        <v>10177.82</v>
      </c>
      <c r="AH202" s="21">
        <v>10303.188</v>
      </c>
      <c r="AI202" s="21">
        <v>10480.531000000001</v>
      </c>
      <c r="AJ202" s="21">
        <v>10639.4</v>
      </c>
      <c r="AK202" s="21">
        <v>10827.189</v>
      </c>
      <c r="AL202" s="21">
        <v>11102.507</v>
      </c>
      <c r="AM202" s="21">
        <v>11463.5</v>
      </c>
      <c r="AN202" s="21">
        <v>11694.791999999999</v>
      </c>
      <c r="AO202" s="21">
        <v>11181.710999999999</v>
      </c>
      <c r="AP202" s="21">
        <v>12375.255999999999</v>
      </c>
      <c r="AQ202" s="21">
        <v>13451.904</v>
      </c>
      <c r="AR202" s="21">
        <v>14516.636</v>
      </c>
      <c r="AS202" s="21">
        <v>15711.977000000001</v>
      </c>
      <c r="AT202" s="21">
        <v>16909.946</v>
      </c>
      <c r="AU202" s="21">
        <v>18156.153999999999</v>
      </c>
      <c r="AV202" s="21">
        <v>19448.794000000002</v>
      </c>
      <c r="AW202" s="21">
        <v>20794.55</v>
      </c>
      <c r="AX202" s="21">
        <v>22208.679</v>
      </c>
      <c r="AY202">
        <v>2012</v>
      </c>
    </row>
    <row r="203" spans="1:51" x14ac:dyDescent="0.25">
      <c r="A203">
        <v>662</v>
      </c>
      <c r="B203" t="s">
        <v>422</v>
      </c>
      <c r="C203" t="s">
        <v>286</v>
      </c>
      <c r="D203" t="s">
        <v>86</v>
      </c>
      <c r="E203" t="s">
        <v>287</v>
      </c>
      <c r="F203" t="s">
        <v>288</v>
      </c>
      <c r="G203" t="s">
        <v>282</v>
      </c>
      <c r="H203" t="s">
        <v>283</v>
      </c>
      <c r="I203" t="s">
        <v>423</v>
      </c>
      <c r="J203" s="21">
        <v>2121.1480000000001</v>
      </c>
      <c r="K203" s="21">
        <v>2260.9839999999999</v>
      </c>
      <c r="L203" s="21">
        <v>2453.2820000000002</v>
      </c>
      <c r="M203" s="21">
        <v>2567.181</v>
      </c>
      <c r="N203" s="21">
        <v>2934.8789999999999</v>
      </c>
      <c r="O203" s="21">
        <v>3077.8780000000002</v>
      </c>
      <c r="P203" s="21">
        <v>3175.5770000000002</v>
      </c>
      <c r="Q203" s="21">
        <v>3031.6779999999999</v>
      </c>
      <c r="R203" s="21">
        <v>3036.4780000000001</v>
      </c>
      <c r="S203" s="21">
        <v>3112.6770000000001</v>
      </c>
      <c r="T203" s="21">
        <v>2939.3789999999999</v>
      </c>
      <c r="U203" s="21">
        <v>2960.0790000000002</v>
      </c>
      <c r="V203" s="21">
        <v>2952.0790000000002</v>
      </c>
      <c r="W203" s="21">
        <v>3127.723</v>
      </c>
      <c r="X203" s="21">
        <v>4615.6930000000002</v>
      </c>
      <c r="Y203" s="21">
        <v>5490.6660000000002</v>
      </c>
      <c r="Z203" s="21">
        <v>6209.81</v>
      </c>
      <c r="AA203" s="21">
        <v>6841.8559999999998</v>
      </c>
      <c r="AB203" s="21">
        <v>7440.4920000000002</v>
      </c>
      <c r="AC203" s="21">
        <v>7620.2860000000001</v>
      </c>
      <c r="AD203" s="21">
        <v>7630.2659999999996</v>
      </c>
      <c r="AE203" s="21">
        <v>8204.5779999999995</v>
      </c>
      <c r="AF203" s="21">
        <v>8605.6569999999992</v>
      </c>
      <c r="AG203" s="21">
        <v>8896.2019999999993</v>
      </c>
      <c r="AH203" s="21">
        <v>8745.4599999999991</v>
      </c>
      <c r="AI203" s="21">
        <v>9011.7549999999992</v>
      </c>
      <c r="AJ203" s="21">
        <v>9307.9079999999994</v>
      </c>
      <c r="AK203" s="21">
        <v>9750.0290000000005</v>
      </c>
      <c r="AL203" s="21">
        <v>10848.04</v>
      </c>
      <c r="AM203" s="21">
        <v>11463.5</v>
      </c>
      <c r="AN203" s="21">
        <v>12324.723</v>
      </c>
      <c r="AO203" s="21">
        <v>11976.725</v>
      </c>
      <c r="AP203" s="21">
        <v>13834.566000000001</v>
      </c>
      <c r="AQ203" s="21">
        <v>15345.885</v>
      </c>
      <c r="AR203" s="21">
        <v>16655.449000000001</v>
      </c>
      <c r="AS203" s="21">
        <v>18445.508000000002</v>
      </c>
      <c r="AT203" s="21">
        <v>20182.536</v>
      </c>
      <c r="AU203" s="21">
        <v>22076.053</v>
      </c>
      <c r="AV203" s="21">
        <v>24118.958999999999</v>
      </c>
      <c r="AW203" s="21">
        <v>26293.760999999999</v>
      </c>
      <c r="AX203" s="21">
        <v>28639.01</v>
      </c>
      <c r="AY203">
        <v>2012</v>
      </c>
    </row>
    <row r="204" spans="1:51" x14ac:dyDescent="0.25">
      <c r="A204">
        <v>662</v>
      </c>
      <c r="B204" t="s">
        <v>422</v>
      </c>
      <c r="C204" t="s">
        <v>289</v>
      </c>
      <c r="D204" t="s">
        <v>86</v>
      </c>
      <c r="E204" t="s">
        <v>287</v>
      </c>
      <c r="F204" t="s">
        <v>290</v>
      </c>
      <c r="G204" t="s">
        <v>291</v>
      </c>
      <c r="H204" t="s">
        <v>283</v>
      </c>
      <c r="I204" t="s">
        <v>292</v>
      </c>
      <c r="J204">
        <v>10.039999999999999</v>
      </c>
      <c r="K204">
        <v>8.3209999999999997</v>
      </c>
      <c r="L204">
        <v>7.4660000000000002</v>
      </c>
      <c r="M204">
        <v>6.7370000000000001</v>
      </c>
      <c r="N204">
        <v>6.7169999999999996</v>
      </c>
      <c r="O204">
        <v>6.851</v>
      </c>
      <c r="P204">
        <v>9.17</v>
      </c>
      <c r="Q204">
        <v>10.087999999999999</v>
      </c>
      <c r="R204">
        <v>10.195</v>
      </c>
      <c r="S204">
        <v>9.7569999999999997</v>
      </c>
      <c r="T204">
        <v>10.795999999999999</v>
      </c>
      <c r="U204">
        <v>10.493</v>
      </c>
      <c r="V204">
        <v>11.153</v>
      </c>
      <c r="W204">
        <v>11.045999999999999</v>
      </c>
      <c r="X204">
        <v>8.3140000000000001</v>
      </c>
      <c r="Y204">
        <v>11.000999999999999</v>
      </c>
      <c r="Z204">
        <v>12.138</v>
      </c>
      <c r="AA204">
        <v>11.831</v>
      </c>
      <c r="AB204">
        <v>12.682</v>
      </c>
      <c r="AC204">
        <v>12.393000000000001</v>
      </c>
      <c r="AD204">
        <v>10.747999999999999</v>
      </c>
      <c r="AE204">
        <v>11.202</v>
      </c>
      <c r="AF204">
        <v>12.39</v>
      </c>
      <c r="AG204">
        <v>15.336</v>
      </c>
      <c r="AH204">
        <v>16.576000000000001</v>
      </c>
      <c r="AI204">
        <v>17.114999999999998</v>
      </c>
      <c r="AJ204">
        <v>17.817</v>
      </c>
      <c r="AK204">
        <v>20.373000000000001</v>
      </c>
      <c r="AL204">
        <v>24.338999999999999</v>
      </c>
      <c r="AM204">
        <v>24.341000000000001</v>
      </c>
      <c r="AN204">
        <v>24.931000000000001</v>
      </c>
      <c r="AO204">
        <v>25.405000000000001</v>
      </c>
      <c r="AP204">
        <v>27.114000000000001</v>
      </c>
      <c r="AQ204">
        <v>31.071999999999999</v>
      </c>
      <c r="AR204">
        <v>33.741</v>
      </c>
      <c r="AS204">
        <v>31.27</v>
      </c>
      <c r="AT204">
        <v>34.283999999999999</v>
      </c>
      <c r="AU204">
        <v>37.908000000000001</v>
      </c>
      <c r="AV204">
        <v>41.84</v>
      </c>
      <c r="AW204">
        <v>45.956000000000003</v>
      </c>
      <c r="AX204">
        <v>50.86</v>
      </c>
      <c r="AY204">
        <v>2012</v>
      </c>
    </row>
    <row r="205" spans="1:51" x14ac:dyDescent="0.25">
      <c r="A205">
        <v>662</v>
      </c>
      <c r="B205" t="s">
        <v>422</v>
      </c>
      <c r="C205" t="s">
        <v>293</v>
      </c>
      <c r="D205" t="s">
        <v>86</v>
      </c>
      <c r="E205" t="s">
        <v>294</v>
      </c>
      <c r="F205" t="s">
        <v>295</v>
      </c>
      <c r="G205" t="s">
        <v>296</v>
      </c>
      <c r="I205" t="s">
        <v>297</v>
      </c>
      <c r="J205">
        <v>31.760999999999999</v>
      </c>
      <c r="K205">
        <v>32.71</v>
      </c>
      <c r="L205">
        <v>35.421999999999997</v>
      </c>
      <c r="M205">
        <v>38.017000000000003</v>
      </c>
      <c r="N205">
        <v>44.348999999999997</v>
      </c>
      <c r="O205">
        <v>44.893000000000001</v>
      </c>
      <c r="P205">
        <v>44.197000000000003</v>
      </c>
      <c r="Q205">
        <v>42.405999999999999</v>
      </c>
      <c r="R205">
        <v>41.994999999999997</v>
      </c>
      <c r="S205">
        <v>41.814999999999998</v>
      </c>
      <c r="T205">
        <v>39.921999999999997</v>
      </c>
      <c r="U205">
        <v>40.186999999999998</v>
      </c>
      <c r="V205">
        <v>40.179000000000002</v>
      </c>
      <c r="W205">
        <v>37.677</v>
      </c>
      <c r="X205">
        <v>55.506</v>
      </c>
      <c r="Y205">
        <v>62.542999999999999</v>
      </c>
      <c r="Z205">
        <v>65.412999999999997</v>
      </c>
      <c r="AA205">
        <v>68.17</v>
      </c>
      <c r="AB205">
        <v>70.650999999999996</v>
      </c>
      <c r="AC205">
        <v>71.206000000000003</v>
      </c>
      <c r="AD205">
        <v>72.805000000000007</v>
      </c>
      <c r="AE205">
        <v>78.19</v>
      </c>
      <c r="AF205">
        <v>83.403999999999996</v>
      </c>
      <c r="AG205">
        <v>87.408000000000001</v>
      </c>
      <c r="AH205">
        <v>84.881</v>
      </c>
      <c r="AI205">
        <v>85.986000000000004</v>
      </c>
      <c r="AJ205">
        <v>87.484999999999999</v>
      </c>
      <c r="AK205">
        <v>90.051000000000002</v>
      </c>
      <c r="AL205">
        <v>97.707999999999998</v>
      </c>
      <c r="AM205">
        <v>100</v>
      </c>
      <c r="AN205">
        <v>105.386</v>
      </c>
      <c r="AO205">
        <v>107.11</v>
      </c>
      <c r="AP205">
        <v>111.792</v>
      </c>
      <c r="AQ205">
        <v>114.08</v>
      </c>
      <c r="AR205">
        <v>114.73399999999999</v>
      </c>
      <c r="AS205">
        <v>117.398</v>
      </c>
      <c r="AT205">
        <v>119.35299999999999</v>
      </c>
      <c r="AU205">
        <v>121.59</v>
      </c>
      <c r="AV205">
        <v>124.01300000000001</v>
      </c>
      <c r="AW205">
        <v>126.44499999999999</v>
      </c>
      <c r="AX205">
        <v>128.95400000000001</v>
      </c>
      <c r="AY205">
        <v>2012</v>
      </c>
    </row>
    <row r="206" spans="1:51" x14ac:dyDescent="0.25">
      <c r="A206">
        <v>662</v>
      </c>
      <c r="B206" t="s">
        <v>422</v>
      </c>
      <c r="C206" t="s">
        <v>298</v>
      </c>
      <c r="D206" t="s">
        <v>86</v>
      </c>
      <c r="E206" t="s">
        <v>299</v>
      </c>
      <c r="F206" t="s">
        <v>300</v>
      </c>
      <c r="G206" t="s">
        <v>282</v>
      </c>
      <c r="H206" t="s">
        <v>283</v>
      </c>
      <c r="I206" t="s">
        <v>424</v>
      </c>
      <c r="J206" t="s">
        <v>285</v>
      </c>
      <c r="K206" t="s">
        <v>285</v>
      </c>
      <c r="L206" t="s">
        <v>285</v>
      </c>
      <c r="M206" t="s">
        <v>285</v>
      </c>
      <c r="N206" t="s">
        <v>285</v>
      </c>
      <c r="O206" t="s">
        <v>285</v>
      </c>
      <c r="P206" t="s">
        <v>285</v>
      </c>
      <c r="Q206" t="s">
        <v>285</v>
      </c>
      <c r="R206" t="s">
        <v>285</v>
      </c>
      <c r="S206" t="s">
        <v>285</v>
      </c>
      <c r="T206" t="s">
        <v>285</v>
      </c>
      <c r="U206" t="s">
        <v>285</v>
      </c>
      <c r="V206" t="s">
        <v>285</v>
      </c>
      <c r="W206" t="s">
        <v>285</v>
      </c>
      <c r="X206" t="s">
        <v>285</v>
      </c>
      <c r="Y206" t="s">
        <v>285</v>
      </c>
      <c r="Z206" t="s">
        <v>285</v>
      </c>
      <c r="AA206" s="21">
        <v>1434.89</v>
      </c>
      <c r="AB206" s="21">
        <v>1497.982</v>
      </c>
      <c r="AC206" s="21">
        <v>1439.7</v>
      </c>
      <c r="AD206" s="21">
        <v>1358.2</v>
      </c>
      <c r="AE206" s="21">
        <v>1297.3</v>
      </c>
      <c r="AF206" s="21">
        <v>1558.0530000000001</v>
      </c>
      <c r="AG206" s="21">
        <v>1558.6210000000001</v>
      </c>
      <c r="AH206" s="21">
        <v>1632.9549999999999</v>
      </c>
      <c r="AI206" s="21">
        <v>1693.6980000000001</v>
      </c>
      <c r="AJ206" s="21">
        <v>1867.7139999999999</v>
      </c>
      <c r="AK206" s="21">
        <v>1916.14</v>
      </c>
      <c r="AL206" s="21">
        <v>2199.4899999999998</v>
      </c>
      <c r="AM206" s="21">
        <v>2279.4929999999999</v>
      </c>
      <c r="AN206" s="21">
        <v>2464.357</v>
      </c>
      <c r="AO206" s="21">
        <v>2209.5949999999998</v>
      </c>
      <c r="AP206" s="21">
        <v>3051.7510000000002</v>
      </c>
      <c r="AQ206" s="21">
        <v>3385.5839999999998</v>
      </c>
      <c r="AR206" s="21">
        <v>3866.069</v>
      </c>
      <c r="AS206" s="21">
        <v>4183.0630000000001</v>
      </c>
      <c r="AT206" s="21">
        <v>4628.1310000000003</v>
      </c>
      <c r="AU206" s="21">
        <v>5132.0529999999999</v>
      </c>
      <c r="AV206" s="21">
        <v>5607.9920000000002</v>
      </c>
      <c r="AW206" s="21">
        <v>6160.8760000000002</v>
      </c>
      <c r="AX206" s="21">
        <v>6638.5439999999999</v>
      </c>
      <c r="AY206">
        <v>2014</v>
      </c>
    </row>
    <row r="207" spans="1:51" ht="14.45" x14ac:dyDescent="0.35">
      <c r="A207">
        <v>960</v>
      </c>
      <c r="B207" t="s">
        <v>425</v>
      </c>
      <c r="C207" t="s">
        <v>279</v>
      </c>
      <c r="D207" t="s">
        <v>87</v>
      </c>
      <c r="E207" t="s">
        <v>280</v>
      </c>
      <c r="F207" t="s">
        <v>281</v>
      </c>
      <c r="G207" t="s">
        <v>282</v>
      </c>
      <c r="H207" t="s">
        <v>283</v>
      </c>
      <c r="I207" t="s">
        <v>426</v>
      </c>
      <c r="J207" t="s">
        <v>285</v>
      </c>
      <c r="K207" t="s">
        <v>285</v>
      </c>
      <c r="L207" t="s">
        <v>285</v>
      </c>
      <c r="M207" t="s">
        <v>285</v>
      </c>
      <c r="N207" t="s">
        <v>285</v>
      </c>
      <c r="O207" t="s">
        <v>285</v>
      </c>
      <c r="P207" t="s">
        <v>285</v>
      </c>
      <c r="Q207" t="s">
        <v>285</v>
      </c>
      <c r="R207" t="s">
        <v>285</v>
      </c>
      <c r="S207" t="s">
        <v>285</v>
      </c>
      <c r="T207" t="s">
        <v>285</v>
      </c>
      <c r="U207" t="s">
        <v>285</v>
      </c>
      <c r="V207">
        <v>209.67699999999999</v>
      </c>
      <c r="W207">
        <v>192.90299999999999</v>
      </c>
      <c r="X207">
        <v>204.28399999999999</v>
      </c>
      <c r="Y207">
        <v>217.83600000000001</v>
      </c>
      <c r="Z207">
        <v>230.54900000000001</v>
      </c>
      <c r="AA207">
        <v>242.91</v>
      </c>
      <c r="AB207">
        <v>249.04</v>
      </c>
      <c r="AC207">
        <v>246.89699999999999</v>
      </c>
      <c r="AD207">
        <v>257.214</v>
      </c>
      <c r="AE207">
        <v>266.04899999999998</v>
      </c>
      <c r="AF207">
        <v>280.00599999999997</v>
      </c>
      <c r="AG207">
        <v>295.57</v>
      </c>
      <c r="AH207">
        <v>307.63799999999998</v>
      </c>
      <c r="AI207">
        <v>320.447</v>
      </c>
      <c r="AJ207">
        <v>335.78</v>
      </c>
      <c r="AK207">
        <v>353.07299999999998</v>
      </c>
      <c r="AL207">
        <v>360.32400000000001</v>
      </c>
      <c r="AM207">
        <v>333.71899999999999</v>
      </c>
      <c r="AN207">
        <v>328.04</v>
      </c>
      <c r="AO207">
        <v>327.11799999999999</v>
      </c>
      <c r="AP207">
        <v>319.96199999999999</v>
      </c>
      <c r="AQ207">
        <v>316.55900000000003</v>
      </c>
      <c r="AR207">
        <v>315.41699999999997</v>
      </c>
      <c r="AS207">
        <v>317.97399999999999</v>
      </c>
      <c r="AT207">
        <v>321.12200000000001</v>
      </c>
      <c r="AU207">
        <v>326.45299999999997</v>
      </c>
      <c r="AV207">
        <v>333.14499999999998</v>
      </c>
      <c r="AW207">
        <v>339.74099999999999</v>
      </c>
      <c r="AX207">
        <v>345.89</v>
      </c>
      <c r="AY207">
        <v>2014</v>
      </c>
    </row>
    <row r="208" spans="1:51" ht="14.45" x14ac:dyDescent="0.35">
      <c r="A208">
        <v>960</v>
      </c>
      <c r="B208" t="s">
        <v>425</v>
      </c>
      <c r="C208" t="s">
        <v>286</v>
      </c>
      <c r="D208" t="s">
        <v>87</v>
      </c>
      <c r="E208" t="s">
        <v>287</v>
      </c>
      <c r="F208" t="s">
        <v>288</v>
      </c>
      <c r="G208" t="s">
        <v>282</v>
      </c>
      <c r="H208" t="s">
        <v>283</v>
      </c>
      <c r="I208" t="s">
        <v>426</v>
      </c>
      <c r="J208" t="s">
        <v>285</v>
      </c>
      <c r="K208" t="s">
        <v>285</v>
      </c>
      <c r="L208" t="s">
        <v>285</v>
      </c>
      <c r="M208" t="s">
        <v>285</v>
      </c>
      <c r="N208" t="s">
        <v>285</v>
      </c>
      <c r="O208" t="s">
        <v>285</v>
      </c>
      <c r="P208" t="s">
        <v>285</v>
      </c>
      <c r="Q208" t="s">
        <v>285</v>
      </c>
      <c r="R208" t="s">
        <v>285</v>
      </c>
      <c r="S208" t="s">
        <v>285</v>
      </c>
      <c r="T208" t="s">
        <v>285</v>
      </c>
      <c r="U208" t="s">
        <v>285</v>
      </c>
      <c r="V208">
        <v>3.2210000000000001</v>
      </c>
      <c r="W208">
        <v>46.415999999999997</v>
      </c>
      <c r="X208">
        <v>104.059</v>
      </c>
      <c r="Y208">
        <v>117.07899999999999</v>
      </c>
      <c r="Z208">
        <v>128.56700000000001</v>
      </c>
      <c r="AA208">
        <v>125.286</v>
      </c>
      <c r="AB208">
        <v>139.244</v>
      </c>
      <c r="AC208">
        <v>143.267</v>
      </c>
      <c r="AD208">
        <v>180.24100000000001</v>
      </c>
      <c r="AE208">
        <v>194.27</v>
      </c>
      <c r="AF208">
        <v>211.58</v>
      </c>
      <c r="AG208">
        <v>232.38200000000001</v>
      </c>
      <c r="AH208">
        <v>250.87299999999999</v>
      </c>
      <c r="AI208">
        <v>270.19099999999997</v>
      </c>
      <c r="AJ208">
        <v>294.43700000000001</v>
      </c>
      <c r="AK208">
        <v>322.30900000000003</v>
      </c>
      <c r="AL208">
        <v>347.68400000000003</v>
      </c>
      <c r="AM208">
        <v>330.96499999999997</v>
      </c>
      <c r="AN208">
        <v>328.04</v>
      </c>
      <c r="AO208">
        <v>332.58699999999999</v>
      </c>
      <c r="AP208">
        <v>330.45499999999998</v>
      </c>
      <c r="AQ208">
        <v>329.572</v>
      </c>
      <c r="AR208">
        <v>328.43099999999998</v>
      </c>
      <c r="AS208">
        <v>332.04</v>
      </c>
      <c r="AT208">
        <v>339.16300000000001</v>
      </c>
      <c r="AU208">
        <v>350.291</v>
      </c>
      <c r="AV208">
        <v>364.28300000000002</v>
      </c>
      <c r="AW208">
        <v>379.71800000000002</v>
      </c>
      <c r="AX208">
        <v>395.13499999999999</v>
      </c>
      <c r="AY208">
        <v>2014</v>
      </c>
    </row>
    <row r="209" spans="1:51" ht="14.45" x14ac:dyDescent="0.35">
      <c r="A209">
        <v>960</v>
      </c>
      <c r="B209" t="s">
        <v>425</v>
      </c>
      <c r="C209" t="s">
        <v>289</v>
      </c>
      <c r="D209" t="s">
        <v>87</v>
      </c>
      <c r="E209" t="s">
        <v>287</v>
      </c>
      <c r="F209" t="s">
        <v>290</v>
      </c>
      <c r="G209" t="s">
        <v>291</v>
      </c>
      <c r="H209" t="s">
        <v>283</v>
      </c>
      <c r="I209" t="s">
        <v>292</v>
      </c>
      <c r="J209" t="s">
        <v>285</v>
      </c>
      <c r="K209" t="s">
        <v>285</v>
      </c>
      <c r="L209" t="s">
        <v>285</v>
      </c>
      <c r="M209" t="s">
        <v>285</v>
      </c>
      <c r="N209" t="s">
        <v>285</v>
      </c>
      <c r="O209" t="s">
        <v>285</v>
      </c>
      <c r="P209" t="s">
        <v>285</v>
      </c>
      <c r="Q209" t="s">
        <v>285</v>
      </c>
      <c r="R209" t="s">
        <v>285</v>
      </c>
      <c r="S209" t="s">
        <v>285</v>
      </c>
      <c r="T209" t="s">
        <v>285</v>
      </c>
      <c r="U209" t="s">
        <v>285</v>
      </c>
      <c r="V209">
        <v>12.247</v>
      </c>
      <c r="W209">
        <v>12.968</v>
      </c>
      <c r="X209">
        <v>17.349</v>
      </c>
      <c r="Y209">
        <v>22.382999999999999</v>
      </c>
      <c r="Z209">
        <v>23.582000000000001</v>
      </c>
      <c r="AA209">
        <v>20.466000000000001</v>
      </c>
      <c r="AB209">
        <v>21.808</v>
      </c>
      <c r="AC209">
        <v>20.134</v>
      </c>
      <c r="AD209">
        <v>21.773</v>
      </c>
      <c r="AE209">
        <v>23.265000000000001</v>
      </c>
      <c r="AF209">
        <v>26.9</v>
      </c>
      <c r="AG209">
        <v>34.734000000000002</v>
      </c>
      <c r="AH209">
        <v>41.619</v>
      </c>
      <c r="AI209">
        <v>45.378999999999998</v>
      </c>
      <c r="AJ209">
        <v>50.448</v>
      </c>
      <c r="AK209">
        <v>60.125</v>
      </c>
      <c r="AL209">
        <v>70.453000000000003</v>
      </c>
      <c r="AM209">
        <v>62.661999999999999</v>
      </c>
      <c r="AN209">
        <v>59.610999999999997</v>
      </c>
      <c r="AO209">
        <v>62.171999999999997</v>
      </c>
      <c r="AP209">
        <v>56.484000000000002</v>
      </c>
      <c r="AQ209">
        <v>57.75</v>
      </c>
      <c r="AR209">
        <v>57.073</v>
      </c>
      <c r="AS209">
        <v>48.932000000000002</v>
      </c>
      <c r="AT209">
        <v>50.04</v>
      </c>
      <c r="AU209">
        <v>52.194000000000003</v>
      </c>
      <c r="AV209">
        <v>54.918999999999997</v>
      </c>
      <c r="AW209">
        <v>57.948</v>
      </c>
      <c r="AX209">
        <v>61.381</v>
      </c>
      <c r="AY209">
        <v>2014</v>
      </c>
    </row>
    <row r="210" spans="1:51" ht="14.45" x14ac:dyDescent="0.35">
      <c r="A210">
        <v>960</v>
      </c>
      <c r="B210" t="s">
        <v>425</v>
      </c>
      <c r="C210" t="s">
        <v>293</v>
      </c>
      <c r="D210" t="s">
        <v>87</v>
      </c>
      <c r="E210" t="s">
        <v>294</v>
      </c>
      <c r="F210" t="s">
        <v>295</v>
      </c>
      <c r="G210" t="s">
        <v>296</v>
      </c>
      <c r="I210" t="s">
        <v>297</v>
      </c>
      <c r="J210" t="s">
        <v>285</v>
      </c>
      <c r="K210" t="s">
        <v>285</v>
      </c>
      <c r="L210" t="s">
        <v>285</v>
      </c>
      <c r="M210" t="s">
        <v>285</v>
      </c>
      <c r="N210" t="s">
        <v>285</v>
      </c>
      <c r="O210" t="s">
        <v>285</v>
      </c>
      <c r="P210" t="s">
        <v>285</v>
      </c>
      <c r="Q210" t="s">
        <v>285</v>
      </c>
      <c r="R210" t="s">
        <v>285</v>
      </c>
      <c r="S210" t="s">
        <v>285</v>
      </c>
      <c r="T210" t="s">
        <v>285</v>
      </c>
      <c r="U210" t="s">
        <v>285</v>
      </c>
      <c r="V210">
        <v>1.536</v>
      </c>
      <c r="W210">
        <v>24.062000000000001</v>
      </c>
      <c r="X210">
        <v>50.938000000000002</v>
      </c>
      <c r="Y210">
        <v>53.746000000000002</v>
      </c>
      <c r="Z210">
        <v>55.765999999999998</v>
      </c>
      <c r="AA210">
        <v>51.576999999999998</v>
      </c>
      <c r="AB210">
        <v>55.911999999999999</v>
      </c>
      <c r="AC210">
        <v>58.027000000000001</v>
      </c>
      <c r="AD210">
        <v>70.073999999999998</v>
      </c>
      <c r="AE210">
        <v>73.02</v>
      </c>
      <c r="AF210">
        <v>75.563000000000002</v>
      </c>
      <c r="AG210">
        <v>78.622</v>
      </c>
      <c r="AH210">
        <v>81.548000000000002</v>
      </c>
      <c r="AI210">
        <v>84.316999999999993</v>
      </c>
      <c r="AJ210">
        <v>87.686999999999998</v>
      </c>
      <c r="AK210">
        <v>91.287000000000006</v>
      </c>
      <c r="AL210">
        <v>96.492000000000004</v>
      </c>
      <c r="AM210">
        <v>99.174999999999997</v>
      </c>
      <c r="AN210">
        <v>100</v>
      </c>
      <c r="AO210">
        <v>101.672</v>
      </c>
      <c r="AP210">
        <v>103.279</v>
      </c>
      <c r="AQ210">
        <v>104.111</v>
      </c>
      <c r="AR210">
        <v>104.126</v>
      </c>
      <c r="AS210">
        <v>104.42400000000001</v>
      </c>
      <c r="AT210">
        <v>105.61799999999999</v>
      </c>
      <c r="AU210">
        <v>107.30200000000001</v>
      </c>
      <c r="AV210">
        <v>109.34699999999999</v>
      </c>
      <c r="AW210">
        <v>111.767</v>
      </c>
      <c r="AX210">
        <v>114.23699999999999</v>
      </c>
      <c r="AY210">
        <v>2014</v>
      </c>
    </row>
    <row r="211" spans="1:51" ht="14.45" x14ac:dyDescent="0.35">
      <c r="A211">
        <v>960</v>
      </c>
      <c r="B211" t="s">
        <v>425</v>
      </c>
      <c r="C211" t="s">
        <v>298</v>
      </c>
      <c r="D211" t="s">
        <v>87</v>
      </c>
      <c r="E211" t="s">
        <v>299</v>
      </c>
      <c r="F211" t="s">
        <v>300</v>
      </c>
      <c r="G211" t="s">
        <v>282</v>
      </c>
      <c r="H211" t="s">
        <v>283</v>
      </c>
      <c r="I211" t="s">
        <v>427</v>
      </c>
      <c r="J211" t="s">
        <v>285</v>
      </c>
      <c r="K211" t="s">
        <v>285</v>
      </c>
      <c r="L211" t="s">
        <v>285</v>
      </c>
      <c r="M211" t="s">
        <v>285</v>
      </c>
      <c r="N211" t="s">
        <v>285</v>
      </c>
      <c r="O211" t="s">
        <v>285</v>
      </c>
      <c r="P211" t="s">
        <v>285</v>
      </c>
      <c r="Q211" t="s">
        <v>285</v>
      </c>
      <c r="R211" t="s">
        <v>285</v>
      </c>
      <c r="S211" t="s">
        <v>285</v>
      </c>
      <c r="T211" t="s">
        <v>285</v>
      </c>
      <c r="U211" t="s">
        <v>285</v>
      </c>
      <c r="V211">
        <v>0.97699999999999998</v>
      </c>
      <c r="W211">
        <v>13.645</v>
      </c>
      <c r="X211">
        <v>38.597999999999999</v>
      </c>
      <c r="Y211">
        <v>48.14</v>
      </c>
      <c r="Z211">
        <v>54.784999999999997</v>
      </c>
      <c r="AA211">
        <v>61.981999999999999</v>
      </c>
      <c r="AB211">
        <v>75.155000000000001</v>
      </c>
      <c r="AC211">
        <v>80.13</v>
      </c>
      <c r="AD211">
        <v>80.397000000000006</v>
      </c>
      <c r="AE211">
        <v>83.924000000000007</v>
      </c>
      <c r="AF211">
        <v>101.188</v>
      </c>
      <c r="AG211">
        <v>108.63200000000001</v>
      </c>
      <c r="AH211">
        <v>117.011</v>
      </c>
      <c r="AI211">
        <v>121.688</v>
      </c>
      <c r="AJ211">
        <v>132.27099999999999</v>
      </c>
      <c r="AK211">
        <v>144.083</v>
      </c>
      <c r="AL211">
        <v>154.179</v>
      </c>
      <c r="AM211">
        <v>156.142</v>
      </c>
      <c r="AN211">
        <v>153.578</v>
      </c>
      <c r="AO211">
        <v>161.24700000000001</v>
      </c>
      <c r="AP211">
        <v>155.29400000000001</v>
      </c>
      <c r="AQ211">
        <v>157.584</v>
      </c>
      <c r="AR211">
        <v>157.91399999999999</v>
      </c>
      <c r="AS211">
        <v>161.178</v>
      </c>
      <c r="AT211">
        <v>165.24600000000001</v>
      </c>
      <c r="AU211">
        <v>170.51300000000001</v>
      </c>
      <c r="AV211">
        <v>177.18600000000001</v>
      </c>
      <c r="AW211">
        <v>187.23599999999999</v>
      </c>
      <c r="AX211">
        <v>195.93199999999999</v>
      </c>
      <c r="AY211">
        <v>2014</v>
      </c>
    </row>
    <row r="212" spans="1:51" ht="14.45" x14ac:dyDescent="0.35">
      <c r="A212">
        <v>423</v>
      </c>
      <c r="B212" t="s">
        <v>428</v>
      </c>
      <c r="C212" t="s">
        <v>279</v>
      </c>
      <c r="D212" t="s">
        <v>89</v>
      </c>
      <c r="E212" t="s">
        <v>280</v>
      </c>
      <c r="F212" t="s">
        <v>281</v>
      </c>
      <c r="G212" t="s">
        <v>282</v>
      </c>
      <c r="H212" t="s">
        <v>283</v>
      </c>
      <c r="I212" t="s">
        <v>429</v>
      </c>
      <c r="J212">
        <v>4.3010000000000002</v>
      </c>
      <c r="K212">
        <v>4.4320000000000004</v>
      </c>
      <c r="L212">
        <v>4.7110000000000003</v>
      </c>
      <c r="M212">
        <v>4.9610000000000003</v>
      </c>
      <c r="N212">
        <v>5.399</v>
      </c>
      <c r="O212">
        <v>5.6550000000000002</v>
      </c>
      <c r="P212">
        <v>5.8579999999999997</v>
      </c>
      <c r="Q212">
        <v>6.2759999999999998</v>
      </c>
      <c r="R212">
        <v>6.798</v>
      </c>
      <c r="S212">
        <v>7.3479999999999999</v>
      </c>
      <c r="T212">
        <v>7.8920000000000003</v>
      </c>
      <c r="U212">
        <v>7.95</v>
      </c>
      <c r="V212">
        <v>8.6950000000000003</v>
      </c>
      <c r="W212">
        <v>8.7560000000000002</v>
      </c>
      <c r="X212">
        <v>9.2720000000000002</v>
      </c>
      <c r="Y212">
        <v>10.193</v>
      </c>
      <c r="Z212">
        <v>10.358000000000001</v>
      </c>
      <c r="AA212">
        <v>10.606999999999999</v>
      </c>
      <c r="AB212">
        <v>11.147</v>
      </c>
      <c r="AC212">
        <v>11.669</v>
      </c>
      <c r="AD212">
        <v>12.332000000000001</v>
      </c>
      <c r="AE212">
        <v>12.772</v>
      </c>
      <c r="AF212">
        <v>13.183999999999999</v>
      </c>
      <c r="AG212">
        <v>13.551</v>
      </c>
      <c r="AH212">
        <v>14.145</v>
      </c>
      <c r="AI212">
        <v>14.691000000000001</v>
      </c>
      <c r="AJ212">
        <v>15.355</v>
      </c>
      <c r="AK212">
        <v>16.106000000000002</v>
      </c>
      <c r="AL212">
        <v>16.689</v>
      </c>
      <c r="AM212">
        <v>16.349</v>
      </c>
      <c r="AN212">
        <v>16.576000000000001</v>
      </c>
      <c r="AO212">
        <v>16.619</v>
      </c>
      <c r="AP212">
        <v>16.222999999999999</v>
      </c>
      <c r="AQ212">
        <v>15.353999999999999</v>
      </c>
      <c r="AR212">
        <v>15.007999999999999</v>
      </c>
      <c r="AS212">
        <v>15.074999999999999</v>
      </c>
      <c r="AT212">
        <v>15.288</v>
      </c>
      <c r="AU212">
        <v>15.593</v>
      </c>
      <c r="AV212">
        <v>15.936999999999999</v>
      </c>
      <c r="AW212">
        <v>16.274999999999999</v>
      </c>
      <c r="AX212">
        <v>16.573</v>
      </c>
      <c r="AY212">
        <v>2014</v>
      </c>
    </row>
    <row r="213" spans="1:51" ht="14.45" x14ac:dyDescent="0.35">
      <c r="A213">
        <v>423</v>
      </c>
      <c r="B213" t="s">
        <v>428</v>
      </c>
      <c r="C213" t="s">
        <v>286</v>
      </c>
      <c r="D213" t="s">
        <v>89</v>
      </c>
      <c r="E213" t="s">
        <v>287</v>
      </c>
      <c r="F213" t="s">
        <v>288</v>
      </c>
      <c r="G213" t="s">
        <v>282</v>
      </c>
      <c r="H213" t="s">
        <v>283</v>
      </c>
      <c r="I213" t="s">
        <v>429</v>
      </c>
      <c r="J213">
        <v>1.393</v>
      </c>
      <c r="K213">
        <v>1.6040000000000001</v>
      </c>
      <c r="L213">
        <v>1.877</v>
      </c>
      <c r="M213">
        <v>2.0819999999999999</v>
      </c>
      <c r="N213">
        <v>2.4489999999999998</v>
      </c>
      <c r="O213">
        <v>2.714</v>
      </c>
      <c r="P213">
        <v>2.93</v>
      </c>
      <c r="Q213">
        <v>3.262</v>
      </c>
      <c r="R213">
        <v>3.649</v>
      </c>
      <c r="S213">
        <v>4.1319999999999997</v>
      </c>
      <c r="T213">
        <v>4.68</v>
      </c>
      <c r="U213">
        <v>4.8979999999999997</v>
      </c>
      <c r="V213">
        <v>5.6829999999999998</v>
      </c>
      <c r="W213">
        <v>6.0170000000000003</v>
      </c>
      <c r="X213">
        <v>6.7089999999999996</v>
      </c>
      <c r="Y213">
        <v>7.6639999999999997</v>
      </c>
      <c r="Z213">
        <v>7.9619999999999997</v>
      </c>
      <c r="AA213">
        <v>8.3360000000000003</v>
      </c>
      <c r="AB213">
        <v>9.0259999999999998</v>
      </c>
      <c r="AC213">
        <v>9.6809999999999992</v>
      </c>
      <c r="AD213">
        <v>10.535</v>
      </c>
      <c r="AE213">
        <v>11.340999999999999</v>
      </c>
      <c r="AF213">
        <v>11.8</v>
      </c>
      <c r="AG213">
        <v>12.755000000000001</v>
      </c>
      <c r="AH213">
        <v>13.731999999999999</v>
      </c>
      <c r="AI213">
        <v>14.691000000000001</v>
      </c>
      <c r="AJ213">
        <v>15.837</v>
      </c>
      <c r="AK213">
        <v>17.327999999999999</v>
      </c>
      <c r="AL213">
        <v>18.768999999999998</v>
      </c>
      <c r="AM213">
        <v>18.422999999999998</v>
      </c>
      <c r="AN213">
        <v>19.062999999999999</v>
      </c>
      <c r="AO213">
        <v>19.486999999999998</v>
      </c>
      <c r="AP213">
        <v>19.411000000000001</v>
      </c>
      <c r="AQ213">
        <v>18.119</v>
      </c>
      <c r="AR213">
        <v>17.506</v>
      </c>
      <c r="AS213">
        <v>17.422000000000001</v>
      </c>
      <c r="AT213">
        <v>17.795999999999999</v>
      </c>
      <c r="AU213">
        <v>18.373999999999999</v>
      </c>
      <c r="AV213">
        <v>19.035</v>
      </c>
      <c r="AW213">
        <v>19.765999999999998</v>
      </c>
      <c r="AX213">
        <v>20.472000000000001</v>
      </c>
      <c r="AY213">
        <v>2014</v>
      </c>
    </row>
    <row r="214" spans="1:51" ht="14.45" x14ac:dyDescent="0.35">
      <c r="A214">
        <v>423</v>
      </c>
      <c r="B214" t="s">
        <v>428</v>
      </c>
      <c r="C214" t="s">
        <v>289</v>
      </c>
      <c r="D214" t="s">
        <v>89</v>
      </c>
      <c r="E214" t="s">
        <v>287</v>
      </c>
      <c r="F214" t="s">
        <v>290</v>
      </c>
      <c r="G214" t="s">
        <v>291</v>
      </c>
      <c r="H214" t="s">
        <v>283</v>
      </c>
      <c r="I214" t="s">
        <v>292</v>
      </c>
      <c r="J214">
        <v>2.31</v>
      </c>
      <c r="K214">
        <v>2.2370000000000001</v>
      </c>
      <c r="L214">
        <v>2.3149999999999999</v>
      </c>
      <c r="M214">
        <v>2.3170000000000002</v>
      </c>
      <c r="N214">
        <v>2.4430000000000001</v>
      </c>
      <c r="O214">
        <v>2.6059999999999999</v>
      </c>
      <c r="P214">
        <v>3.3109999999999999</v>
      </c>
      <c r="Q214">
        <v>3.9710000000000001</v>
      </c>
      <c r="R214">
        <v>4.58</v>
      </c>
      <c r="S214">
        <v>4.8920000000000003</v>
      </c>
      <c r="T214">
        <v>5.992</v>
      </c>
      <c r="U214">
        <v>6.1840000000000002</v>
      </c>
      <c r="V214">
        <v>7.41</v>
      </c>
      <c r="W214">
        <v>7.085</v>
      </c>
      <c r="X214">
        <v>7.9889999999999999</v>
      </c>
      <c r="Y214">
        <v>9.9190000000000005</v>
      </c>
      <c r="Z214">
        <v>9.9930000000000003</v>
      </c>
      <c r="AA214">
        <v>9.5009999999999994</v>
      </c>
      <c r="AB214">
        <v>10.217000000000001</v>
      </c>
      <c r="AC214">
        <v>10.448</v>
      </c>
      <c r="AD214">
        <v>9.9320000000000004</v>
      </c>
      <c r="AE214">
        <v>10.327</v>
      </c>
      <c r="AF214">
        <v>11.347</v>
      </c>
      <c r="AG214">
        <v>14.45</v>
      </c>
      <c r="AH214">
        <v>17.172000000000001</v>
      </c>
      <c r="AI214">
        <v>18.547000000000001</v>
      </c>
      <c r="AJ214">
        <v>20.213000000000001</v>
      </c>
      <c r="AK214">
        <v>23.83</v>
      </c>
      <c r="AL214">
        <v>27.622</v>
      </c>
      <c r="AM214">
        <v>25.66</v>
      </c>
      <c r="AN214">
        <v>25.294</v>
      </c>
      <c r="AO214">
        <v>27.114000000000001</v>
      </c>
      <c r="AP214">
        <v>24.954000000000001</v>
      </c>
      <c r="AQ214">
        <v>24.065000000000001</v>
      </c>
      <c r="AR214">
        <v>23.263000000000002</v>
      </c>
      <c r="AS214">
        <v>19.382999999999999</v>
      </c>
      <c r="AT214">
        <v>19.893999999999998</v>
      </c>
      <c r="AU214">
        <v>20.766999999999999</v>
      </c>
      <c r="AV214">
        <v>21.734999999999999</v>
      </c>
      <c r="AW214">
        <v>22.747</v>
      </c>
      <c r="AX214">
        <v>23.907</v>
      </c>
      <c r="AY214">
        <v>2014</v>
      </c>
    </row>
    <row r="215" spans="1:51" ht="14.45" x14ac:dyDescent="0.35">
      <c r="A215">
        <v>423</v>
      </c>
      <c r="B215" t="s">
        <v>428</v>
      </c>
      <c r="C215" t="s">
        <v>293</v>
      </c>
      <c r="D215" t="s">
        <v>89</v>
      </c>
      <c r="E215" t="s">
        <v>294</v>
      </c>
      <c r="F215" t="s">
        <v>295</v>
      </c>
      <c r="G215" t="s">
        <v>296</v>
      </c>
      <c r="I215" t="s">
        <v>297</v>
      </c>
      <c r="J215">
        <v>32.375999999999998</v>
      </c>
      <c r="K215">
        <v>36.194000000000003</v>
      </c>
      <c r="L215">
        <v>39.844999999999999</v>
      </c>
      <c r="M215">
        <v>41.963999999999999</v>
      </c>
      <c r="N215">
        <v>45.363999999999997</v>
      </c>
      <c r="O215">
        <v>47.997999999999998</v>
      </c>
      <c r="P215">
        <v>50.011000000000003</v>
      </c>
      <c r="Q215">
        <v>51.972000000000001</v>
      </c>
      <c r="R215">
        <v>53.673999999999999</v>
      </c>
      <c r="S215">
        <v>56.232999999999997</v>
      </c>
      <c r="T215">
        <v>59.305999999999997</v>
      </c>
      <c r="U215">
        <v>61.612000000000002</v>
      </c>
      <c r="V215">
        <v>65.355000000000004</v>
      </c>
      <c r="W215">
        <v>68.718000000000004</v>
      </c>
      <c r="X215">
        <v>72.352000000000004</v>
      </c>
      <c r="Y215">
        <v>75.194999999999993</v>
      </c>
      <c r="Z215">
        <v>76.864000000000004</v>
      </c>
      <c r="AA215">
        <v>78.584999999999994</v>
      </c>
      <c r="AB215">
        <v>80.968999999999994</v>
      </c>
      <c r="AC215">
        <v>82.962000000000003</v>
      </c>
      <c r="AD215">
        <v>85.433999999999997</v>
      </c>
      <c r="AE215">
        <v>88.795000000000002</v>
      </c>
      <c r="AF215">
        <v>89.501000000000005</v>
      </c>
      <c r="AG215">
        <v>94.123999999999995</v>
      </c>
      <c r="AH215">
        <v>97.078999999999994</v>
      </c>
      <c r="AI215">
        <v>100</v>
      </c>
      <c r="AJ215">
        <v>103.13800000000001</v>
      </c>
      <c r="AK215">
        <v>107.58499999999999</v>
      </c>
      <c r="AL215">
        <v>112.459</v>
      </c>
      <c r="AM215">
        <v>112.69</v>
      </c>
      <c r="AN215">
        <v>115.004</v>
      </c>
      <c r="AO215">
        <v>117.254</v>
      </c>
      <c r="AP215">
        <v>119.652</v>
      </c>
      <c r="AQ215">
        <v>118.008</v>
      </c>
      <c r="AR215">
        <v>116.65</v>
      </c>
      <c r="AS215">
        <v>115.565</v>
      </c>
      <c r="AT215">
        <v>116.407</v>
      </c>
      <c r="AU215">
        <v>117.83199999999999</v>
      </c>
      <c r="AV215">
        <v>119.444</v>
      </c>
      <c r="AW215">
        <v>121.45099999999999</v>
      </c>
      <c r="AX215">
        <v>123.52800000000001</v>
      </c>
      <c r="AY215">
        <v>2014</v>
      </c>
    </row>
    <row r="216" spans="1:51" ht="14.45" x14ac:dyDescent="0.35">
      <c r="A216">
        <v>423</v>
      </c>
      <c r="B216" t="s">
        <v>428</v>
      </c>
      <c r="C216" t="s">
        <v>298</v>
      </c>
      <c r="D216" t="s">
        <v>89</v>
      </c>
      <c r="E216" t="s">
        <v>299</v>
      </c>
      <c r="F216" t="s">
        <v>300</v>
      </c>
      <c r="G216" t="s">
        <v>282</v>
      </c>
      <c r="H216" t="s">
        <v>283</v>
      </c>
      <c r="I216" t="s">
        <v>430</v>
      </c>
      <c r="J216" t="s">
        <v>285</v>
      </c>
      <c r="K216" t="s">
        <v>285</v>
      </c>
      <c r="L216" t="s">
        <v>285</v>
      </c>
      <c r="M216" t="s">
        <v>285</v>
      </c>
      <c r="N216" t="s">
        <v>285</v>
      </c>
      <c r="O216" t="s">
        <v>285</v>
      </c>
      <c r="P216" t="s">
        <v>285</v>
      </c>
      <c r="Q216" t="s">
        <v>285</v>
      </c>
      <c r="R216" t="s">
        <v>285</v>
      </c>
      <c r="S216" t="s">
        <v>285</v>
      </c>
      <c r="T216" t="s">
        <v>285</v>
      </c>
      <c r="U216" t="s">
        <v>285</v>
      </c>
      <c r="V216" t="s">
        <v>285</v>
      </c>
      <c r="W216" t="s">
        <v>285</v>
      </c>
      <c r="X216" t="s">
        <v>285</v>
      </c>
      <c r="Y216">
        <v>2.3380000000000001</v>
      </c>
      <c r="Z216">
        <v>2.5859999999999999</v>
      </c>
      <c r="AA216">
        <v>2.8639999999999999</v>
      </c>
      <c r="AB216">
        <v>3.1150000000000002</v>
      </c>
      <c r="AC216">
        <v>3.339</v>
      </c>
      <c r="AD216">
        <v>3.7029999999999998</v>
      </c>
      <c r="AE216">
        <v>4.0750000000000002</v>
      </c>
      <c r="AF216">
        <v>4.4450000000000003</v>
      </c>
      <c r="AG216">
        <v>5.1879999999999997</v>
      </c>
      <c r="AH216">
        <v>5.3730000000000002</v>
      </c>
      <c r="AI216">
        <v>5.9180000000000001</v>
      </c>
      <c r="AJ216">
        <v>6.2930000000000001</v>
      </c>
      <c r="AK216">
        <v>6.625</v>
      </c>
      <c r="AL216">
        <v>7.31</v>
      </c>
      <c r="AM216">
        <v>7.8570000000000002</v>
      </c>
      <c r="AN216">
        <v>8.0980000000000008</v>
      </c>
      <c r="AO216">
        <v>8.3339999999999996</v>
      </c>
      <c r="AP216">
        <v>8.1690000000000005</v>
      </c>
      <c r="AQ216">
        <v>7.6050000000000004</v>
      </c>
      <c r="AR216">
        <v>7.0709999999999997</v>
      </c>
      <c r="AS216">
        <v>7.1269999999999998</v>
      </c>
      <c r="AT216">
        <v>6.9260000000000002</v>
      </c>
      <c r="AU216">
        <v>6.9480000000000004</v>
      </c>
      <c r="AV216">
        <v>7.0750000000000002</v>
      </c>
      <c r="AW216">
        <v>7.3230000000000004</v>
      </c>
      <c r="AX216">
        <v>7.6070000000000002</v>
      </c>
      <c r="AY216">
        <v>2014</v>
      </c>
    </row>
    <row r="217" spans="1:51" ht="14.45" x14ac:dyDescent="0.35">
      <c r="A217">
        <v>935</v>
      </c>
      <c r="B217" t="s">
        <v>431</v>
      </c>
      <c r="C217" t="s">
        <v>279</v>
      </c>
      <c r="D217" t="s">
        <v>90</v>
      </c>
      <c r="E217" t="s">
        <v>280</v>
      </c>
      <c r="F217" t="s">
        <v>281</v>
      </c>
      <c r="G217" t="s">
        <v>282</v>
      </c>
      <c r="H217" t="s">
        <v>283</v>
      </c>
      <c r="I217" t="s">
        <v>432</v>
      </c>
      <c r="J217" t="s">
        <v>285</v>
      </c>
      <c r="K217" t="s">
        <v>285</v>
      </c>
      <c r="L217" t="s">
        <v>285</v>
      </c>
      <c r="M217" t="s">
        <v>285</v>
      </c>
      <c r="N217" t="s">
        <v>285</v>
      </c>
      <c r="O217" t="s">
        <v>285</v>
      </c>
      <c r="P217" t="s">
        <v>285</v>
      </c>
      <c r="Q217" t="s">
        <v>285</v>
      </c>
      <c r="R217" t="s">
        <v>285</v>
      </c>
      <c r="S217" t="s">
        <v>285</v>
      </c>
      <c r="T217" t="s">
        <v>285</v>
      </c>
      <c r="U217" t="s">
        <v>285</v>
      </c>
      <c r="V217" t="s">
        <v>285</v>
      </c>
      <c r="W217" t="s">
        <v>285</v>
      </c>
      <c r="X217" t="s">
        <v>285</v>
      </c>
      <c r="Y217" s="21">
        <v>2647.6610000000001</v>
      </c>
      <c r="Z217" s="21">
        <v>2761.0549999999998</v>
      </c>
      <c r="AA217" s="21">
        <v>2742.4380000000001</v>
      </c>
      <c r="AB217" s="21">
        <v>2733.7710000000002</v>
      </c>
      <c r="AC217" s="21">
        <v>2773.0839999999998</v>
      </c>
      <c r="AD217" s="21">
        <v>2892.1640000000002</v>
      </c>
      <c r="AE217" s="21">
        <v>2980.4189999999999</v>
      </c>
      <c r="AF217" s="21">
        <v>3029.5050000000001</v>
      </c>
      <c r="AG217" s="21">
        <v>3138.623</v>
      </c>
      <c r="AH217" s="21">
        <v>3293.9050000000002</v>
      </c>
      <c r="AI217" s="21">
        <v>3506.107</v>
      </c>
      <c r="AJ217" s="21">
        <v>3747.2060000000001</v>
      </c>
      <c r="AK217" s="21">
        <v>3954.3989999999999</v>
      </c>
      <c r="AL217" s="21">
        <v>4061.6010000000001</v>
      </c>
      <c r="AM217" s="21">
        <v>3864.9470000000001</v>
      </c>
      <c r="AN217" s="21">
        <v>3953.6509999999998</v>
      </c>
      <c r="AO217" s="21">
        <v>4031.404</v>
      </c>
      <c r="AP217" s="21">
        <v>3995.1089999999999</v>
      </c>
      <c r="AQ217" s="21">
        <v>3974.0079999999998</v>
      </c>
      <c r="AR217" s="21">
        <v>4052.62</v>
      </c>
      <c r="AS217" s="21">
        <v>4211.1040000000003</v>
      </c>
      <c r="AT217" s="21">
        <v>4318.5150000000003</v>
      </c>
      <c r="AU217" s="21">
        <v>4431.1689999999999</v>
      </c>
      <c r="AV217" s="21">
        <v>4527.665</v>
      </c>
      <c r="AW217" s="21">
        <v>4625.6970000000001</v>
      </c>
      <c r="AX217" s="21">
        <v>4726.3720000000003</v>
      </c>
      <c r="AY217">
        <v>2014</v>
      </c>
    </row>
    <row r="218" spans="1:51" ht="14.45" x14ac:dyDescent="0.35">
      <c r="A218">
        <v>935</v>
      </c>
      <c r="B218" t="s">
        <v>431</v>
      </c>
      <c r="C218" t="s">
        <v>286</v>
      </c>
      <c r="D218" t="s">
        <v>90</v>
      </c>
      <c r="E218" t="s">
        <v>287</v>
      </c>
      <c r="F218" t="s">
        <v>288</v>
      </c>
      <c r="G218" t="s">
        <v>282</v>
      </c>
      <c r="H218" t="s">
        <v>283</v>
      </c>
      <c r="I218" t="s">
        <v>432</v>
      </c>
      <c r="J218" t="s">
        <v>285</v>
      </c>
      <c r="K218" t="s">
        <v>285</v>
      </c>
      <c r="L218" t="s">
        <v>285</v>
      </c>
      <c r="M218" t="s">
        <v>285</v>
      </c>
      <c r="N218" t="s">
        <v>285</v>
      </c>
      <c r="O218" t="s">
        <v>285</v>
      </c>
      <c r="P218" t="s">
        <v>285</v>
      </c>
      <c r="Q218" t="s">
        <v>285</v>
      </c>
      <c r="R218" t="s">
        <v>285</v>
      </c>
      <c r="S218" t="s">
        <v>285</v>
      </c>
      <c r="T218" t="s">
        <v>285</v>
      </c>
      <c r="U218" t="s">
        <v>285</v>
      </c>
      <c r="V218" t="s">
        <v>285</v>
      </c>
      <c r="W218" t="s">
        <v>285</v>
      </c>
      <c r="X218" t="s">
        <v>285</v>
      </c>
      <c r="Y218" s="21">
        <v>1580.115</v>
      </c>
      <c r="Z218" s="21">
        <v>1812.6220000000001</v>
      </c>
      <c r="AA218" s="21">
        <v>1953.3109999999999</v>
      </c>
      <c r="AB218" s="21">
        <v>2142.587</v>
      </c>
      <c r="AC218" s="21">
        <v>2237.3000000000002</v>
      </c>
      <c r="AD218" s="21">
        <v>2372.63</v>
      </c>
      <c r="AE218" s="21">
        <v>2562.6790000000001</v>
      </c>
      <c r="AF218" s="21">
        <v>2674.634</v>
      </c>
      <c r="AG218" s="21">
        <v>2801.163</v>
      </c>
      <c r="AH218" s="21">
        <v>3057.66</v>
      </c>
      <c r="AI218" s="21">
        <v>3257.9720000000002</v>
      </c>
      <c r="AJ218" s="21">
        <v>3507.1309999999999</v>
      </c>
      <c r="AK218" s="21">
        <v>3831.819</v>
      </c>
      <c r="AL218" s="21">
        <v>4015.346</v>
      </c>
      <c r="AM218" s="21">
        <v>3921.8270000000002</v>
      </c>
      <c r="AN218" s="21">
        <v>3953.6509999999998</v>
      </c>
      <c r="AO218" s="21">
        <v>4022.511</v>
      </c>
      <c r="AP218" s="21">
        <v>4041.61</v>
      </c>
      <c r="AQ218" s="21">
        <v>4077.1089999999999</v>
      </c>
      <c r="AR218" s="21">
        <v>4260.8860000000004</v>
      </c>
      <c r="AS218" s="21">
        <v>4500.4480000000003</v>
      </c>
      <c r="AT218" s="21">
        <v>4700.607</v>
      </c>
      <c r="AU218" s="21">
        <v>4916.2740000000003</v>
      </c>
      <c r="AV218" s="21">
        <v>5122.6379999999999</v>
      </c>
      <c r="AW218" s="21">
        <v>5340.2470000000003</v>
      </c>
      <c r="AX218" s="21">
        <v>5567.2790000000005</v>
      </c>
      <c r="AY218">
        <v>2014</v>
      </c>
    </row>
    <row r="219" spans="1:51" ht="14.45" x14ac:dyDescent="0.35">
      <c r="A219">
        <v>935</v>
      </c>
      <c r="B219" t="s">
        <v>431</v>
      </c>
      <c r="C219" t="s">
        <v>289</v>
      </c>
      <c r="D219" t="s">
        <v>90</v>
      </c>
      <c r="E219" t="s">
        <v>287</v>
      </c>
      <c r="F219" t="s">
        <v>290</v>
      </c>
      <c r="G219" t="s">
        <v>291</v>
      </c>
      <c r="H219" t="s">
        <v>283</v>
      </c>
      <c r="I219" t="s">
        <v>292</v>
      </c>
      <c r="J219" t="s">
        <v>285</v>
      </c>
      <c r="K219" t="s">
        <v>285</v>
      </c>
      <c r="L219" t="s">
        <v>285</v>
      </c>
      <c r="M219" t="s">
        <v>285</v>
      </c>
      <c r="N219" t="s">
        <v>285</v>
      </c>
      <c r="O219" t="s">
        <v>285</v>
      </c>
      <c r="P219" t="s">
        <v>285</v>
      </c>
      <c r="Q219" t="s">
        <v>285</v>
      </c>
      <c r="R219" t="s">
        <v>285</v>
      </c>
      <c r="S219" t="s">
        <v>285</v>
      </c>
      <c r="T219" t="s">
        <v>285</v>
      </c>
      <c r="U219" t="s">
        <v>285</v>
      </c>
      <c r="V219" t="s">
        <v>285</v>
      </c>
      <c r="W219" t="s">
        <v>285</v>
      </c>
      <c r="X219" t="s">
        <v>285</v>
      </c>
      <c r="Y219">
        <v>59.518999999999998</v>
      </c>
      <c r="Z219">
        <v>66.796999999999997</v>
      </c>
      <c r="AA219">
        <v>61.601999999999997</v>
      </c>
      <c r="AB219">
        <v>66.346999999999994</v>
      </c>
      <c r="AC219">
        <v>64.718999999999994</v>
      </c>
      <c r="AD219">
        <v>61.473999999999997</v>
      </c>
      <c r="AE219">
        <v>67.376000000000005</v>
      </c>
      <c r="AF219">
        <v>81.683999999999997</v>
      </c>
      <c r="AG219">
        <v>99.322000000000003</v>
      </c>
      <c r="AH219">
        <v>118.971</v>
      </c>
      <c r="AI219">
        <v>135.99</v>
      </c>
      <c r="AJ219">
        <v>155.21299999999999</v>
      </c>
      <c r="AK219">
        <v>188.614</v>
      </c>
      <c r="AL219">
        <v>235.51300000000001</v>
      </c>
      <c r="AM219">
        <v>205.852</v>
      </c>
      <c r="AN219">
        <v>207.01599999999999</v>
      </c>
      <c r="AO219">
        <v>227.31299999999999</v>
      </c>
      <c r="AP219">
        <v>206.44200000000001</v>
      </c>
      <c r="AQ219">
        <v>208.328</v>
      </c>
      <c r="AR219">
        <v>205.27</v>
      </c>
      <c r="AS219">
        <v>182.46199999999999</v>
      </c>
      <c r="AT219">
        <v>189.982</v>
      </c>
      <c r="AU219">
        <v>196.98699999999999</v>
      </c>
      <c r="AV219">
        <v>201.46</v>
      </c>
      <c r="AW219">
        <v>203.52699999999999</v>
      </c>
      <c r="AX219">
        <v>206.851</v>
      </c>
      <c r="AY219">
        <v>2014</v>
      </c>
    </row>
    <row r="220" spans="1:51" ht="14.45" x14ac:dyDescent="0.35">
      <c r="A220">
        <v>935</v>
      </c>
      <c r="B220" t="s">
        <v>431</v>
      </c>
      <c r="C220" t="s">
        <v>293</v>
      </c>
      <c r="D220" t="s">
        <v>90</v>
      </c>
      <c r="E220" t="s">
        <v>294</v>
      </c>
      <c r="F220" t="s">
        <v>295</v>
      </c>
      <c r="G220" t="s">
        <v>296</v>
      </c>
      <c r="I220" t="s">
        <v>297</v>
      </c>
      <c r="J220" t="s">
        <v>285</v>
      </c>
      <c r="K220" t="s">
        <v>285</v>
      </c>
      <c r="L220" t="s">
        <v>285</v>
      </c>
      <c r="M220" t="s">
        <v>285</v>
      </c>
      <c r="N220" t="s">
        <v>285</v>
      </c>
      <c r="O220" t="s">
        <v>285</v>
      </c>
      <c r="P220" t="s">
        <v>285</v>
      </c>
      <c r="Q220" t="s">
        <v>285</v>
      </c>
      <c r="R220" t="s">
        <v>285</v>
      </c>
      <c r="S220" t="s">
        <v>285</v>
      </c>
      <c r="T220" t="s">
        <v>285</v>
      </c>
      <c r="U220" t="s">
        <v>285</v>
      </c>
      <c r="V220" t="s">
        <v>285</v>
      </c>
      <c r="W220" t="s">
        <v>285</v>
      </c>
      <c r="X220" t="s">
        <v>285</v>
      </c>
      <c r="Y220">
        <v>59.68</v>
      </c>
      <c r="Z220">
        <v>65.650000000000006</v>
      </c>
      <c r="AA220">
        <v>71.224999999999994</v>
      </c>
      <c r="AB220">
        <v>78.375</v>
      </c>
      <c r="AC220">
        <v>80.679000000000002</v>
      </c>
      <c r="AD220">
        <v>82.036000000000001</v>
      </c>
      <c r="AE220">
        <v>85.983999999999995</v>
      </c>
      <c r="AF220">
        <v>88.286000000000001</v>
      </c>
      <c r="AG220">
        <v>89.248000000000005</v>
      </c>
      <c r="AH220">
        <v>92.828000000000003</v>
      </c>
      <c r="AI220">
        <v>92.923000000000002</v>
      </c>
      <c r="AJ220">
        <v>93.593000000000004</v>
      </c>
      <c r="AK220">
        <v>96.9</v>
      </c>
      <c r="AL220">
        <v>98.861000000000004</v>
      </c>
      <c r="AM220">
        <v>101.47199999999999</v>
      </c>
      <c r="AN220">
        <v>100</v>
      </c>
      <c r="AO220">
        <v>99.778999999999996</v>
      </c>
      <c r="AP220">
        <v>101.164</v>
      </c>
      <c r="AQ220">
        <v>102.59399999999999</v>
      </c>
      <c r="AR220">
        <v>105.139</v>
      </c>
      <c r="AS220">
        <v>106.871</v>
      </c>
      <c r="AT220">
        <v>108.848</v>
      </c>
      <c r="AU220">
        <v>110.94799999999999</v>
      </c>
      <c r="AV220">
        <v>113.14100000000001</v>
      </c>
      <c r="AW220">
        <v>115.447</v>
      </c>
      <c r="AX220">
        <v>117.792</v>
      </c>
      <c r="AY220">
        <v>2014</v>
      </c>
    </row>
    <row r="221" spans="1:51" ht="14.45" x14ac:dyDescent="0.35">
      <c r="A221">
        <v>935</v>
      </c>
      <c r="B221" t="s">
        <v>431</v>
      </c>
      <c r="C221" t="s">
        <v>298</v>
      </c>
      <c r="D221" t="s">
        <v>90</v>
      </c>
      <c r="E221" t="s">
        <v>299</v>
      </c>
      <c r="F221" t="s">
        <v>300</v>
      </c>
      <c r="G221" t="s">
        <v>282</v>
      </c>
      <c r="H221" t="s">
        <v>283</v>
      </c>
      <c r="I221" t="s">
        <v>433</v>
      </c>
      <c r="J221" t="s">
        <v>285</v>
      </c>
      <c r="K221" t="s">
        <v>285</v>
      </c>
      <c r="L221" t="s">
        <v>285</v>
      </c>
      <c r="M221" t="s">
        <v>285</v>
      </c>
      <c r="N221" t="s">
        <v>285</v>
      </c>
      <c r="O221" t="s">
        <v>285</v>
      </c>
      <c r="P221" t="s">
        <v>285</v>
      </c>
      <c r="Q221" t="s">
        <v>285</v>
      </c>
      <c r="R221" t="s">
        <v>285</v>
      </c>
      <c r="S221" t="s">
        <v>285</v>
      </c>
      <c r="T221" t="s">
        <v>285</v>
      </c>
      <c r="U221" t="s">
        <v>285</v>
      </c>
      <c r="V221" t="s">
        <v>285</v>
      </c>
      <c r="W221" t="s">
        <v>285</v>
      </c>
      <c r="X221" t="s">
        <v>285</v>
      </c>
      <c r="Y221">
        <v>818.68700000000001</v>
      </c>
      <c r="Z221">
        <v>740.85500000000002</v>
      </c>
      <c r="AA221">
        <v>809.70399999999995</v>
      </c>
      <c r="AB221">
        <v>893.97199999999998</v>
      </c>
      <c r="AC221">
        <v>918.22500000000002</v>
      </c>
      <c r="AD221">
        <v>957.38900000000001</v>
      </c>
      <c r="AE221" s="21">
        <v>1089.1859999999999</v>
      </c>
      <c r="AF221" s="21">
        <v>1185.2339999999999</v>
      </c>
      <c r="AG221" s="21">
        <v>1358.8779999999999</v>
      </c>
      <c r="AH221" s="21">
        <v>1288.6759999999999</v>
      </c>
      <c r="AI221" s="21">
        <v>1362.4010000000001</v>
      </c>
      <c r="AJ221" s="21">
        <v>1430.8219999999999</v>
      </c>
      <c r="AK221" s="21">
        <v>1530.885</v>
      </c>
      <c r="AL221" s="21">
        <v>1612.529</v>
      </c>
      <c r="AM221" s="21">
        <v>1710.66</v>
      </c>
      <c r="AN221" s="21">
        <v>1698.7940000000001</v>
      </c>
      <c r="AO221" s="21">
        <v>1706.998</v>
      </c>
      <c r="AP221" s="21">
        <v>1771.7539999999999</v>
      </c>
      <c r="AQ221" s="21">
        <v>1712.8610000000001</v>
      </c>
      <c r="AR221" s="21">
        <v>1793.9059999999999</v>
      </c>
      <c r="AS221" s="21">
        <v>1890.963</v>
      </c>
      <c r="AT221" s="21">
        <v>1895.431</v>
      </c>
      <c r="AU221" s="21">
        <v>1987.5350000000001</v>
      </c>
      <c r="AV221" s="21">
        <v>2077.058</v>
      </c>
      <c r="AW221" s="21">
        <v>2169.4</v>
      </c>
      <c r="AX221" s="21">
        <v>2264.2429999999999</v>
      </c>
      <c r="AY221">
        <v>2014</v>
      </c>
    </row>
    <row r="222" spans="1:51" ht="14.45" x14ac:dyDescent="0.35">
      <c r="A222">
        <v>128</v>
      </c>
      <c r="B222" t="s">
        <v>434</v>
      </c>
      <c r="C222" t="s">
        <v>279</v>
      </c>
      <c r="D222" t="s">
        <v>91</v>
      </c>
      <c r="E222" t="s">
        <v>280</v>
      </c>
      <c r="F222" t="s">
        <v>281</v>
      </c>
      <c r="G222" t="s">
        <v>282</v>
      </c>
      <c r="H222" t="s">
        <v>283</v>
      </c>
      <c r="I222" t="s">
        <v>435</v>
      </c>
      <c r="J222" s="21">
        <v>1049</v>
      </c>
      <c r="K222" s="21">
        <v>1042.0999999999999</v>
      </c>
      <c r="L222" s="21">
        <v>1080.4000000000001</v>
      </c>
      <c r="M222" s="21">
        <v>1108.5</v>
      </c>
      <c r="N222" s="21">
        <v>1154.7</v>
      </c>
      <c r="O222" s="21">
        <v>1200.9000000000001</v>
      </c>
      <c r="P222" s="21">
        <v>1259.8</v>
      </c>
      <c r="Q222" s="21">
        <v>1263</v>
      </c>
      <c r="R222" s="21">
        <v>1262.8</v>
      </c>
      <c r="S222" s="21">
        <v>1271</v>
      </c>
      <c r="T222" s="21">
        <v>1289.7</v>
      </c>
      <c r="U222" s="21">
        <v>1307.7</v>
      </c>
      <c r="V222" s="21">
        <v>1333.3</v>
      </c>
      <c r="W222" s="21">
        <v>1333.4</v>
      </c>
      <c r="X222" s="21">
        <v>1404.5</v>
      </c>
      <c r="Y222" s="21">
        <v>1447.1</v>
      </c>
      <c r="Z222" s="21">
        <v>1489</v>
      </c>
      <c r="AA222" s="21">
        <v>1537.6</v>
      </c>
      <c r="AB222" s="21">
        <v>1571.7</v>
      </c>
      <c r="AC222" s="21">
        <v>1618</v>
      </c>
      <c r="AD222" s="21">
        <v>1678.7</v>
      </c>
      <c r="AE222" s="21">
        <v>1692.5</v>
      </c>
      <c r="AF222" s="21">
        <v>1700.4</v>
      </c>
      <c r="AG222" s="21">
        <v>1707</v>
      </c>
      <c r="AH222" s="21">
        <v>1752.1</v>
      </c>
      <c r="AI222" s="21">
        <v>1794.7</v>
      </c>
      <c r="AJ222" s="21">
        <v>1862.9</v>
      </c>
      <c r="AK222" s="21">
        <v>1878.2</v>
      </c>
      <c r="AL222" s="21">
        <v>1864.8</v>
      </c>
      <c r="AM222" s="21">
        <v>1769.9</v>
      </c>
      <c r="AN222" s="21">
        <v>1798.6</v>
      </c>
      <c r="AO222" s="21">
        <v>1819.4</v>
      </c>
      <c r="AP222" s="21">
        <v>1807.5</v>
      </c>
      <c r="AQ222" s="21">
        <v>1798.7</v>
      </c>
      <c r="AR222" s="21">
        <v>1818.2</v>
      </c>
      <c r="AS222" s="21">
        <v>1847.018</v>
      </c>
      <c r="AT222" s="21">
        <v>1883.203</v>
      </c>
      <c r="AU222" s="21">
        <v>1922.3920000000001</v>
      </c>
      <c r="AV222" s="21">
        <v>1964.3440000000001</v>
      </c>
      <c r="AW222" s="21">
        <v>2007.33</v>
      </c>
      <c r="AX222" s="21">
        <v>2052.0410000000002</v>
      </c>
      <c r="AY222">
        <v>2014</v>
      </c>
    </row>
    <row r="223" spans="1:51" ht="14.45" x14ac:dyDescent="0.35">
      <c r="A223">
        <v>128</v>
      </c>
      <c r="B223" t="s">
        <v>434</v>
      </c>
      <c r="C223" t="s">
        <v>286</v>
      </c>
      <c r="D223" t="s">
        <v>91</v>
      </c>
      <c r="E223" t="s">
        <v>287</v>
      </c>
      <c r="F223" t="s">
        <v>288</v>
      </c>
      <c r="G223" t="s">
        <v>282</v>
      </c>
      <c r="H223" t="s">
        <v>283</v>
      </c>
      <c r="I223" t="s">
        <v>435</v>
      </c>
      <c r="J223">
        <v>400.86700000000002</v>
      </c>
      <c r="K223">
        <v>440.78100000000001</v>
      </c>
      <c r="L223">
        <v>503.38400000000001</v>
      </c>
      <c r="M223">
        <v>554.59699999999998</v>
      </c>
      <c r="N223">
        <v>612.12900000000002</v>
      </c>
      <c r="O223">
        <v>663.95399999999995</v>
      </c>
      <c r="P223">
        <v>712.64499999999998</v>
      </c>
      <c r="Q223">
        <v>748.42700000000002</v>
      </c>
      <c r="R223">
        <v>777.84400000000005</v>
      </c>
      <c r="S223">
        <v>821.73400000000004</v>
      </c>
      <c r="T223">
        <v>855.55700000000002</v>
      </c>
      <c r="U223">
        <v>890.55100000000004</v>
      </c>
      <c r="V223">
        <v>923.01499999999999</v>
      </c>
      <c r="W223">
        <v>928.46600000000001</v>
      </c>
      <c r="X223">
        <v>993.28700000000003</v>
      </c>
      <c r="Y223" s="21">
        <v>1036.4829999999999</v>
      </c>
      <c r="Z223" s="21">
        <v>1088.0239999999999</v>
      </c>
      <c r="AA223" s="21">
        <v>1146.1289999999999</v>
      </c>
      <c r="AB223" s="21">
        <v>1185.9870000000001</v>
      </c>
      <c r="AC223" s="21">
        <v>1241.521</v>
      </c>
      <c r="AD223" s="21">
        <v>1326.9110000000001</v>
      </c>
      <c r="AE223" s="21">
        <v>1371.5260000000001</v>
      </c>
      <c r="AF223" s="21">
        <v>1410.2719999999999</v>
      </c>
      <c r="AG223" s="21">
        <v>1436.751</v>
      </c>
      <c r="AH223" s="21">
        <v>1505.222</v>
      </c>
      <c r="AI223" s="21">
        <v>1586.537</v>
      </c>
      <c r="AJ223" s="21">
        <v>1682.7139999999999</v>
      </c>
      <c r="AK223" s="21">
        <v>1739.2639999999999</v>
      </c>
      <c r="AL223" s="21">
        <v>1797.546</v>
      </c>
      <c r="AM223" s="21">
        <v>1714.2149999999999</v>
      </c>
      <c r="AN223" s="21">
        <v>1798.6479999999999</v>
      </c>
      <c r="AO223" s="21">
        <v>1833.404</v>
      </c>
      <c r="AP223" s="21">
        <v>1866.779</v>
      </c>
      <c r="AQ223" s="21">
        <v>1886.393</v>
      </c>
      <c r="AR223" s="21">
        <v>1921.498</v>
      </c>
      <c r="AS223" s="21">
        <v>1960.825</v>
      </c>
      <c r="AT223" s="21">
        <v>2038.1890000000001</v>
      </c>
      <c r="AU223" s="21">
        <v>2127.3609999999999</v>
      </c>
      <c r="AV223" s="21">
        <v>2225.9259999999999</v>
      </c>
      <c r="AW223" s="21">
        <v>2329.7600000000002</v>
      </c>
      <c r="AX223" s="21">
        <v>2438.4380000000001</v>
      </c>
      <c r="AY223">
        <v>2014</v>
      </c>
    </row>
    <row r="224" spans="1:51" ht="14.45" x14ac:dyDescent="0.35">
      <c r="A224">
        <v>128</v>
      </c>
      <c r="B224" t="s">
        <v>434</v>
      </c>
      <c r="C224" t="s">
        <v>289</v>
      </c>
      <c r="D224" t="s">
        <v>91</v>
      </c>
      <c r="E224" t="s">
        <v>287</v>
      </c>
      <c r="F224" t="s">
        <v>290</v>
      </c>
      <c r="G224" t="s">
        <v>291</v>
      </c>
      <c r="H224" t="s">
        <v>283</v>
      </c>
      <c r="I224" t="s">
        <v>292</v>
      </c>
      <c r="J224">
        <v>71.14</v>
      </c>
      <c r="K224">
        <v>61.893000000000001</v>
      </c>
      <c r="L224">
        <v>60.423000000000002</v>
      </c>
      <c r="M224">
        <v>60.65</v>
      </c>
      <c r="N224">
        <v>59.115000000000002</v>
      </c>
      <c r="O224">
        <v>62.682000000000002</v>
      </c>
      <c r="P224">
        <v>88.102999999999994</v>
      </c>
      <c r="Q224">
        <v>109.43300000000001</v>
      </c>
      <c r="R224">
        <v>115.568</v>
      </c>
      <c r="S224">
        <v>112.43600000000001</v>
      </c>
      <c r="T224">
        <v>138.25800000000001</v>
      </c>
      <c r="U224">
        <v>139.26499999999999</v>
      </c>
      <c r="V224">
        <v>152.96100000000001</v>
      </c>
      <c r="W224">
        <v>143.21</v>
      </c>
      <c r="X224">
        <v>156.18100000000001</v>
      </c>
      <c r="Y224">
        <v>185.042</v>
      </c>
      <c r="Z224">
        <v>187.64400000000001</v>
      </c>
      <c r="AA224">
        <v>173.55799999999999</v>
      </c>
      <c r="AB224">
        <v>177.005</v>
      </c>
      <c r="AC224">
        <v>177.96100000000001</v>
      </c>
      <c r="AD224">
        <v>164.18799999999999</v>
      </c>
      <c r="AE224">
        <v>164.82</v>
      </c>
      <c r="AF224">
        <v>178.648</v>
      </c>
      <c r="AG224">
        <v>218.13900000000001</v>
      </c>
      <c r="AH224">
        <v>251.24</v>
      </c>
      <c r="AI224">
        <v>264.58100000000002</v>
      </c>
      <c r="AJ224">
        <v>282.97199999999998</v>
      </c>
      <c r="AK224">
        <v>319.5</v>
      </c>
      <c r="AL224">
        <v>352.589</v>
      </c>
      <c r="AM224">
        <v>319.76499999999999</v>
      </c>
      <c r="AN224">
        <v>319.81200000000001</v>
      </c>
      <c r="AO224">
        <v>341.49799999999999</v>
      </c>
      <c r="AP224">
        <v>322.27699999999999</v>
      </c>
      <c r="AQ224">
        <v>335.87799999999999</v>
      </c>
      <c r="AR224">
        <v>342.36200000000002</v>
      </c>
      <c r="AS224">
        <v>291.04300000000001</v>
      </c>
      <c r="AT224">
        <v>300.90600000000001</v>
      </c>
      <c r="AU224">
        <v>316.27100000000002</v>
      </c>
      <c r="AV224">
        <v>333.13200000000001</v>
      </c>
      <c r="AW224">
        <v>349.88600000000002</v>
      </c>
      <c r="AX224">
        <v>369.68599999999998</v>
      </c>
      <c r="AY224">
        <v>2014</v>
      </c>
    </row>
    <row r="225" spans="1:51" s="22" customFormat="1" ht="14.45" x14ac:dyDescent="0.35">
      <c r="A225" s="22">
        <v>128</v>
      </c>
      <c r="B225" s="22" t="s">
        <v>434</v>
      </c>
      <c r="C225" s="22" t="s">
        <v>293</v>
      </c>
      <c r="D225" s="22" t="s">
        <v>91</v>
      </c>
      <c r="E225" s="22" t="s">
        <v>294</v>
      </c>
      <c r="F225" s="22" t="s">
        <v>295</v>
      </c>
      <c r="G225" s="22" t="s">
        <v>296</v>
      </c>
      <c r="I225" s="22" t="s">
        <v>297</v>
      </c>
      <c r="J225" s="22">
        <v>38.213999999999999</v>
      </c>
      <c r="K225" s="22">
        <v>42.296999999999997</v>
      </c>
      <c r="L225" s="22">
        <v>46.591999999999999</v>
      </c>
      <c r="M225" s="22">
        <v>50.030999999999999</v>
      </c>
      <c r="N225" s="22">
        <v>53.012</v>
      </c>
      <c r="O225" s="22">
        <v>55.287999999999997</v>
      </c>
      <c r="P225" s="22">
        <v>56.567999999999998</v>
      </c>
      <c r="Q225" s="22">
        <v>59.258000000000003</v>
      </c>
      <c r="R225" s="22">
        <v>61.597000000000001</v>
      </c>
      <c r="S225" s="22">
        <v>64.653000000000006</v>
      </c>
      <c r="T225" s="22">
        <v>66.337999999999994</v>
      </c>
      <c r="U225" s="22">
        <v>68.100999999999999</v>
      </c>
      <c r="V225" s="22">
        <v>69.227999999999994</v>
      </c>
      <c r="W225" s="22">
        <v>69.631</v>
      </c>
      <c r="X225" s="22">
        <v>70.721999999999994</v>
      </c>
      <c r="Y225" s="22">
        <v>71.625</v>
      </c>
      <c r="Z225" s="22">
        <v>73.070999999999998</v>
      </c>
      <c r="AA225" s="22">
        <v>74.540000000000006</v>
      </c>
      <c r="AB225" s="22">
        <v>75.459000000000003</v>
      </c>
      <c r="AC225" s="22">
        <v>76.731999999999999</v>
      </c>
      <c r="AD225" s="22">
        <v>79.043999999999997</v>
      </c>
      <c r="AE225" s="22">
        <v>81.036000000000001</v>
      </c>
      <c r="AF225" s="22">
        <v>82.938000000000002</v>
      </c>
      <c r="AG225" s="22">
        <v>84.168000000000006</v>
      </c>
      <c r="AH225" s="22">
        <v>85.91</v>
      </c>
      <c r="AI225" s="22">
        <v>88.400999999999996</v>
      </c>
      <c r="AJ225" s="22">
        <v>90.328000000000003</v>
      </c>
      <c r="AK225" s="22">
        <v>92.602999999999994</v>
      </c>
      <c r="AL225" s="22">
        <v>96.394000000000005</v>
      </c>
      <c r="AM225" s="22">
        <v>96.853999999999999</v>
      </c>
      <c r="AN225" s="22">
        <v>100.003</v>
      </c>
      <c r="AO225" s="22">
        <v>100.77</v>
      </c>
      <c r="AP225" s="22">
        <v>103.28</v>
      </c>
      <c r="AQ225" s="22">
        <v>104.875</v>
      </c>
      <c r="AR225" s="22">
        <v>105.681</v>
      </c>
      <c r="AS225" s="22">
        <v>106.16200000000001</v>
      </c>
      <c r="AT225" s="22">
        <v>108.23</v>
      </c>
      <c r="AU225" s="22">
        <v>110.66200000000001</v>
      </c>
      <c r="AV225" s="22">
        <v>113.316</v>
      </c>
      <c r="AW225" s="22">
        <v>116.063</v>
      </c>
      <c r="AX225" s="22">
        <v>118.83</v>
      </c>
      <c r="AY225" s="22">
        <v>2014</v>
      </c>
    </row>
    <row r="226" spans="1:51" ht="14.45" x14ac:dyDescent="0.35">
      <c r="A226">
        <v>128</v>
      </c>
      <c r="B226" t="s">
        <v>434</v>
      </c>
      <c r="C226" t="s">
        <v>298</v>
      </c>
      <c r="D226" t="s">
        <v>91</v>
      </c>
      <c r="E226" t="s">
        <v>299</v>
      </c>
      <c r="F226" t="s">
        <v>300</v>
      </c>
      <c r="G226" t="s">
        <v>282</v>
      </c>
      <c r="H226" t="s">
        <v>283</v>
      </c>
      <c r="I226" t="s">
        <v>436</v>
      </c>
      <c r="J226">
        <v>209.858</v>
      </c>
      <c r="K226">
        <v>246.16800000000001</v>
      </c>
      <c r="L226">
        <v>287.738</v>
      </c>
      <c r="M226">
        <v>317.77100000000002</v>
      </c>
      <c r="N226">
        <v>341.56700000000001</v>
      </c>
      <c r="O226">
        <v>364.46300000000002</v>
      </c>
      <c r="P226">
        <v>370.00900000000001</v>
      </c>
      <c r="Q226">
        <v>397.09300000000002</v>
      </c>
      <c r="R226">
        <v>428.87299999999999</v>
      </c>
      <c r="S226">
        <v>453.59699999999998</v>
      </c>
      <c r="T226">
        <v>470.15</v>
      </c>
      <c r="U226">
        <v>493.16199999999998</v>
      </c>
      <c r="V226">
        <v>520.04100000000005</v>
      </c>
      <c r="W226">
        <v>550.53099999999995</v>
      </c>
      <c r="X226">
        <v>588.947</v>
      </c>
      <c r="Y226">
        <v>606.61199999999997</v>
      </c>
      <c r="Z226">
        <v>631.03700000000003</v>
      </c>
      <c r="AA226">
        <v>640.77200000000005</v>
      </c>
      <c r="AB226">
        <v>656.98099999999999</v>
      </c>
      <c r="AC226">
        <v>677.04200000000003</v>
      </c>
      <c r="AD226">
        <v>699.10699999999997</v>
      </c>
      <c r="AE226">
        <v>724.67899999999997</v>
      </c>
      <c r="AF226">
        <v>750.46600000000001</v>
      </c>
      <c r="AG226">
        <v>770.66399999999999</v>
      </c>
      <c r="AH226">
        <v>798.14099999999996</v>
      </c>
      <c r="AI226">
        <v>812.68200000000002</v>
      </c>
      <c r="AJ226">
        <v>838.26599999999996</v>
      </c>
      <c r="AK226">
        <v>862.31799999999998</v>
      </c>
      <c r="AL226">
        <v>908.13499999999999</v>
      </c>
      <c r="AM226">
        <v>973.63599999999997</v>
      </c>
      <c r="AN226" s="21">
        <v>1026.31</v>
      </c>
      <c r="AO226" s="21">
        <v>1042.1669999999999</v>
      </c>
      <c r="AP226" s="21">
        <v>1097.8430000000001</v>
      </c>
      <c r="AQ226" s="21">
        <v>1076.7059999999999</v>
      </c>
      <c r="AR226" s="21">
        <v>1093.1959999999999</v>
      </c>
      <c r="AS226" s="21">
        <v>1066.8309999999999</v>
      </c>
      <c r="AT226" s="21">
        <v>1101.2</v>
      </c>
      <c r="AU226" s="21">
        <v>1115.0650000000001</v>
      </c>
      <c r="AV226" s="21">
        <v>1156.4269999999999</v>
      </c>
      <c r="AW226" s="21">
        <v>1201.739</v>
      </c>
      <c r="AX226" s="21">
        <v>1251.2049999999999</v>
      </c>
      <c r="AY226">
        <v>2014</v>
      </c>
    </row>
    <row r="227" spans="1:51" ht="14.45" x14ac:dyDescent="0.35">
      <c r="A227">
        <v>611</v>
      </c>
      <c r="B227" t="s">
        <v>437</v>
      </c>
      <c r="C227" t="s">
        <v>279</v>
      </c>
      <c r="D227" t="s">
        <v>92</v>
      </c>
      <c r="E227" t="s">
        <v>280</v>
      </c>
      <c r="F227" t="s">
        <v>281</v>
      </c>
      <c r="G227" t="s">
        <v>282</v>
      </c>
      <c r="H227" t="s">
        <v>283</v>
      </c>
      <c r="I227" t="s">
        <v>438</v>
      </c>
      <c r="J227" t="s">
        <v>285</v>
      </c>
      <c r="K227" t="s">
        <v>285</v>
      </c>
      <c r="L227" t="s">
        <v>285</v>
      </c>
      <c r="M227" t="s">
        <v>285</v>
      </c>
      <c r="N227" t="s">
        <v>285</v>
      </c>
      <c r="O227" t="s">
        <v>285</v>
      </c>
      <c r="P227" t="s">
        <v>285</v>
      </c>
      <c r="Q227" t="s">
        <v>285</v>
      </c>
      <c r="R227" t="s">
        <v>285</v>
      </c>
      <c r="S227" t="s">
        <v>285</v>
      </c>
      <c r="T227" t="s">
        <v>285</v>
      </c>
      <c r="U227">
        <v>76.95</v>
      </c>
      <c r="V227">
        <v>76.956999999999994</v>
      </c>
      <c r="W227">
        <v>71.835999999999999</v>
      </c>
      <c r="X227">
        <v>71.159000000000006</v>
      </c>
      <c r="Y227">
        <v>68.677000000000007</v>
      </c>
      <c r="Z227">
        <v>65.850999999999999</v>
      </c>
      <c r="AA227">
        <v>65.358999999999995</v>
      </c>
      <c r="AB227">
        <v>65.424000000000007</v>
      </c>
      <c r="AC227">
        <v>67.387</v>
      </c>
      <c r="AD227">
        <v>67.668000000000006</v>
      </c>
      <c r="AE227">
        <v>68.881</v>
      </c>
      <c r="AF227">
        <v>71.108999999999995</v>
      </c>
      <c r="AG227">
        <v>73.375</v>
      </c>
      <c r="AH227">
        <v>75.414000000000001</v>
      </c>
      <c r="AI227">
        <v>77.760000000000005</v>
      </c>
      <c r="AJ227">
        <v>81.462999999999994</v>
      </c>
      <c r="AK227">
        <v>85.600999999999999</v>
      </c>
      <c r="AL227">
        <v>90.570999999999998</v>
      </c>
      <c r="AM227">
        <v>95.126999999999995</v>
      </c>
      <c r="AN227">
        <v>98.444000000000003</v>
      </c>
      <c r="AO227">
        <v>102.842</v>
      </c>
      <c r="AP227">
        <v>107.822</v>
      </c>
      <c r="AQ227">
        <v>113.21299999999999</v>
      </c>
      <c r="AR227">
        <v>120.006</v>
      </c>
      <c r="AS227">
        <v>127.807</v>
      </c>
      <c r="AT227">
        <v>136.75299999999999</v>
      </c>
      <c r="AU227">
        <v>146.46299999999999</v>
      </c>
      <c r="AV227">
        <v>156.86099999999999</v>
      </c>
      <c r="AW227">
        <v>167.84200000000001</v>
      </c>
      <c r="AX227">
        <v>177.91200000000001</v>
      </c>
      <c r="AY227">
        <v>2014</v>
      </c>
    </row>
    <row r="228" spans="1:51" ht="14.45" x14ac:dyDescent="0.35">
      <c r="A228">
        <v>611</v>
      </c>
      <c r="B228" t="s">
        <v>437</v>
      </c>
      <c r="C228" t="s">
        <v>286</v>
      </c>
      <c r="D228" t="s">
        <v>92</v>
      </c>
      <c r="E228" t="s">
        <v>287</v>
      </c>
      <c r="F228" t="s">
        <v>288</v>
      </c>
      <c r="G228" t="s">
        <v>282</v>
      </c>
      <c r="H228" t="s">
        <v>283</v>
      </c>
      <c r="I228" t="s">
        <v>438</v>
      </c>
      <c r="J228" t="s">
        <v>285</v>
      </c>
      <c r="K228" t="s">
        <v>285</v>
      </c>
      <c r="L228" t="s">
        <v>285</v>
      </c>
      <c r="M228" t="s">
        <v>285</v>
      </c>
      <c r="N228" t="s">
        <v>285</v>
      </c>
      <c r="O228" t="s">
        <v>285</v>
      </c>
      <c r="P228" t="s">
        <v>285</v>
      </c>
      <c r="Q228" t="s">
        <v>285</v>
      </c>
      <c r="R228" t="s">
        <v>285</v>
      </c>
      <c r="S228" t="s">
        <v>285</v>
      </c>
      <c r="T228" t="s">
        <v>285</v>
      </c>
      <c r="U228">
        <v>82.182000000000002</v>
      </c>
      <c r="V228">
        <v>84.960999999999999</v>
      </c>
      <c r="W228">
        <v>82.826999999999998</v>
      </c>
      <c r="X228">
        <v>87.384</v>
      </c>
      <c r="Y228">
        <v>88.456000000000003</v>
      </c>
      <c r="Z228">
        <v>87.795000000000002</v>
      </c>
      <c r="AA228">
        <v>89.335999999999999</v>
      </c>
      <c r="AB228">
        <v>91.396000000000001</v>
      </c>
      <c r="AC228">
        <v>96.08</v>
      </c>
      <c r="AD228">
        <v>98.795000000000002</v>
      </c>
      <c r="AE228">
        <v>102.633</v>
      </c>
      <c r="AF228">
        <v>105.953</v>
      </c>
      <c r="AG228">
        <v>111.53</v>
      </c>
      <c r="AH228">
        <v>118.4</v>
      </c>
      <c r="AI228">
        <v>125.93899999999999</v>
      </c>
      <c r="AJ228">
        <v>136.60400000000001</v>
      </c>
      <c r="AK228">
        <v>150.65799999999999</v>
      </c>
      <c r="AL228">
        <v>174.80099999999999</v>
      </c>
      <c r="AM228">
        <v>186.44900000000001</v>
      </c>
      <c r="AN228">
        <v>200.578</v>
      </c>
      <c r="AO228">
        <v>220.22200000000001</v>
      </c>
      <c r="AP228">
        <v>240.56899999999999</v>
      </c>
      <c r="AQ228">
        <v>258.65800000000002</v>
      </c>
      <c r="AR228">
        <v>282.40300000000002</v>
      </c>
      <c r="AS228">
        <v>309.78199999999998</v>
      </c>
      <c r="AT228">
        <v>343.06799999999998</v>
      </c>
      <c r="AU228">
        <v>380.286</v>
      </c>
      <c r="AV228">
        <v>421.541</v>
      </c>
      <c r="AW228">
        <v>464.58100000000002</v>
      </c>
      <c r="AX228">
        <v>507.22899999999998</v>
      </c>
      <c r="AY228">
        <v>2014</v>
      </c>
    </row>
    <row r="229" spans="1:51" ht="14.45" x14ac:dyDescent="0.35">
      <c r="A229">
        <v>611</v>
      </c>
      <c r="B229" t="s">
        <v>437</v>
      </c>
      <c r="C229" t="s">
        <v>289</v>
      </c>
      <c r="D229" t="s">
        <v>92</v>
      </c>
      <c r="E229" t="s">
        <v>287</v>
      </c>
      <c r="F229" t="s">
        <v>290</v>
      </c>
      <c r="G229" t="s">
        <v>291</v>
      </c>
      <c r="H229" t="s">
        <v>283</v>
      </c>
      <c r="I229" t="s">
        <v>292</v>
      </c>
      <c r="J229" t="s">
        <v>285</v>
      </c>
      <c r="K229" t="s">
        <v>285</v>
      </c>
      <c r="L229" t="s">
        <v>285</v>
      </c>
      <c r="M229" t="s">
        <v>285</v>
      </c>
      <c r="N229" t="s">
        <v>285</v>
      </c>
      <c r="O229" t="s">
        <v>285</v>
      </c>
      <c r="P229" t="s">
        <v>285</v>
      </c>
      <c r="Q229" t="s">
        <v>285</v>
      </c>
      <c r="R229" t="s">
        <v>285</v>
      </c>
      <c r="S229" t="s">
        <v>285</v>
      </c>
      <c r="T229" t="s">
        <v>285</v>
      </c>
      <c r="U229">
        <v>0.46200000000000002</v>
      </c>
      <c r="V229">
        <v>0.47799999999999998</v>
      </c>
      <c r="W229">
        <v>0.46600000000000003</v>
      </c>
      <c r="X229">
        <v>0.49199999999999999</v>
      </c>
      <c r="Y229">
        <v>0.498</v>
      </c>
      <c r="Z229">
        <v>0.49399999999999999</v>
      </c>
      <c r="AA229">
        <v>0.503</v>
      </c>
      <c r="AB229">
        <v>0.51400000000000001</v>
      </c>
      <c r="AC229">
        <v>0.54100000000000004</v>
      </c>
      <c r="AD229">
        <v>0.55600000000000005</v>
      </c>
      <c r="AE229">
        <v>0.57699999999999996</v>
      </c>
      <c r="AF229">
        <v>0.59599999999999997</v>
      </c>
      <c r="AG229">
        <v>0.628</v>
      </c>
      <c r="AH229">
        <v>0.66600000000000004</v>
      </c>
      <c r="AI229">
        <v>0.70899999999999996</v>
      </c>
      <c r="AJ229">
        <v>0.76900000000000002</v>
      </c>
      <c r="AK229">
        <v>0.84799999999999998</v>
      </c>
      <c r="AL229">
        <v>0.98399999999999999</v>
      </c>
      <c r="AM229">
        <v>1.0489999999999999</v>
      </c>
      <c r="AN229">
        <v>1.129</v>
      </c>
      <c r="AO229">
        <v>1.2390000000000001</v>
      </c>
      <c r="AP229">
        <v>1.3540000000000001</v>
      </c>
      <c r="AQ229">
        <v>1.4550000000000001</v>
      </c>
      <c r="AR229">
        <v>1.589</v>
      </c>
      <c r="AS229">
        <v>1.7430000000000001</v>
      </c>
      <c r="AT229">
        <v>1.93</v>
      </c>
      <c r="AU229">
        <v>2.14</v>
      </c>
      <c r="AV229">
        <v>2.3719999999999999</v>
      </c>
      <c r="AW229">
        <v>2.6139999999999999</v>
      </c>
      <c r="AX229">
        <v>2.8540000000000001</v>
      </c>
      <c r="AY229">
        <v>2014</v>
      </c>
    </row>
    <row r="230" spans="1:51" ht="14.45" x14ac:dyDescent="0.35">
      <c r="A230">
        <v>611</v>
      </c>
      <c r="B230" t="s">
        <v>437</v>
      </c>
      <c r="C230" t="s">
        <v>293</v>
      </c>
      <c r="D230" t="s">
        <v>92</v>
      </c>
      <c r="E230" t="s">
        <v>294</v>
      </c>
      <c r="F230" t="s">
        <v>295</v>
      </c>
      <c r="G230" t="s">
        <v>296</v>
      </c>
      <c r="I230" t="s">
        <v>297</v>
      </c>
      <c r="J230" t="s">
        <v>285</v>
      </c>
      <c r="K230" t="s">
        <v>285</v>
      </c>
      <c r="L230" t="s">
        <v>285</v>
      </c>
      <c r="M230" t="s">
        <v>285</v>
      </c>
      <c r="N230" t="s">
        <v>285</v>
      </c>
      <c r="O230" t="s">
        <v>285</v>
      </c>
      <c r="P230" t="s">
        <v>285</v>
      </c>
      <c r="Q230" t="s">
        <v>285</v>
      </c>
      <c r="R230" t="s">
        <v>285</v>
      </c>
      <c r="S230" t="s">
        <v>285</v>
      </c>
      <c r="T230" t="s">
        <v>285</v>
      </c>
      <c r="U230">
        <v>106.8</v>
      </c>
      <c r="V230">
        <v>110.4</v>
      </c>
      <c r="W230">
        <v>115.3</v>
      </c>
      <c r="X230">
        <v>122.8</v>
      </c>
      <c r="Y230">
        <v>128.80000000000001</v>
      </c>
      <c r="Z230">
        <v>133.32499999999999</v>
      </c>
      <c r="AA230">
        <v>136.684</v>
      </c>
      <c r="AB230">
        <v>139.697</v>
      </c>
      <c r="AC230">
        <v>142.57900000000001</v>
      </c>
      <c r="AD230">
        <v>146</v>
      </c>
      <c r="AE230">
        <v>149</v>
      </c>
      <c r="AF230">
        <v>149</v>
      </c>
      <c r="AG230">
        <v>152</v>
      </c>
      <c r="AH230">
        <v>157</v>
      </c>
      <c r="AI230">
        <v>161.959</v>
      </c>
      <c r="AJ230">
        <v>167.68799999999999</v>
      </c>
      <c r="AK230">
        <v>176</v>
      </c>
      <c r="AL230">
        <v>193</v>
      </c>
      <c r="AM230">
        <v>196</v>
      </c>
      <c r="AN230">
        <v>203.74700000000001</v>
      </c>
      <c r="AO230">
        <v>214.137</v>
      </c>
      <c r="AP230">
        <v>223.11799999999999</v>
      </c>
      <c r="AQ230">
        <v>228.47</v>
      </c>
      <c r="AR230">
        <v>235.32400000000001</v>
      </c>
      <c r="AS230">
        <v>242.38399999999999</v>
      </c>
      <c r="AT230">
        <v>250.86699999999999</v>
      </c>
      <c r="AU230">
        <v>259.64699999999999</v>
      </c>
      <c r="AV230">
        <v>268.73500000000001</v>
      </c>
      <c r="AW230">
        <v>276.79700000000003</v>
      </c>
      <c r="AX230">
        <v>285.101</v>
      </c>
      <c r="AY230">
        <v>2014</v>
      </c>
    </row>
    <row r="231" spans="1:51" ht="14.45" x14ac:dyDescent="0.35">
      <c r="A231">
        <v>611</v>
      </c>
      <c r="B231" t="s">
        <v>437</v>
      </c>
      <c r="C231" t="s">
        <v>298</v>
      </c>
      <c r="D231" t="s">
        <v>92</v>
      </c>
      <c r="E231" t="s">
        <v>299</v>
      </c>
      <c r="F231" t="s">
        <v>300</v>
      </c>
      <c r="G231" t="s">
        <v>282</v>
      </c>
      <c r="H231" t="s">
        <v>283</v>
      </c>
      <c r="I231" t="s">
        <v>439</v>
      </c>
      <c r="J231" t="s">
        <v>285</v>
      </c>
      <c r="K231" t="s">
        <v>285</v>
      </c>
      <c r="L231" t="s">
        <v>285</v>
      </c>
      <c r="M231" t="s">
        <v>285</v>
      </c>
      <c r="N231" t="s">
        <v>285</v>
      </c>
      <c r="O231" t="s">
        <v>285</v>
      </c>
      <c r="P231" t="s">
        <v>285</v>
      </c>
      <c r="Q231" t="s">
        <v>285</v>
      </c>
      <c r="R231" t="s">
        <v>285</v>
      </c>
      <c r="S231" t="s">
        <v>285</v>
      </c>
      <c r="T231">
        <v>36.296999999999997</v>
      </c>
      <c r="U231">
        <v>33.387</v>
      </c>
      <c r="V231">
        <v>44.01</v>
      </c>
      <c r="W231">
        <v>43.585000000000001</v>
      </c>
      <c r="X231">
        <v>41.567</v>
      </c>
      <c r="Y231">
        <v>34.694000000000003</v>
      </c>
      <c r="Z231">
        <v>30.43</v>
      </c>
      <c r="AA231">
        <v>31.649000000000001</v>
      </c>
      <c r="AB231">
        <v>30.823</v>
      </c>
      <c r="AC231">
        <v>31.747</v>
      </c>
      <c r="AD231">
        <v>32.204000000000001</v>
      </c>
      <c r="AE231">
        <v>30.215</v>
      </c>
      <c r="AF231">
        <v>34.817</v>
      </c>
      <c r="AG231">
        <v>40.491</v>
      </c>
      <c r="AH231">
        <v>44.399000000000001</v>
      </c>
      <c r="AI231">
        <v>46.383000000000003</v>
      </c>
      <c r="AJ231">
        <v>51.082999999999998</v>
      </c>
      <c r="AK231">
        <v>56.884999999999998</v>
      </c>
      <c r="AL231">
        <v>70.954999999999998</v>
      </c>
      <c r="AM231">
        <v>78.561999999999998</v>
      </c>
      <c r="AN231">
        <v>73.054000000000002</v>
      </c>
      <c r="AO231">
        <v>78.180000000000007</v>
      </c>
      <c r="AP231">
        <v>89.472999999999999</v>
      </c>
      <c r="AQ231">
        <v>97.424999999999997</v>
      </c>
      <c r="AR231">
        <v>129.995</v>
      </c>
      <c r="AS231">
        <v>150.37100000000001</v>
      </c>
      <c r="AT231">
        <v>163.69499999999999</v>
      </c>
      <c r="AU231">
        <v>139.17400000000001</v>
      </c>
      <c r="AV231">
        <v>136.67099999999999</v>
      </c>
      <c r="AW231">
        <v>143.887</v>
      </c>
      <c r="AX231">
        <v>151.108</v>
      </c>
      <c r="AY231">
        <v>2014</v>
      </c>
    </row>
    <row r="232" spans="1:51" ht="14.45" x14ac:dyDescent="0.35">
      <c r="A232">
        <v>321</v>
      </c>
      <c r="B232" t="s">
        <v>440</v>
      </c>
      <c r="C232" t="s">
        <v>279</v>
      </c>
      <c r="D232" t="s">
        <v>93</v>
      </c>
      <c r="E232" t="s">
        <v>280</v>
      </c>
      <c r="F232" t="s">
        <v>281</v>
      </c>
      <c r="G232" t="s">
        <v>282</v>
      </c>
      <c r="H232" t="s">
        <v>283</v>
      </c>
      <c r="I232" t="s">
        <v>441</v>
      </c>
      <c r="J232">
        <v>0.47599999999999998</v>
      </c>
      <c r="K232">
        <v>0.52700000000000002</v>
      </c>
      <c r="L232">
        <v>0.54900000000000004</v>
      </c>
      <c r="M232">
        <v>0.56299999999999994</v>
      </c>
      <c r="N232">
        <v>0.58699999999999997</v>
      </c>
      <c r="O232">
        <v>0.59499999999999997</v>
      </c>
      <c r="P232">
        <v>0.63700000000000001</v>
      </c>
      <c r="Q232">
        <v>0.67800000000000005</v>
      </c>
      <c r="R232">
        <v>0.73099999999999998</v>
      </c>
      <c r="S232">
        <v>0.72899999999999998</v>
      </c>
      <c r="T232">
        <v>0.76900000000000002</v>
      </c>
      <c r="U232">
        <v>0.77900000000000003</v>
      </c>
      <c r="V232">
        <v>0.79500000000000004</v>
      </c>
      <c r="W232">
        <v>0.81200000000000006</v>
      </c>
      <c r="X232">
        <v>0.81200000000000006</v>
      </c>
      <c r="Y232">
        <v>0.83699999999999997</v>
      </c>
      <c r="Z232">
        <v>0.86299999999999999</v>
      </c>
      <c r="AA232">
        <v>0.88200000000000001</v>
      </c>
      <c r="AB232">
        <v>0.91500000000000004</v>
      </c>
      <c r="AC232">
        <v>0.91800000000000004</v>
      </c>
      <c r="AD232">
        <v>0.94</v>
      </c>
      <c r="AE232">
        <v>0.93899999999999995</v>
      </c>
      <c r="AF232">
        <v>0.91300000000000003</v>
      </c>
      <c r="AG232">
        <v>0.97099999999999997</v>
      </c>
      <c r="AH232">
        <v>1</v>
      </c>
      <c r="AI232">
        <v>1.0069999999999999</v>
      </c>
      <c r="AJ232">
        <v>1.054</v>
      </c>
      <c r="AK232">
        <v>1.121</v>
      </c>
      <c r="AL232">
        <v>1.2</v>
      </c>
      <c r="AM232">
        <v>1.1859999999999999</v>
      </c>
      <c r="AN232">
        <v>1.194</v>
      </c>
      <c r="AO232">
        <v>1.194</v>
      </c>
      <c r="AP232">
        <v>1.179</v>
      </c>
      <c r="AQ232">
        <v>1.1859999999999999</v>
      </c>
      <c r="AR232">
        <v>1.232</v>
      </c>
      <c r="AS232">
        <v>1.266</v>
      </c>
      <c r="AT232">
        <v>1.3069999999999999</v>
      </c>
      <c r="AU232">
        <v>1.331</v>
      </c>
      <c r="AV232">
        <v>1.3560000000000001</v>
      </c>
      <c r="AW232">
        <v>1.381</v>
      </c>
      <c r="AX232">
        <v>1.407</v>
      </c>
      <c r="AY232">
        <v>2014</v>
      </c>
    </row>
    <row r="233" spans="1:51" ht="14.45" x14ac:dyDescent="0.35">
      <c r="A233">
        <v>321</v>
      </c>
      <c r="B233" t="s">
        <v>440</v>
      </c>
      <c r="C233" t="s">
        <v>286</v>
      </c>
      <c r="D233" t="s">
        <v>93</v>
      </c>
      <c r="E233" t="s">
        <v>287</v>
      </c>
      <c r="F233" t="s">
        <v>288</v>
      </c>
      <c r="G233" t="s">
        <v>282</v>
      </c>
      <c r="H233" t="s">
        <v>283</v>
      </c>
      <c r="I233" t="s">
        <v>441</v>
      </c>
      <c r="J233">
        <v>0.19700000000000001</v>
      </c>
      <c r="K233">
        <v>0.222</v>
      </c>
      <c r="L233">
        <v>0.24199999999999999</v>
      </c>
      <c r="M233">
        <v>0.26600000000000001</v>
      </c>
      <c r="N233">
        <v>0.29499999999999998</v>
      </c>
      <c r="O233">
        <v>0.32300000000000001</v>
      </c>
      <c r="P233">
        <v>0.36499999999999999</v>
      </c>
      <c r="Q233">
        <v>0.41</v>
      </c>
      <c r="R233">
        <v>0.46200000000000002</v>
      </c>
      <c r="S233">
        <v>0.5</v>
      </c>
      <c r="T233">
        <v>0.54400000000000004</v>
      </c>
      <c r="U233">
        <v>0.59299999999999997</v>
      </c>
      <c r="V233">
        <v>0.63200000000000001</v>
      </c>
      <c r="W233">
        <v>0.66300000000000003</v>
      </c>
      <c r="X233">
        <v>0.71399999999999997</v>
      </c>
      <c r="Y233">
        <v>0.74099999999999999</v>
      </c>
      <c r="Z233">
        <v>0.78900000000000003</v>
      </c>
      <c r="AA233">
        <v>0.81799999999999995</v>
      </c>
      <c r="AB233">
        <v>0.871</v>
      </c>
      <c r="AC233">
        <v>0.89600000000000002</v>
      </c>
      <c r="AD233">
        <v>0.9</v>
      </c>
      <c r="AE233">
        <v>0.91900000000000004</v>
      </c>
      <c r="AF233">
        <v>0.9</v>
      </c>
      <c r="AG233">
        <v>0.92700000000000005</v>
      </c>
      <c r="AH233">
        <v>0.99099999999999999</v>
      </c>
      <c r="AI233">
        <v>0.98299999999999998</v>
      </c>
      <c r="AJ233">
        <v>1.054</v>
      </c>
      <c r="AK233">
        <v>1.1379999999999999</v>
      </c>
      <c r="AL233">
        <v>1.2370000000000001</v>
      </c>
      <c r="AM233">
        <v>1.321</v>
      </c>
      <c r="AN233">
        <v>1.333</v>
      </c>
      <c r="AO233">
        <v>1.3540000000000001</v>
      </c>
      <c r="AP233">
        <v>1.31</v>
      </c>
      <c r="AQ233">
        <v>1.3680000000000001</v>
      </c>
      <c r="AR233">
        <v>1.415</v>
      </c>
      <c r="AS233">
        <v>1.452</v>
      </c>
      <c r="AT233">
        <v>1.5089999999999999</v>
      </c>
      <c r="AU233">
        <v>1.5580000000000001</v>
      </c>
      <c r="AV233">
        <v>1.6160000000000001</v>
      </c>
      <c r="AW233">
        <v>1.6779999999999999</v>
      </c>
      <c r="AX233">
        <v>1.744</v>
      </c>
      <c r="AY233">
        <v>2014</v>
      </c>
    </row>
    <row r="234" spans="1:51" ht="14.45" x14ac:dyDescent="0.35">
      <c r="A234">
        <v>321</v>
      </c>
      <c r="B234" t="s">
        <v>440</v>
      </c>
      <c r="C234" t="s">
        <v>289</v>
      </c>
      <c r="D234" t="s">
        <v>93</v>
      </c>
      <c r="E234" t="s">
        <v>287</v>
      </c>
      <c r="F234" t="s">
        <v>290</v>
      </c>
      <c r="G234" t="s">
        <v>291</v>
      </c>
      <c r="H234" t="s">
        <v>283</v>
      </c>
      <c r="I234" t="s">
        <v>292</v>
      </c>
      <c r="J234">
        <v>7.2999999999999995E-2</v>
      </c>
      <c r="K234">
        <v>8.2000000000000003E-2</v>
      </c>
      <c r="L234">
        <v>0.09</v>
      </c>
      <c r="M234">
        <v>9.9000000000000005E-2</v>
      </c>
      <c r="N234">
        <v>0.109</v>
      </c>
      <c r="O234">
        <v>0.11899999999999999</v>
      </c>
      <c r="P234">
        <v>0.13500000000000001</v>
      </c>
      <c r="Q234">
        <v>0.152</v>
      </c>
      <c r="R234">
        <v>0.17100000000000001</v>
      </c>
      <c r="S234">
        <v>0.185</v>
      </c>
      <c r="T234">
        <v>0.20100000000000001</v>
      </c>
      <c r="U234">
        <v>0.22</v>
      </c>
      <c r="V234">
        <v>0.23400000000000001</v>
      </c>
      <c r="W234">
        <v>0.246</v>
      </c>
      <c r="X234">
        <v>0.26400000000000001</v>
      </c>
      <c r="Y234">
        <v>0.27500000000000002</v>
      </c>
      <c r="Z234">
        <v>0.29199999999999998</v>
      </c>
      <c r="AA234">
        <v>0.30299999999999999</v>
      </c>
      <c r="AB234">
        <v>0.32200000000000001</v>
      </c>
      <c r="AC234">
        <v>0.33200000000000002</v>
      </c>
      <c r="AD234">
        <v>0.33300000000000002</v>
      </c>
      <c r="AE234">
        <v>0.34</v>
      </c>
      <c r="AF234">
        <v>0.33300000000000002</v>
      </c>
      <c r="AG234">
        <v>0.34300000000000003</v>
      </c>
      <c r="AH234">
        <v>0.36699999999999999</v>
      </c>
      <c r="AI234">
        <v>0.36399999999999999</v>
      </c>
      <c r="AJ234">
        <v>0.39</v>
      </c>
      <c r="AK234">
        <v>0.42099999999999999</v>
      </c>
      <c r="AL234">
        <v>0.45800000000000002</v>
      </c>
      <c r="AM234">
        <v>0.48899999999999999</v>
      </c>
      <c r="AN234">
        <v>0.49399999999999999</v>
      </c>
      <c r="AO234">
        <v>0.501</v>
      </c>
      <c r="AP234">
        <v>0.48499999999999999</v>
      </c>
      <c r="AQ234">
        <v>0.50700000000000001</v>
      </c>
      <c r="AR234">
        <v>0.52400000000000002</v>
      </c>
      <c r="AS234">
        <v>0.53800000000000003</v>
      </c>
      <c r="AT234">
        <v>0.55900000000000005</v>
      </c>
      <c r="AU234">
        <v>0.57699999999999996</v>
      </c>
      <c r="AV234">
        <v>0.59799999999999998</v>
      </c>
      <c r="AW234">
        <v>0.621</v>
      </c>
      <c r="AX234">
        <v>0.64600000000000002</v>
      </c>
      <c r="AY234">
        <v>2014</v>
      </c>
    </row>
    <row r="235" spans="1:51" ht="14.45" x14ac:dyDescent="0.35">
      <c r="A235">
        <v>321</v>
      </c>
      <c r="B235" t="s">
        <v>440</v>
      </c>
      <c r="C235" t="s">
        <v>293</v>
      </c>
      <c r="D235" t="s">
        <v>93</v>
      </c>
      <c r="E235" t="s">
        <v>294</v>
      </c>
      <c r="F235" t="s">
        <v>295</v>
      </c>
      <c r="G235" t="s">
        <v>296</v>
      </c>
      <c r="I235" t="s">
        <v>297</v>
      </c>
      <c r="J235">
        <v>41.301000000000002</v>
      </c>
      <c r="K235">
        <v>42.027000000000001</v>
      </c>
      <c r="L235">
        <v>44.008000000000003</v>
      </c>
      <c r="M235">
        <v>47.290999999999997</v>
      </c>
      <c r="N235">
        <v>50.213000000000001</v>
      </c>
      <c r="O235">
        <v>54.197000000000003</v>
      </c>
      <c r="P235">
        <v>57.253999999999998</v>
      </c>
      <c r="Q235">
        <v>60.514000000000003</v>
      </c>
      <c r="R235">
        <v>63.235999999999997</v>
      </c>
      <c r="S235">
        <v>68.552999999999997</v>
      </c>
      <c r="T235">
        <v>70.751999999999995</v>
      </c>
      <c r="U235">
        <v>76.165999999999997</v>
      </c>
      <c r="V235">
        <v>79.507000000000005</v>
      </c>
      <c r="W235">
        <v>81.637</v>
      </c>
      <c r="X235">
        <v>87.873999999999995</v>
      </c>
      <c r="Y235">
        <v>88.563000000000002</v>
      </c>
      <c r="Z235">
        <v>91.454999999999998</v>
      </c>
      <c r="AA235">
        <v>92.775999999999996</v>
      </c>
      <c r="AB235">
        <v>95.132999999999996</v>
      </c>
      <c r="AC235">
        <v>97.545000000000002</v>
      </c>
      <c r="AD235">
        <v>95.807000000000002</v>
      </c>
      <c r="AE235">
        <v>97.802999999999997</v>
      </c>
      <c r="AF235">
        <v>98.576999999999998</v>
      </c>
      <c r="AG235">
        <v>95.501999999999995</v>
      </c>
      <c r="AH235">
        <v>99.123000000000005</v>
      </c>
      <c r="AI235">
        <v>97.686999999999998</v>
      </c>
      <c r="AJ235">
        <v>100</v>
      </c>
      <c r="AK235">
        <v>101.52500000000001</v>
      </c>
      <c r="AL235">
        <v>103.057</v>
      </c>
      <c r="AM235">
        <v>111.30500000000001</v>
      </c>
      <c r="AN235">
        <v>111.63500000000001</v>
      </c>
      <c r="AO235">
        <v>113.419</v>
      </c>
      <c r="AP235">
        <v>111.11799999999999</v>
      </c>
      <c r="AQ235">
        <v>115.36499999999999</v>
      </c>
      <c r="AR235">
        <v>114.91200000000001</v>
      </c>
      <c r="AS235">
        <v>114.673</v>
      </c>
      <c r="AT235">
        <v>115.38800000000001</v>
      </c>
      <c r="AU235">
        <v>117.047</v>
      </c>
      <c r="AV235">
        <v>119.122</v>
      </c>
      <c r="AW235">
        <v>121.43600000000001</v>
      </c>
      <c r="AX235">
        <v>123.937</v>
      </c>
      <c r="AY235">
        <v>2014</v>
      </c>
    </row>
    <row r="236" spans="1:51" x14ac:dyDescent="0.25">
      <c r="A236">
        <v>321</v>
      </c>
      <c r="B236" t="s">
        <v>440</v>
      </c>
      <c r="C236" t="s">
        <v>298</v>
      </c>
      <c r="D236" t="s">
        <v>93</v>
      </c>
      <c r="E236" t="s">
        <v>299</v>
      </c>
      <c r="F236" t="s">
        <v>300</v>
      </c>
      <c r="G236" t="s">
        <v>282</v>
      </c>
      <c r="H236" t="s">
        <v>283</v>
      </c>
      <c r="I236" t="s">
        <v>442</v>
      </c>
      <c r="J236" t="s">
        <v>285</v>
      </c>
      <c r="K236" t="s">
        <v>285</v>
      </c>
      <c r="L236" t="s">
        <v>285</v>
      </c>
      <c r="M236" t="s">
        <v>285</v>
      </c>
      <c r="N236" t="s">
        <v>285</v>
      </c>
      <c r="O236" t="s">
        <v>285</v>
      </c>
      <c r="P236" t="s">
        <v>285</v>
      </c>
      <c r="Q236" t="s">
        <v>285</v>
      </c>
      <c r="R236" t="s">
        <v>285</v>
      </c>
      <c r="S236" t="s">
        <v>285</v>
      </c>
      <c r="T236">
        <v>0.17899999999999999</v>
      </c>
      <c r="U236">
        <v>0.17699999999999999</v>
      </c>
      <c r="V236">
        <v>0.17699999999999999</v>
      </c>
      <c r="W236">
        <v>0.17299999999999999</v>
      </c>
      <c r="X236">
        <v>0.19800000000000001</v>
      </c>
      <c r="Y236">
        <v>0.22</v>
      </c>
      <c r="Z236">
        <v>0.22900000000000001</v>
      </c>
      <c r="AA236">
        <v>0.23799999999999999</v>
      </c>
      <c r="AB236">
        <v>0.29199999999999998</v>
      </c>
      <c r="AC236">
        <v>0.316</v>
      </c>
      <c r="AD236">
        <v>0.35</v>
      </c>
      <c r="AE236">
        <v>0.26900000000000002</v>
      </c>
      <c r="AF236">
        <v>0.26100000000000001</v>
      </c>
      <c r="AG236">
        <v>0.28899999999999998</v>
      </c>
      <c r="AH236">
        <v>0.29899999999999999</v>
      </c>
      <c r="AI236">
        <v>0.315</v>
      </c>
      <c r="AJ236">
        <v>0.32500000000000001</v>
      </c>
      <c r="AK236">
        <v>0.40400000000000003</v>
      </c>
      <c r="AL236">
        <v>0.44400000000000001</v>
      </c>
      <c r="AM236">
        <v>0.47599999999999998</v>
      </c>
      <c r="AN236">
        <v>0.53</v>
      </c>
      <c r="AO236">
        <v>0.46899999999999997</v>
      </c>
      <c r="AP236">
        <v>0.48099999999999998</v>
      </c>
      <c r="AQ236">
        <v>0.45600000000000002</v>
      </c>
      <c r="AR236">
        <v>0.47599999999999998</v>
      </c>
      <c r="AS236">
        <v>0.48699999999999999</v>
      </c>
      <c r="AT236">
        <v>0.50700000000000001</v>
      </c>
      <c r="AU236">
        <v>0.52600000000000002</v>
      </c>
      <c r="AV236">
        <v>0.54800000000000004</v>
      </c>
      <c r="AW236">
        <v>0.57099999999999995</v>
      </c>
      <c r="AX236">
        <v>0.59499999999999997</v>
      </c>
      <c r="AY236">
        <v>2014</v>
      </c>
    </row>
    <row r="237" spans="1:51" x14ac:dyDescent="0.25">
      <c r="A237">
        <v>243</v>
      </c>
      <c r="B237" t="s">
        <v>443</v>
      </c>
      <c r="C237" t="s">
        <v>279</v>
      </c>
      <c r="D237" t="s">
        <v>94</v>
      </c>
      <c r="E237" t="s">
        <v>280</v>
      </c>
      <c r="F237" t="s">
        <v>281</v>
      </c>
      <c r="G237" t="s">
        <v>282</v>
      </c>
      <c r="H237" t="s">
        <v>283</v>
      </c>
      <c r="I237" t="s">
        <v>444</v>
      </c>
      <c r="J237">
        <v>468.83800000000002</v>
      </c>
      <c r="K237">
        <v>488.899</v>
      </c>
      <c r="L237">
        <v>497.20800000000003</v>
      </c>
      <c r="M237">
        <v>520.21900000000005</v>
      </c>
      <c r="N237">
        <v>526.73699999999997</v>
      </c>
      <c r="O237">
        <v>515.55700000000002</v>
      </c>
      <c r="P237">
        <v>533.71400000000006</v>
      </c>
      <c r="Q237">
        <v>587.71199999999999</v>
      </c>
      <c r="R237">
        <v>600.38300000000004</v>
      </c>
      <c r="S237">
        <v>626.803</v>
      </c>
      <c r="T237">
        <v>592.61500000000001</v>
      </c>
      <c r="U237">
        <v>598.21500000000003</v>
      </c>
      <c r="V237">
        <v>631.49300000000005</v>
      </c>
      <c r="W237">
        <v>677.10500000000002</v>
      </c>
      <c r="X237">
        <v>692.73900000000003</v>
      </c>
      <c r="Y237">
        <v>730.85299999999995</v>
      </c>
      <c r="Z237">
        <v>783.03899999999999</v>
      </c>
      <c r="AA237">
        <v>845.84100000000001</v>
      </c>
      <c r="AB237">
        <v>904.97699999999998</v>
      </c>
      <c r="AC237">
        <v>965.61900000000003</v>
      </c>
      <c r="AD237" s="21">
        <v>1020.16</v>
      </c>
      <c r="AE237" s="21">
        <v>1038.432</v>
      </c>
      <c r="AF237" s="21">
        <v>1098.4110000000001</v>
      </c>
      <c r="AG237" s="21">
        <v>1095.6469999999999</v>
      </c>
      <c r="AH237" s="21">
        <v>1109.932</v>
      </c>
      <c r="AI237" s="21">
        <v>1212.2909999999999</v>
      </c>
      <c r="AJ237" s="21">
        <v>1341.49</v>
      </c>
      <c r="AK237" s="21">
        <v>1455.2529999999999</v>
      </c>
      <c r="AL237" s="21">
        <v>1501.002</v>
      </c>
      <c r="AM237" s="21">
        <v>1515.048</v>
      </c>
      <c r="AN237" s="21">
        <v>1640.83</v>
      </c>
      <c r="AO237" s="21">
        <v>1687.116</v>
      </c>
      <c r="AP237" s="21">
        <v>1731.479</v>
      </c>
      <c r="AQ237" s="21">
        <v>1814.204</v>
      </c>
      <c r="AR237" s="21">
        <v>1947.383</v>
      </c>
      <c r="AS237" s="21">
        <v>2054.489</v>
      </c>
      <c r="AT237" s="21">
        <v>2146.9409999999998</v>
      </c>
      <c r="AU237" s="21">
        <v>2232.8180000000002</v>
      </c>
      <c r="AV237" s="21">
        <v>2322.1309999999999</v>
      </c>
      <c r="AW237" s="21">
        <v>2415.0160000000001</v>
      </c>
      <c r="AX237" s="21">
        <v>2511.6170000000002</v>
      </c>
      <c r="AY237">
        <v>2014</v>
      </c>
    </row>
    <row r="238" spans="1:51" x14ac:dyDescent="0.25">
      <c r="A238">
        <v>243</v>
      </c>
      <c r="B238" t="s">
        <v>443</v>
      </c>
      <c r="C238" t="s">
        <v>286</v>
      </c>
      <c r="D238" t="s">
        <v>94</v>
      </c>
      <c r="E238" t="s">
        <v>287</v>
      </c>
      <c r="F238" t="s">
        <v>288</v>
      </c>
      <c r="G238" t="s">
        <v>282</v>
      </c>
      <c r="H238" t="s">
        <v>283</v>
      </c>
      <c r="I238" t="s">
        <v>444</v>
      </c>
      <c r="J238">
        <v>9.2479999999999993</v>
      </c>
      <c r="K238">
        <v>10.342000000000001</v>
      </c>
      <c r="L238">
        <v>11.308</v>
      </c>
      <c r="M238">
        <v>12.612</v>
      </c>
      <c r="N238">
        <v>15.858000000000001</v>
      </c>
      <c r="O238">
        <v>21.475999999999999</v>
      </c>
      <c r="P238">
        <v>24.32</v>
      </c>
      <c r="Q238">
        <v>30.643000000000001</v>
      </c>
      <c r="R238">
        <v>44.932000000000002</v>
      </c>
      <c r="S238">
        <v>57.984000000000002</v>
      </c>
      <c r="T238">
        <v>82.483999999999995</v>
      </c>
      <c r="U238">
        <v>131.761</v>
      </c>
      <c r="V238">
        <v>153.792</v>
      </c>
      <c r="W238">
        <v>173.13499999999999</v>
      </c>
      <c r="X238">
        <v>195.20099999999999</v>
      </c>
      <c r="Y238">
        <v>225.274</v>
      </c>
      <c r="Z238">
        <v>249.744</v>
      </c>
      <c r="AA238">
        <v>292.92200000000003</v>
      </c>
      <c r="AB238">
        <v>332.42500000000001</v>
      </c>
      <c r="AC238">
        <v>366.79700000000003</v>
      </c>
      <c r="AD238">
        <v>414.459</v>
      </c>
      <c r="AE238">
        <v>443.786</v>
      </c>
      <c r="AF238">
        <v>494.85199999999998</v>
      </c>
      <c r="AG238">
        <v>657.81200000000001</v>
      </c>
      <c r="AH238">
        <v>971.73400000000004</v>
      </c>
      <c r="AI238" s="21">
        <v>1088.056</v>
      </c>
      <c r="AJ238" s="21">
        <v>1269.8979999999999</v>
      </c>
      <c r="AK238" s="21">
        <v>1455.2529999999999</v>
      </c>
      <c r="AL238" s="21">
        <v>1656.962</v>
      </c>
      <c r="AM238" s="21">
        <v>1729.4680000000001</v>
      </c>
      <c r="AN238" s="21">
        <v>1978.8520000000001</v>
      </c>
      <c r="AO238" s="21">
        <v>2218.4290000000001</v>
      </c>
      <c r="AP238" s="21">
        <v>2377.5039999999999</v>
      </c>
      <c r="AQ238" s="21">
        <v>2558.5859999999998</v>
      </c>
      <c r="AR238" s="21">
        <v>2786.23</v>
      </c>
      <c r="AS238" s="21">
        <v>2983.5639999999999</v>
      </c>
      <c r="AT238" s="21">
        <v>3226.9490000000001</v>
      </c>
      <c r="AU238" s="21">
        <v>3490.2730000000001</v>
      </c>
      <c r="AV238" s="21">
        <v>3775.0790000000002</v>
      </c>
      <c r="AW238" s="21">
        <v>4083.1260000000002</v>
      </c>
      <c r="AX238" s="21">
        <v>4416.3090000000002</v>
      </c>
      <c r="AY238">
        <v>2014</v>
      </c>
    </row>
    <row r="239" spans="1:51" x14ac:dyDescent="0.25">
      <c r="A239">
        <v>243</v>
      </c>
      <c r="B239" t="s">
        <v>443</v>
      </c>
      <c r="C239" t="s">
        <v>289</v>
      </c>
      <c r="D239" t="s">
        <v>94</v>
      </c>
      <c r="E239" t="s">
        <v>287</v>
      </c>
      <c r="F239" t="s">
        <v>290</v>
      </c>
      <c r="G239" t="s">
        <v>291</v>
      </c>
      <c r="H239" t="s">
        <v>283</v>
      </c>
      <c r="I239" t="s">
        <v>292</v>
      </c>
      <c r="J239">
        <v>9.2479999999999993</v>
      </c>
      <c r="K239">
        <v>10.342000000000001</v>
      </c>
      <c r="L239">
        <v>9.7479999999999993</v>
      </c>
      <c r="M239">
        <v>10.089</v>
      </c>
      <c r="N239">
        <v>15.858000000000001</v>
      </c>
      <c r="O239">
        <v>6.9279999999999999</v>
      </c>
      <c r="P239">
        <v>8.4149999999999991</v>
      </c>
      <c r="Q239">
        <v>8.8559999999999999</v>
      </c>
      <c r="R239">
        <v>8.11</v>
      </c>
      <c r="S239">
        <v>9.16</v>
      </c>
      <c r="T239">
        <v>8.5259999999999998</v>
      </c>
      <c r="U239">
        <v>10.544</v>
      </c>
      <c r="V239">
        <v>12.303000000000001</v>
      </c>
      <c r="W239">
        <v>13.851000000000001</v>
      </c>
      <c r="X239">
        <v>15.472</v>
      </c>
      <c r="Y239">
        <v>17.504000000000001</v>
      </c>
      <c r="Z239">
        <v>19.364999999999998</v>
      </c>
      <c r="AA239">
        <v>20.914000000000001</v>
      </c>
      <c r="AB239">
        <v>22.609000000000002</v>
      </c>
      <c r="AC239">
        <v>23.164999999999999</v>
      </c>
      <c r="AD239">
        <v>25.613</v>
      </c>
      <c r="AE239">
        <v>26.588000000000001</v>
      </c>
      <c r="AF239">
        <v>28.242999999999999</v>
      </c>
      <c r="AG239">
        <v>22.516999999999999</v>
      </c>
      <c r="AH239">
        <v>23.366</v>
      </c>
      <c r="AI239">
        <v>36.100999999999999</v>
      </c>
      <c r="AJ239">
        <v>38.253999999999998</v>
      </c>
      <c r="AK239">
        <v>43.972000000000001</v>
      </c>
      <c r="AL239">
        <v>48.07</v>
      </c>
      <c r="AM239">
        <v>48.136000000000003</v>
      </c>
      <c r="AN239">
        <v>53.802999999999997</v>
      </c>
      <c r="AO239">
        <v>58.304000000000002</v>
      </c>
      <c r="AP239">
        <v>60.53</v>
      </c>
      <c r="AQ239">
        <v>61.292999999999999</v>
      </c>
      <c r="AR239">
        <v>64.058000000000007</v>
      </c>
      <c r="AS239">
        <v>66.575000000000003</v>
      </c>
      <c r="AT239">
        <v>69.908000000000001</v>
      </c>
      <c r="AU239">
        <v>73.41</v>
      </c>
      <c r="AV239">
        <v>77.087999999999994</v>
      </c>
      <c r="AW239">
        <v>80.95</v>
      </c>
      <c r="AX239">
        <v>85.004999999999995</v>
      </c>
      <c r="AY239">
        <v>2014</v>
      </c>
    </row>
    <row r="240" spans="1:51" x14ac:dyDescent="0.25">
      <c r="A240">
        <v>243</v>
      </c>
      <c r="B240" t="s">
        <v>443</v>
      </c>
      <c r="C240" t="s">
        <v>293</v>
      </c>
      <c r="D240" t="s">
        <v>94</v>
      </c>
      <c r="E240" t="s">
        <v>294</v>
      </c>
      <c r="F240" t="s">
        <v>295</v>
      </c>
      <c r="G240" t="s">
        <v>296</v>
      </c>
      <c r="I240" t="s">
        <v>297</v>
      </c>
      <c r="J240">
        <v>1.9730000000000001</v>
      </c>
      <c r="K240">
        <v>2.1150000000000002</v>
      </c>
      <c r="L240">
        <v>2.274</v>
      </c>
      <c r="M240">
        <v>2.4239999999999999</v>
      </c>
      <c r="N240">
        <v>3.0110000000000001</v>
      </c>
      <c r="O240">
        <v>4.1660000000000004</v>
      </c>
      <c r="P240">
        <v>4.5570000000000004</v>
      </c>
      <c r="Q240">
        <v>5.2140000000000004</v>
      </c>
      <c r="R240">
        <v>7.484</v>
      </c>
      <c r="S240">
        <v>9.2509999999999994</v>
      </c>
      <c r="T240">
        <v>13.919</v>
      </c>
      <c r="U240">
        <v>22.026</v>
      </c>
      <c r="V240">
        <v>24.353999999999999</v>
      </c>
      <c r="W240">
        <v>25.57</v>
      </c>
      <c r="X240">
        <v>28.178000000000001</v>
      </c>
      <c r="Y240">
        <v>30.824000000000002</v>
      </c>
      <c r="Z240">
        <v>31.893999999999998</v>
      </c>
      <c r="AA240">
        <v>34.631</v>
      </c>
      <c r="AB240">
        <v>36.732999999999997</v>
      </c>
      <c r="AC240">
        <v>37.985999999999997</v>
      </c>
      <c r="AD240">
        <v>40.627000000000002</v>
      </c>
      <c r="AE240">
        <v>42.735999999999997</v>
      </c>
      <c r="AF240">
        <v>45.052</v>
      </c>
      <c r="AG240">
        <v>60.039000000000001</v>
      </c>
      <c r="AH240">
        <v>87.549000000000007</v>
      </c>
      <c r="AI240">
        <v>89.751999999999995</v>
      </c>
      <c r="AJ240">
        <v>94.662999999999997</v>
      </c>
      <c r="AK240">
        <v>100</v>
      </c>
      <c r="AL240">
        <v>110.39</v>
      </c>
      <c r="AM240">
        <v>114.15300000000001</v>
      </c>
      <c r="AN240">
        <v>120.601</v>
      </c>
      <c r="AO240">
        <v>131.49199999999999</v>
      </c>
      <c r="AP240">
        <v>137.31100000000001</v>
      </c>
      <c r="AQ240">
        <v>141.03100000000001</v>
      </c>
      <c r="AR240">
        <v>143.07599999999999</v>
      </c>
      <c r="AS240">
        <v>145.22200000000001</v>
      </c>
      <c r="AT240">
        <v>150.304</v>
      </c>
      <c r="AU240">
        <v>156.31700000000001</v>
      </c>
      <c r="AV240">
        <v>162.57</v>
      </c>
      <c r="AW240">
        <v>169.072</v>
      </c>
      <c r="AX240">
        <v>175.83500000000001</v>
      </c>
      <c r="AY240">
        <v>2014</v>
      </c>
    </row>
    <row r="241" spans="1:51" x14ac:dyDescent="0.25">
      <c r="A241">
        <v>243</v>
      </c>
      <c r="B241" t="s">
        <v>443</v>
      </c>
      <c r="C241" t="s">
        <v>298</v>
      </c>
      <c r="D241" t="s">
        <v>94</v>
      </c>
      <c r="E241" t="s">
        <v>299</v>
      </c>
      <c r="F241" t="s">
        <v>300</v>
      </c>
      <c r="G241" t="s">
        <v>282</v>
      </c>
      <c r="H241" t="s">
        <v>283</v>
      </c>
      <c r="I241" t="s">
        <v>445</v>
      </c>
      <c r="J241" t="s">
        <v>285</v>
      </c>
      <c r="K241" t="s">
        <v>285</v>
      </c>
      <c r="L241" t="s">
        <v>285</v>
      </c>
      <c r="M241" t="s">
        <v>285</v>
      </c>
      <c r="N241" t="s">
        <v>285</v>
      </c>
      <c r="O241" t="s">
        <v>285</v>
      </c>
      <c r="P241" t="s">
        <v>285</v>
      </c>
      <c r="Q241" t="s">
        <v>285</v>
      </c>
      <c r="R241" t="s">
        <v>285</v>
      </c>
      <c r="S241" t="s">
        <v>285</v>
      </c>
      <c r="T241" t="s">
        <v>285</v>
      </c>
      <c r="U241" t="s">
        <v>285</v>
      </c>
      <c r="V241" t="s">
        <v>285</v>
      </c>
      <c r="W241" t="s">
        <v>285</v>
      </c>
      <c r="X241" t="s">
        <v>285</v>
      </c>
      <c r="Y241" t="s">
        <v>285</v>
      </c>
      <c r="Z241" t="s">
        <v>285</v>
      </c>
      <c r="AA241">
        <v>38.097000000000001</v>
      </c>
      <c r="AB241">
        <v>41.406999999999996</v>
      </c>
      <c r="AC241">
        <v>48.46</v>
      </c>
      <c r="AD241">
        <v>57.179000000000002</v>
      </c>
      <c r="AE241">
        <v>67.231999999999999</v>
      </c>
      <c r="AF241">
        <v>75.647999999999996</v>
      </c>
      <c r="AG241">
        <v>119.521</v>
      </c>
      <c r="AH241">
        <v>159.845</v>
      </c>
      <c r="AI241">
        <v>164.072</v>
      </c>
      <c r="AJ241">
        <v>203.83500000000001</v>
      </c>
      <c r="AK241">
        <v>237.327</v>
      </c>
      <c r="AL241">
        <v>303.84300000000002</v>
      </c>
      <c r="AM241">
        <v>282.07600000000002</v>
      </c>
      <c r="AN241">
        <v>313.32299999999998</v>
      </c>
      <c r="AO241">
        <v>352.46199999999999</v>
      </c>
      <c r="AP241">
        <v>480.01</v>
      </c>
      <c r="AQ241">
        <v>463.45800000000003</v>
      </c>
      <c r="AR241">
        <v>504.03899999999999</v>
      </c>
      <c r="AS241">
        <v>545.36</v>
      </c>
      <c r="AT241">
        <v>596.59699999999998</v>
      </c>
      <c r="AU241">
        <v>652.77099999999996</v>
      </c>
      <c r="AV241">
        <v>681.37900000000002</v>
      </c>
      <c r="AW241">
        <v>739.279</v>
      </c>
      <c r="AX241">
        <v>800.92600000000004</v>
      </c>
      <c r="AY241">
        <v>2014</v>
      </c>
    </row>
    <row r="242" spans="1:51" x14ac:dyDescent="0.25">
      <c r="A242">
        <v>248</v>
      </c>
      <c r="B242" t="s">
        <v>446</v>
      </c>
      <c r="C242" t="s">
        <v>279</v>
      </c>
      <c r="D242" t="s">
        <v>95</v>
      </c>
      <c r="E242" t="s">
        <v>280</v>
      </c>
      <c r="F242" t="s">
        <v>281</v>
      </c>
      <c r="G242" t="s">
        <v>282</v>
      </c>
      <c r="H242" t="s">
        <v>283</v>
      </c>
      <c r="I242" t="s">
        <v>447</v>
      </c>
      <c r="J242">
        <v>24.536000000000001</v>
      </c>
      <c r="K242">
        <v>25.492999999999999</v>
      </c>
      <c r="L242">
        <v>25.798999999999999</v>
      </c>
      <c r="M242">
        <v>25.077000000000002</v>
      </c>
      <c r="N242">
        <v>26.13</v>
      </c>
      <c r="O242">
        <v>27.28</v>
      </c>
      <c r="P242">
        <v>28.123999999999999</v>
      </c>
      <c r="Q242">
        <v>26.443999999999999</v>
      </c>
      <c r="R242">
        <v>29.216999999999999</v>
      </c>
      <c r="S242">
        <v>29.3</v>
      </c>
      <c r="T242">
        <v>30.181000000000001</v>
      </c>
      <c r="U242">
        <v>31.725000000000001</v>
      </c>
      <c r="V242">
        <v>32.871000000000002</v>
      </c>
      <c r="W242">
        <v>33.529000000000003</v>
      </c>
      <c r="X242">
        <v>34.956000000000003</v>
      </c>
      <c r="Y242">
        <v>35.744</v>
      </c>
      <c r="Z242">
        <v>36.363</v>
      </c>
      <c r="AA242">
        <v>37.936</v>
      </c>
      <c r="AB242">
        <v>39.176000000000002</v>
      </c>
      <c r="AC242">
        <v>37.319000000000003</v>
      </c>
      <c r="AD242">
        <v>37.725999999999999</v>
      </c>
      <c r="AE242">
        <v>39.241</v>
      </c>
      <c r="AF242">
        <v>40.848999999999997</v>
      </c>
      <c r="AG242">
        <v>41.960999999999999</v>
      </c>
      <c r="AH242">
        <v>45.406999999999996</v>
      </c>
      <c r="AI242">
        <v>47.808999999999997</v>
      </c>
      <c r="AJ242">
        <v>49.914999999999999</v>
      </c>
      <c r="AK242">
        <v>51.008000000000003</v>
      </c>
      <c r="AL242">
        <v>54.25</v>
      </c>
      <c r="AM242">
        <v>54.558</v>
      </c>
      <c r="AN242">
        <v>56.481000000000002</v>
      </c>
      <c r="AO242">
        <v>60.924999999999997</v>
      </c>
      <c r="AP242">
        <v>64.105999999999995</v>
      </c>
      <c r="AQ242">
        <v>67.081000000000003</v>
      </c>
      <c r="AR242">
        <v>69.632000000000005</v>
      </c>
      <c r="AS242">
        <v>69.203000000000003</v>
      </c>
      <c r="AT242">
        <v>69.244</v>
      </c>
      <c r="AU242">
        <v>69.662999999999997</v>
      </c>
      <c r="AV242">
        <v>70.528000000000006</v>
      </c>
      <c r="AW242">
        <v>71.587999999999994</v>
      </c>
      <c r="AX242">
        <v>72.905000000000001</v>
      </c>
      <c r="AY242">
        <v>2014</v>
      </c>
    </row>
    <row r="243" spans="1:51" x14ac:dyDescent="0.25">
      <c r="A243">
        <v>248</v>
      </c>
      <c r="B243" t="s">
        <v>446</v>
      </c>
      <c r="C243" t="s">
        <v>286</v>
      </c>
      <c r="D243" t="s">
        <v>95</v>
      </c>
      <c r="E243" t="s">
        <v>287</v>
      </c>
      <c r="F243" t="s">
        <v>288</v>
      </c>
      <c r="G243" t="s">
        <v>282</v>
      </c>
      <c r="H243" t="s">
        <v>283</v>
      </c>
      <c r="I243" t="s">
        <v>447</v>
      </c>
      <c r="J243">
        <v>16.84</v>
      </c>
      <c r="K243">
        <v>17.242999999999999</v>
      </c>
      <c r="L243">
        <v>17.213999999999999</v>
      </c>
      <c r="M243">
        <v>15.129</v>
      </c>
      <c r="N243">
        <v>16.100999999999999</v>
      </c>
      <c r="O243">
        <v>18.829999999999998</v>
      </c>
      <c r="P243">
        <v>13.816000000000001</v>
      </c>
      <c r="Q243">
        <v>12.91</v>
      </c>
      <c r="R243">
        <v>12.276999999999999</v>
      </c>
      <c r="S243">
        <v>12.048999999999999</v>
      </c>
      <c r="T243">
        <v>12.236000000000001</v>
      </c>
      <c r="U243">
        <v>13.73</v>
      </c>
      <c r="V243">
        <v>15.012</v>
      </c>
      <c r="W243">
        <v>17.536999999999999</v>
      </c>
      <c r="X243">
        <v>21.146999999999998</v>
      </c>
      <c r="Y243">
        <v>22.968</v>
      </c>
      <c r="Z243">
        <v>24.035</v>
      </c>
      <c r="AA243">
        <v>27.009</v>
      </c>
      <c r="AB243">
        <v>27.474</v>
      </c>
      <c r="AC243">
        <v>19.739999999999998</v>
      </c>
      <c r="AD243">
        <v>18.318999999999999</v>
      </c>
      <c r="AE243">
        <v>24.468</v>
      </c>
      <c r="AF243">
        <v>28.548999999999999</v>
      </c>
      <c r="AG243">
        <v>32.433</v>
      </c>
      <c r="AH243">
        <v>36.591999999999999</v>
      </c>
      <c r="AI243">
        <v>41.506999999999998</v>
      </c>
      <c r="AJ243">
        <v>46.802</v>
      </c>
      <c r="AK243">
        <v>51.008000000000003</v>
      </c>
      <c r="AL243">
        <v>61.762999999999998</v>
      </c>
      <c r="AM243">
        <v>62.52</v>
      </c>
      <c r="AN243">
        <v>69.555000000000007</v>
      </c>
      <c r="AO243">
        <v>79.277000000000001</v>
      </c>
      <c r="AP243">
        <v>87.623000000000005</v>
      </c>
      <c r="AQ243">
        <v>94.472999999999999</v>
      </c>
      <c r="AR243">
        <v>100.54300000000001</v>
      </c>
      <c r="AS243">
        <v>98.924999999999997</v>
      </c>
      <c r="AT243">
        <v>101.69799999999999</v>
      </c>
      <c r="AU243">
        <v>104.773</v>
      </c>
      <c r="AV243">
        <v>108.468</v>
      </c>
      <c r="AW243">
        <v>112.41800000000001</v>
      </c>
      <c r="AX243">
        <v>116.105</v>
      </c>
      <c r="AY243">
        <v>2014</v>
      </c>
    </row>
    <row r="244" spans="1:51" x14ac:dyDescent="0.25">
      <c r="A244">
        <v>248</v>
      </c>
      <c r="B244" t="s">
        <v>446</v>
      </c>
      <c r="C244" t="s">
        <v>289</v>
      </c>
      <c r="D244" t="s">
        <v>95</v>
      </c>
      <c r="E244" t="s">
        <v>287</v>
      </c>
      <c r="F244" t="s">
        <v>290</v>
      </c>
      <c r="G244" t="s">
        <v>291</v>
      </c>
      <c r="H244" t="s">
        <v>283</v>
      </c>
      <c r="I244" t="s">
        <v>292</v>
      </c>
      <c r="J244">
        <v>16.84</v>
      </c>
      <c r="K244">
        <v>17.242999999999999</v>
      </c>
      <c r="L244">
        <v>17.213999999999999</v>
      </c>
      <c r="M244">
        <v>15.129</v>
      </c>
      <c r="N244">
        <v>16.100999999999999</v>
      </c>
      <c r="O244">
        <v>18.829999999999998</v>
      </c>
      <c r="P244">
        <v>13.816000000000001</v>
      </c>
      <c r="Q244">
        <v>12.91</v>
      </c>
      <c r="R244">
        <v>12.276999999999999</v>
      </c>
      <c r="S244">
        <v>12.048999999999999</v>
      </c>
      <c r="T244">
        <v>12.236000000000001</v>
      </c>
      <c r="U244">
        <v>13.73</v>
      </c>
      <c r="V244">
        <v>15.012</v>
      </c>
      <c r="W244">
        <v>17.536999999999999</v>
      </c>
      <c r="X244">
        <v>21.146999999999998</v>
      </c>
      <c r="Y244">
        <v>22.968</v>
      </c>
      <c r="Z244">
        <v>24.035</v>
      </c>
      <c r="AA244">
        <v>27.009</v>
      </c>
      <c r="AB244">
        <v>27.474</v>
      </c>
      <c r="AC244">
        <v>19.739999999999998</v>
      </c>
      <c r="AD244">
        <v>18.318999999999999</v>
      </c>
      <c r="AE244">
        <v>24.468</v>
      </c>
      <c r="AF244">
        <v>28.548999999999999</v>
      </c>
      <c r="AG244">
        <v>32.433</v>
      </c>
      <c r="AH244">
        <v>36.591999999999999</v>
      </c>
      <c r="AI244">
        <v>41.506999999999998</v>
      </c>
      <c r="AJ244">
        <v>46.802</v>
      </c>
      <c r="AK244">
        <v>51.008000000000003</v>
      </c>
      <c r="AL244">
        <v>61.762999999999998</v>
      </c>
      <c r="AM244">
        <v>62.52</v>
      </c>
      <c r="AN244">
        <v>69.555000000000007</v>
      </c>
      <c r="AO244">
        <v>79.277000000000001</v>
      </c>
      <c r="AP244">
        <v>87.623000000000005</v>
      </c>
      <c r="AQ244">
        <v>94.472999999999999</v>
      </c>
      <c r="AR244">
        <v>100.54300000000001</v>
      </c>
      <c r="AS244">
        <v>98.924999999999997</v>
      </c>
      <c r="AT244">
        <v>101.69799999999999</v>
      </c>
      <c r="AU244">
        <v>104.773</v>
      </c>
      <c r="AV244">
        <v>108.468</v>
      </c>
      <c r="AW244">
        <v>112.41800000000001</v>
      </c>
      <c r="AX244">
        <v>116.105</v>
      </c>
      <c r="AY244">
        <v>2014</v>
      </c>
    </row>
    <row r="245" spans="1:51" x14ac:dyDescent="0.25">
      <c r="A245">
        <v>248</v>
      </c>
      <c r="B245" t="s">
        <v>446</v>
      </c>
      <c r="C245" t="s">
        <v>293</v>
      </c>
      <c r="D245" t="s">
        <v>95</v>
      </c>
      <c r="E245" t="s">
        <v>294</v>
      </c>
      <c r="F245" t="s">
        <v>295</v>
      </c>
      <c r="G245" t="s">
        <v>296</v>
      </c>
      <c r="I245" t="s">
        <v>297</v>
      </c>
      <c r="J245">
        <v>68.634</v>
      </c>
      <c r="K245">
        <v>67.638000000000005</v>
      </c>
      <c r="L245">
        <v>66.724000000000004</v>
      </c>
      <c r="M245">
        <v>60.332000000000001</v>
      </c>
      <c r="N245">
        <v>61.619</v>
      </c>
      <c r="O245">
        <v>69.024000000000001</v>
      </c>
      <c r="P245">
        <v>49.127000000000002</v>
      </c>
      <c r="Q245">
        <v>48.82</v>
      </c>
      <c r="R245">
        <v>42.021000000000001</v>
      </c>
      <c r="S245">
        <v>41.122999999999998</v>
      </c>
      <c r="T245">
        <v>40.540999999999997</v>
      </c>
      <c r="U245">
        <v>43.279000000000003</v>
      </c>
      <c r="V245">
        <v>45.670999999999999</v>
      </c>
      <c r="W245">
        <v>52.305</v>
      </c>
      <c r="X245">
        <v>60.497</v>
      </c>
      <c r="Y245">
        <v>64.257999999999996</v>
      </c>
      <c r="Z245">
        <v>66.097999999999999</v>
      </c>
      <c r="AA245">
        <v>71.194999999999993</v>
      </c>
      <c r="AB245">
        <v>70.129000000000005</v>
      </c>
      <c r="AC245">
        <v>52.895000000000003</v>
      </c>
      <c r="AD245">
        <v>48.555999999999997</v>
      </c>
      <c r="AE245">
        <v>62.353000000000002</v>
      </c>
      <c r="AF245">
        <v>69.888999999999996</v>
      </c>
      <c r="AG245">
        <v>77.292000000000002</v>
      </c>
      <c r="AH245">
        <v>80.585999999999999</v>
      </c>
      <c r="AI245">
        <v>86.817999999999998</v>
      </c>
      <c r="AJ245">
        <v>93.763999999999996</v>
      </c>
      <c r="AK245">
        <v>100</v>
      </c>
      <c r="AL245">
        <v>113.84699999999999</v>
      </c>
      <c r="AM245">
        <v>114.59399999999999</v>
      </c>
      <c r="AN245">
        <v>123.148</v>
      </c>
      <c r="AO245">
        <v>130.12200000000001</v>
      </c>
      <c r="AP245">
        <v>136.68600000000001</v>
      </c>
      <c r="AQ245">
        <v>140.834</v>
      </c>
      <c r="AR245">
        <v>144.393</v>
      </c>
      <c r="AS245">
        <v>142.94900000000001</v>
      </c>
      <c r="AT245">
        <v>146.87</v>
      </c>
      <c r="AU245">
        <v>150.4</v>
      </c>
      <c r="AV245">
        <v>153.79400000000001</v>
      </c>
      <c r="AW245">
        <v>157.03399999999999</v>
      </c>
      <c r="AX245">
        <v>159.256</v>
      </c>
      <c r="AY245">
        <v>2014</v>
      </c>
    </row>
    <row r="246" spans="1:51" x14ac:dyDescent="0.25">
      <c r="A246">
        <v>248</v>
      </c>
      <c r="B246" t="s">
        <v>446</v>
      </c>
      <c r="C246" t="s">
        <v>298</v>
      </c>
      <c r="D246" t="s">
        <v>95</v>
      </c>
      <c r="E246" t="s">
        <v>299</v>
      </c>
      <c r="F246" t="s">
        <v>300</v>
      </c>
      <c r="G246" t="s">
        <v>282</v>
      </c>
      <c r="H246" t="s">
        <v>283</v>
      </c>
      <c r="I246" t="s">
        <v>448</v>
      </c>
      <c r="J246" t="s">
        <v>285</v>
      </c>
      <c r="K246" t="s">
        <v>285</v>
      </c>
      <c r="L246" t="s">
        <v>285</v>
      </c>
      <c r="M246" t="s">
        <v>285</v>
      </c>
      <c r="N246" t="s">
        <v>285</v>
      </c>
      <c r="O246" t="s">
        <v>285</v>
      </c>
      <c r="P246" t="s">
        <v>285</v>
      </c>
      <c r="Q246" t="s">
        <v>285</v>
      </c>
      <c r="R246" t="s">
        <v>285</v>
      </c>
      <c r="S246" t="s">
        <v>285</v>
      </c>
      <c r="T246" t="s">
        <v>285</v>
      </c>
      <c r="U246" t="s">
        <v>285</v>
      </c>
      <c r="V246" t="s">
        <v>285</v>
      </c>
      <c r="W246" t="s">
        <v>285</v>
      </c>
      <c r="X246" t="s">
        <v>285</v>
      </c>
      <c r="Y246">
        <v>4.8179999999999996</v>
      </c>
      <c r="Z246">
        <v>5.2220000000000004</v>
      </c>
      <c r="AA246">
        <v>5.6689999999999996</v>
      </c>
      <c r="AB246">
        <v>5.6529999999999996</v>
      </c>
      <c r="AC246">
        <v>4.5519999999999996</v>
      </c>
      <c r="AD246">
        <v>4.2469999999999999</v>
      </c>
      <c r="AE246">
        <v>4.9400000000000004</v>
      </c>
      <c r="AF246">
        <v>6.1139999999999999</v>
      </c>
      <c r="AG246">
        <v>6.5869999999999997</v>
      </c>
      <c r="AH246">
        <v>7.47</v>
      </c>
      <c r="AI246">
        <v>8.8800000000000008</v>
      </c>
      <c r="AJ246">
        <v>9.9280000000000008</v>
      </c>
      <c r="AK246">
        <v>12.554</v>
      </c>
      <c r="AL246">
        <v>21.762</v>
      </c>
      <c r="AM246">
        <v>20.61</v>
      </c>
      <c r="AN246">
        <v>24.123000000000001</v>
      </c>
      <c r="AO246">
        <v>31.195</v>
      </c>
      <c r="AP246">
        <v>35.393999999999998</v>
      </c>
      <c r="AQ246">
        <v>41.606999999999999</v>
      </c>
      <c r="AR246">
        <v>44.411000000000001</v>
      </c>
      <c r="AS246">
        <v>40.128999999999998</v>
      </c>
      <c r="AT246">
        <v>37.999000000000002</v>
      </c>
      <c r="AU246">
        <v>37.036999999999999</v>
      </c>
      <c r="AV246">
        <v>37.838999999999999</v>
      </c>
      <c r="AW246">
        <v>38.581000000000003</v>
      </c>
      <c r="AX246">
        <v>39.377000000000002</v>
      </c>
      <c r="AY246">
        <v>2014</v>
      </c>
    </row>
    <row r="247" spans="1:51" x14ac:dyDescent="0.25">
      <c r="A247">
        <v>469</v>
      </c>
      <c r="B247" t="s">
        <v>449</v>
      </c>
      <c r="C247" t="s">
        <v>279</v>
      </c>
      <c r="D247" t="s">
        <v>96</v>
      </c>
      <c r="E247" t="s">
        <v>280</v>
      </c>
      <c r="F247" t="s">
        <v>281</v>
      </c>
      <c r="G247" t="s">
        <v>282</v>
      </c>
      <c r="H247" t="s">
        <v>283</v>
      </c>
      <c r="I247" t="s">
        <v>450</v>
      </c>
      <c r="J247">
        <v>368.286</v>
      </c>
      <c r="K247">
        <v>376.38099999999997</v>
      </c>
      <c r="L247">
        <v>403.84300000000002</v>
      </c>
      <c r="M247">
        <v>439.68900000000002</v>
      </c>
      <c r="N247">
        <v>474.95699999999999</v>
      </c>
      <c r="O247">
        <v>510.22399999999999</v>
      </c>
      <c r="P247">
        <v>534.50699999999995</v>
      </c>
      <c r="Q247">
        <v>557.34400000000005</v>
      </c>
      <c r="R247">
        <v>579.60299999999995</v>
      </c>
      <c r="S247">
        <v>596.94799999999998</v>
      </c>
      <c r="T247">
        <v>610.97400000000005</v>
      </c>
      <c r="U247">
        <v>623.80499999999995</v>
      </c>
      <c r="V247">
        <v>625.67600000000004</v>
      </c>
      <c r="W247">
        <v>643.82100000000003</v>
      </c>
      <c r="X247">
        <v>670.78099999999995</v>
      </c>
      <c r="Y247">
        <v>700.85799999999995</v>
      </c>
      <c r="Z247">
        <v>735.05100000000004</v>
      </c>
      <c r="AA247">
        <v>778.56</v>
      </c>
      <c r="AB247">
        <v>837.28499999999997</v>
      </c>
      <c r="AC247">
        <v>888.44299999999998</v>
      </c>
      <c r="AD247">
        <v>936.27</v>
      </c>
      <c r="AE247">
        <v>969.26499999999999</v>
      </c>
      <c r="AF247" s="21">
        <v>1000.141</v>
      </c>
      <c r="AG247" s="21">
        <v>1032.08</v>
      </c>
      <c r="AH247" s="21">
        <v>1074.3140000000001</v>
      </c>
      <c r="AI247" s="21">
        <v>1122.354</v>
      </c>
      <c r="AJ247" s="21">
        <v>1199.1659999999999</v>
      </c>
      <c r="AK247" s="21">
        <v>1284.1610000000001</v>
      </c>
      <c r="AL247" s="21">
        <v>1376.06</v>
      </c>
      <c r="AM247" s="21">
        <v>1440.3710000000001</v>
      </c>
      <c r="AN247" s="21">
        <v>1514.51</v>
      </c>
      <c r="AO247" s="21">
        <v>1541.2349999999999</v>
      </c>
      <c r="AP247" s="21">
        <v>1575.546</v>
      </c>
      <c r="AQ247" s="21">
        <v>1608.6</v>
      </c>
      <c r="AR247" s="21">
        <v>1643.4</v>
      </c>
      <c r="AS247" s="21">
        <v>1712.3240000000001</v>
      </c>
      <c r="AT247" s="21">
        <v>1785.27</v>
      </c>
      <c r="AU247" s="21">
        <v>1865.1769999999999</v>
      </c>
      <c r="AV247" s="21">
        <v>1952.55</v>
      </c>
      <c r="AW247" s="21">
        <v>2049.3310000000001</v>
      </c>
      <c r="AX247" s="21">
        <v>2152.4720000000002</v>
      </c>
      <c r="AY247">
        <v>2014</v>
      </c>
    </row>
    <row r="248" spans="1:51" x14ac:dyDescent="0.25">
      <c r="A248">
        <v>469</v>
      </c>
      <c r="B248" t="s">
        <v>449</v>
      </c>
      <c r="C248" t="s">
        <v>286</v>
      </c>
      <c r="D248" t="s">
        <v>96</v>
      </c>
      <c r="E248" t="s">
        <v>287</v>
      </c>
      <c r="F248" t="s">
        <v>288</v>
      </c>
      <c r="G248" t="s">
        <v>282</v>
      </c>
      <c r="H248" t="s">
        <v>283</v>
      </c>
      <c r="I248" t="s">
        <v>450</v>
      </c>
      <c r="J248">
        <v>15.66</v>
      </c>
      <c r="K248">
        <v>17.149000000000001</v>
      </c>
      <c r="L248">
        <v>20.291</v>
      </c>
      <c r="M248">
        <v>24.800999999999998</v>
      </c>
      <c r="N248">
        <v>27.885999999999999</v>
      </c>
      <c r="O248">
        <v>32.515000000000001</v>
      </c>
      <c r="P248">
        <v>36</v>
      </c>
      <c r="Q248">
        <v>51.5</v>
      </c>
      <c r="R248">
        <v>61.6</v>
      </c>
      <c r="S248">
        <v>76.8</v>
      </c>
      <c r="T248">
        <v>96.1</v>
      </c>
      <c r="U248">
        <v>111.2</v>
      </c>
      <c r="V248">
        <v>139.1</v>
      </c>
      <c r="W248">
        <v>157.083</v>
      </c>
      <c r="X248">
        <v>175</v>
      </c>
      <c r="Y248">
        <v>204</v>
      </c>
      <c r="Z248">
        <v>229.4</v>
      </c>
      <c r="AA248">
        <v>257.2</v>
      </c>
      <c r="AB248">
        <v>287.39999999999998</v>
      </c>
      <c r="AC248">
        <v>307.60000000000002</v>
      </c>
      <c r="AD248">
        <v>340.1</v>
      </c>
      <c r="AE248">
        <v>358.7</v>
      </c>
      <c r="AF248">
        <v>378.9</v>
      </c>
      <c r="AG248">
        <v>417.5</v>
      </c>
      <c r="AH248">
        <v>485.3</v>
      </c>
      <c r="AI248">
        <v>538.5</v>
      </c>
      <c r="AJ248">
        <v>617.70000000000005</v>
      </c>
      <c r="AK248">
        <v>744.8</v>
      </c>
      <c r="AL248">
        <v>895.5</v>
      </c>
      <c r="AM248" s="21">
        <v>1042.2</v>
      </c>
      <c r="AN248" s="21">
        <v>1206.5999999999999</v>
      </c>
      <c r="AO248" s="21">
        <v>1371.1</v>
      </c>
      <c r="AP248" s="21">
        <v>1575.5</v>
      </c>
      <c r="AQ248" s="21">
        <v>1753.3</v>
      </c>
      <c r="AR248" s="21">
        <v>1997.6</v>
      </c>
      <c r="AS248" s="21">
        <v>2310.4639999999999</v>
      </c>
      <c r="AT248" s="21">
        <v>2624.6329999999998</v>
      </c>
      <c r="AU248" s="21">
        <v>3026.37</v>
      </c>
      <c r="AV248" s="21">
        <v>3455.9340000000002</v>
      </c>
      <c r="AW248" s="21">
        <v>3900.5120000000002</v>
      </c>
      <c r="AX248" s="21">
        <v>4382.9160000000002</v>
      </c>
      <c r="AY248">
        <v>2014</v>
      </c>
    </row>
    <row r="249" spans="1:51" x14ac:dyDescent="0.25">
      <c r="A249">
        <v>469</v>
      </c>
      <c r="B249" t="s">
        <v>449</v>
      </c>
      <c r="C249" t="s">
        <v>289</v>
      </c>
      <c r="D249" t="s">
        <v>96</v>
      </c>
      <c r="E249" t="s">
        <v>287</v>
      </c>
      <c r="F249" t="s">
        <v>290</v>
      </c>
      <c r="G249" t="s">
        <v>291</v>
      </c>
      <c r="H249" t="s">
        <v>283</v>
      </c>
      <c r="I249" t="s">
        <v>292</v>
      </c>
      <c r="J249">
        <v>22.370999999999999</v>
      </c>
      <c r="K249">
        <v>24.498999999999999</v>
      </c>
      <c r="L249">
        <v>28.986000000000001</v>
      </c>
      <c r="M249">
        <v>35.43</v>
      </c>
      <c r="N249">
        <v>39.837000000000003</v>
      </c>
      <c r="O249">
        <v>46.45</v>
      </c>
      <c r="P249">
        <v>51.429000000000002</v>
      </c>
      <c r="Q249">
        <v>73.570999999999998</v>
      </c>
      <c r="R249">
        <v>88</v>
      </c>
      <c r="S249">
        <v>109.714</v>
      </c>
      <c r="T249">
        <v>91.382999999999996</v>
      </c>
      <c r="U249">
        <v>46.06</v>
      </c>
      <c r="V249">
        <v>42.006</v>
      </c>
      <c r="W249">
        <v>47.100999999999999</v>
      </c>
      <c r="X249">
        <v>51.878999999999998</v>
      </c>
      <c r="Y249">
        <v>60.162999999999997</v>
      </c>
      <c r="Z249">
        <v>67.632000000000005</v>
      </c>
      <c r="AA249">
        <v>75.864999999999995</v>
      </c>
      <c r="AB249">
        <v>84.820999999999998</v>
      </c>
      <c r="AC249">
        <v>90.385999999999996</v>
      </c>
      <c r="AD249">
        <v>99.623999999999995</v>
      </c>
      <c r="AE249">
        <v>97.266000000000005</v>
      </c>
      <c r="AF249">
        <v>85.843000000000004</v>
      </c>
      <c r="AG249">
        <v>80.994</v>
      </c>
      <c r="AH249">
        <v>78.799000000000007</v>
      </c>
      <c r="AI249">
        <v>89.519000000000005</v>
      </c>
      <c r="AJ249">
        <v>107.375</v>
      </c>
      <c r="AK249">
        <v>130.346</v>
      </c>
      <c r="AL249">
        <v>162.435</v>
      </c>
      <c r="AM249">
        <v>188.608</v>
      </c>
      <c r="AN249">
        <v>218.76300000000001</v>
      </c>
      <c r="AO249">
        <v>235.59800000000001</v>
      </c>
      <c r="AP249">
        <v>262.25599999999997</v>
      </c>
      <c r="AQ249">
        <v>271.42700000000002</v>
      </c>
      <c r="AR249">
        <v>286.435</v>
      </c>
      <c r="AS249" t="s">
        <v>285</v>
      </c>
      <c r="AT249" t="s">
        <v>285</v>
      </c>
      <c r="AU249" t="s">
        <v>285</v>
      </c>
      <c r="AV249" t="s">
        <v>285</v>
      </c>
      <c r="AW249" t="s">
        <v>285</v>
      </c>
      <c r="AX249" t="s">
        <v>285</v>
      </c>
      <c r="AY249">
        <v>2014</v>
      </c>
    </row>
    <row r="250" spans="1:51" x14ac:dyDescent="0.25">
      <c r="A250">
        <v>469</v>
      </c>
      <c r="B250" t="s">
        <v>449</v>
      </c>
      <c r="C250" t="s">
        <v>293</v>
      </c>
      <c r="D250" t="s">
        <v>96</v>
      </c>
      <c r="E250" t="s">
        <v>294</v>
      </c>
      <c r="F250" t="s">
        <v>295</v>
      </c>
      <c r="G250" t="s">
        <v>296</v>
      </c>
      <c r="I250" t="s">
        <v>297</v>
      </c>
      <c r="J250">
        <v>4.2519999999999998</v>
      </c>
      <c r="K250">
        <v>4.556</v>
      </c>
      <c r="L250">
        <v>5.024</v>
      </c>
      <c r="M250">
        <v>5.641</v>
      </c>
      <c r="N250">
        <v>5.8710000000000004</v>
      </c>
      <c r="O250">
        <v>6.3730000000000002</v>
      </c>
      <c r="P250">
        <v>6.7350000000000003</v>
      </c>
      <c r="Q250">
        <v>9.24</v>
      </c>
      <c r="R250">
        <v>10.628</v>
      </c>
      <c r="S250">
        <v>12.865</v>
      </c>
      <c r="T250">
        <v>15.728999999999999</v>
      </c>
      <c r="U250">
        <v>17.826000000000001</v>
      </c>
      <c r="V250">
        <v>22.231999999999999</v>
      </c>
      <c r="W250">
        <v>24.399000000000001</v>
      </c>
      <c r="X250">
        <v>26.088999999999999</v>
      </c>
      <c r="Y250">
        <v>29.106999999999999</v>
      </c>
      <c r="Z250">
        <v>31.209</v>
      </c>
      <c r="AA250">
        <v>33.034999999999997</v>
      </c>
      <c r="AB250">
        <v>34.325000000000003</v>
      </c>
      <c r="AC250">
        <v>34.622</v>
      </c>
      <c r="AD250">
        <v>36.325000000000003</v>
      </c>
      <c r="AE250">
        <v>37.006999999999998</v>
      </c>
      <c r="AF250">
        <v>37.884999999999998</v>
      </c>
      <c r="AG250">
        <v>40.451999999999998</v>
      </c>
      <c r="AH250">
        <v>45.173000000000002</v>
      </c>
      <c r="AI250">
        <v>47.98</v>
      </c>
      <c r="AJ250">
        <v>51.511000000000003</v>
      </c>
      <c r="AK250">
        <v>57.999000000000002</v>
      </c>
      <c r="AL250">
        <v>65.076999999999998</v>
      </c>
      <c r="AM250">
        <v>72.355999999999995</v>
      </c>
      <c r="AN250">
        <v>79.668999999999997</v>
      </c>
      <c r="AO250">
        <v>88.960999999999999</v>
      </c>
      <c r="AP250">
        <v>99.997</v>
      </c>
      <c r="AQ250">
        <v>108.995</v>
      </c>
      <c r="AR250">
        <v>121.553</v>
      </c>
      <c r="AS250">
        <v>134.93100000000001</v>
      </c>
      <c r="AT250">
        <v>147.01599999999999</v>
      </c>
      <c r="AU250">
        <v>162.256</v>
      </c>
      <c r="AV250">
        <v>176.99600000000001</v>
      </c>
      <c r="AW250">
        <v>190.33099999999999</v>
      </c>
      <c r="AX250">
        <v>203.62200000000001</v>
      </c>
      <c r="AY250">
        <v>2014</v>
      </c>
    </row>
    <row r="251" spans="1:51" x14ac:dyDescent="0.25">
      <c r="A251">
        <v>469</v>
      </c>
      <c r="B251" t="s">
        <v>449</v>
      </c>
      <c r="C251" t="s">
        <v>298</v>
      </c>
      <c r="D251" t="s">
        <v>96</v>
      </c>
      <c r="E251" t="s">
        <v>299</v>
      </c>
      <c r="F251" t="s">
        <v>300</v>
      </c>
      <c r="G251" t="s">
        <v>282</v>
      </c>
      <c r="H251" t="s">
        <v>283</v>
      </c>
      <c r="I251" t="s">
        <v>451</v>
      </c>
      <c r="J251" t="s">
        <v>285</v>
      </c>
      <c r="K251" t="s">
        <v>285</v>
      </c>
      <c r="L251" t="s">
        <v>285</v>
      </c>
      <c r="M251" t="s">
        <v>285</v>
      </c>
      <c r="N251" t="s">
        <v>285</v>
      </c>
      <c r="O251" t="s">
        <v>285</v>
      </c>
      <c r="P251" t="s">
        <v>285</v>
      </c>
      <c r="Q251" t="s">
        <v>285</v>
      </c>
      <c r="R251" t="s">
        <v>285</v>
      </c>
      <c r="S251" t="s">
        <v>285</v>
      </c>
      <c r="T251" t="s">
        <v>285</v>
      </c>
      <c r="U251" t="s">
        <v>285</v>
      </c>
      <c r="V251" t="s">
        <v>285</v>
      </c>
      <c r="W251" t="s">
        <v>285</v>
      </c>
      <c r="X251" t="s">
        <v>285</v>
      </c>
      <c r="Y251" t="s">
        <v>285</v>
      </c>
      <c r="Z251" t="s">
        <v>285</v>
      </c>
      <c r="AA251" t="s">
        <v>285</v>
      </c>
      <c r="AB251" t="s">
        <v>285</v>
      </c>
      <c r="AC251" t="s">
        <v>285</v>
      </c>
      <c r="AD251" t="s">
        <v>285</v>
      </c>
      <c r="AE251" t="s">
        <v>285</v>
      </c>
      <c r="AF251">
        <v>139.233</v>
      </c>
      <c r="AG251">
        <v>147.02500000000001</v>
      </c>
      <c r="AH251">
        <v>164.339</v>
      </c>
      <c r="AI251">
        <v>179.02500000000001</v>
      </c>
      <c r="AJ251">
        <v>233.28100000000001</v>
      </c>
      <c r="AK251">
        <v>262.66500000000002</v>
      </c>
      <c r="AL251">
        <v>322.51</v>
      </c>
      <c r="AM251">
        <v>360.41699999999997</v>
      </c>
      <c r="AN251">
        <v>403.31599999999997</v>
      </c>
      <c r="AO251">
        <v>436.14800000000002</v>
      </c>
      <c r="AP251">
        <v>514.55399999999997</v>
      </c>
      <c r="AQ251">
        <v>650.48900000000003</v>
      </c>
      <c r="AR251">
        <v>770.55100000000004</v>
      </c>
      <c r="AS251">
        <v>818.05799999999999</v>
      </c>
      <c r="AT251">
        <v>914.81899999999996</v>
      </c>
      <c r="AU251" s="21">
        <v>1012.47</v>
      </c>
      <c r="AV251" s="21">
        <v>1145.4739999999999</v>
      </c>
      <c r="AW251" s="21">
        <v>1271.037</v>
      </c>
      <c r="AX251" s="21">
        <v>1426.046</v>
      </c>
      <c r="AY251">
        <v>2014</v>
      </c>
    </row>
    <row r="252" spans="1:51" x14ac:dyDescent="0.25">
      <c r="A252">
        <v>253</v>
      </c>
      <c r="B252" t="s">
        <v>452</v>
      </c>
      <c r="C252" t="s">
        <v>279</v>
      </c>
      <c r="D252" t="s">
        <v>97</v>
      </c>
      <c r="E252" t="s">
        <v>280</v>
      </c>
      <c r="F252" t="s">
        <v>281</v>
      </c>
      <c r="G252" t="s">
        <v>282</v>
      </c>
      <c r="H252" t="s">
        <v>283</v>
      </c>
      <c r="I252" t="s">
        <v>453</v>
      </c>
      <c r="J252">
        <v>4.7409999999999997</v>
      </c>
      <c r="K252">
        <v>4.4690000000000003</v>
      </c>
      <c r="L252">
        <v>4.1870000000000003</v>
      </c>
      <c r="M252">
        <v>4.2519999999999998</v>
      </c>
      <c r="N252">
        <v>4.3079999999999998</v>
      </c>
      <c r="O252">
        <v>4.335</v>
      </c>
      <c r="P252">
        <v>4.343</v>
      </c>
      <c r="Q252">
        <v>4.452</v>
      </c>
      <c r="R252">
        <v>4.5359999999999996</v>
      </c>
      <c r="S252">
        <v>4.58</v>
      </c>
      <c r="T252">
        <v>4.8010000000000002</v>
      </c>
      <c r="U252">
        <v>4.9729999999999999</v>
      </c>
      <c r="V252">
        <v>5.3479999999999999</v>
      </c>
      <c r="W252">
        <v>5.742</v>
      </c>
      <c r="X252">
        <v>6.0890000000000004</v>
      </c>
      <c r="Y252">
        <v>6.4790000000000001</v>
      </c>
      <c r="Z252">
        <v>6.5890000000000004</v>
      </c>
      <c r="AA252">
        <v>6.8689999999999998</v>
      </c>
      <c r="AB252">
        <v>7.1269999999999998</v>
      </c>
      <c r="AC252">
        <v>7.3719999999999999</v>
      </c>
      <c r="AD252">
        <v>7.5309999999999997</v>
      </c>
      <c r="AE252">
        <v>7.66</v>
      </c>
      <c r="AF252">
        <v>7.8390000000000004</v>
      </c>
      <c r="AG252">
        <v>8.0190000000000001</v>
      </c>
      <c r="AH252">
        <v>8.1679999999999993</v>
      </c>
      <c r="AI252">
        <v>8.4589999999999996</v>
      </c>
      <c r="AJ252">
        <v>8.7899999999999991</v>
      </c>
      <c r="AK252">
        <v>9.1270000000000007</v>
      </c>
      <c r="AL252">
        <v>9.2430000000000003</v>
      </c>
      <c r="AM252">
        <v>8.9540000000000006</v>
      </c>
      <c r="AN252">
        <v>9.0760000000000005</v>
      </c>
      <c r="AO252">
        <v>9.2769999999999992</v>
      </c>
      <c r="AP252">
        <v>9.452</v>
      </c>
      <c r="AQ252">
        <v>9.6259999999999994</v>
      </c>
      <c r="AR252">
        <v>9.8140000000000001</v>
      </c>
      <c r="AS252">
        <v>10.039999999999999</v>
      </c>
      <c r="AT252">
        <v>10.291</v>
      </c>
      <c r="AU252">
        <v>10.558</v>
      </c>
      <c r="AV252">
        <v>10.801</v>
      </c>
      <c r="AW252">
        <v>11.016999999999999</v>
      </c>
      <c r="AX252">
        <v>11.238</v>
      </c>
      <c r="AY252">
        <v>2014</v>
      </c>
    </row>
    <row r="253" spans="1:51" x14ac:dyDescent="0.25">
      <c r="A253">
        <v>253</v>
      </c>
      <c r="B253" t="s">
        <v>452</v>
      </c>
      <c r="C253" t="s">
        <v>286</v>
      </c>
      <c r="D253" t="s">
        <v>97</v>
      </c>
      <c r="E253" t="s">
        <v>287</v>
      </c>
      <c r="F253" t="s">
        <v>288</v>
      </c>
      <c r="G253" t="s">
        <v>282</v>
      </c>
      <c r="H253" t="s">
        <v>283</v>
      </c>
      <c r="I253" t="s">
        <v>453</v>
      </c>
      <c r="J253">
        <v>3.899</v>
      </c>
      <c r="K253">
        <v>3.4369999999999998</v>
      </c>
      <c r="L253">
        <v>3.3940000000000001</v>
      </c>
      <c r="M253">
        <v>3.25</v>
      </c>
      <c r="N253">
        <v>2.3769999999999998</v>
      </c>
      <c r="O253">
        <v>2.3109999999999999</v>
      </c>
      <c r="P253">
        <v>2.327</v>
      </c>
      <c r="Q253">
        <v>2.3660000000000001</v>
      </c>
      <c r="R253">
        <v>2.762</v>
      </c>
      <c r="S253">
        <v>3.157</v>
      </c>
      <c r="T253">
        <v>4.8010000000000002</v>
      </c>
      <c r="U253">
        <v>5.3109999999999999</v>
      </c>
      <c r="V253">
        <v>5.9550000000000001</v>
      </c>
      <c r="W253">
        <v>6.9379999999999997</v>
      </c>
      <c r="X253">
        <v>8.0860000000000003</v>
      </c>
      <c r="Y253">
        <v>9.5009999999999994</v>
      </c>
      <c r="Z253">
        <v>10.316000000000001</v>
      </c>
      <c r="AA253">
        <v>11.135</v>
      </c>
      <c r="AB253">
        <v>12.007999999999999</v>
      </c>
      <c r="AC253">
        <v>12.465</v>
      </c>
      <c r="AD253">
        <v>13.134</v>
      </c>
      <c r="AE253">
        <v>13.813000000000001</v>
      </c>
      <c r="AF253">
        <v>14.307</v>
      </c>
      <c r="AG253">
        <v>15.047000000000001</v>
      </c>
      <c r="AH253">
        <v>15.798</v>
      </c>
      <c r="AI253">
        <v>17.094000000000001</v>
      </c>
      <c r="AJ253">
        <v>18.550999999999998</v>
      </c>
      <c r="AK253">
        <v>20.105</v>
      </c>
      <c r="AL253">
        <v>21.431000000000001</v>
      </c>
      <c r="AM253">
        <v>20.661000000000001</v>
      </c>
      <c r="AN253">
        <v>21.417999999999999</v>
      </c>
      <c r="AO253">
        <v>23.138999999999999</v>
      </c>
      <c r="AP253">
        <v>23.814</v>
      </c>
      <c r="AQ253">
        <v>24.350999999999999</v>
      </c>
      <c r="AR253">
        <v>25.164000000000001</v>
      </c>
      <c r="AS253">
        <v>25.652000000000001</v>
      </c>
      <c r="AT253">
        <v>26.591999999999999</v>
      </c>
      <c r="AU253">
        <v>27.678999999999998</v>
      </c>
      <c r="AV253">
        <v>28.896000000000001</v>
      </c>
      <c r="AW253">
        <v>30.081</v>
      </c>
      <c r="AX253">
        <v>31.358000000000001</v>
      </c>
      <c r="AY253">
        <v>2014</v>
      </c>
    </row>
    <row r="254" spans="1:51" x14ac:dyDescent="0.25">
      <c r="A254">
        <v>253</v>
      </c>
      <c r="B254" t="s">
        <v>452</v>
      </c>
      <c r="C254" t="s">
        <v>289</v>
      </c>
      <c r="D254" t="s">
        <v>97</v>
      </c>
      <c r="E254" t="s">
        <v>287</v>
      </c>
      <c r="F254" t="s">
        <v>290</v>
      </c>
      <c r="G254" t="s">
        <v>291</v>
      </c>
      <c r="H254" t="s">
        <v>283</v>
      </c>
      <c r="I254" t="s">
        <v>292</v>
      </c>
      <c r="J254">
        <v>3.899</v>
      </c>
      <c r="K254">
        <v>3.4369999999999998</v>
      </c>
      <c r="L254">
        <v>3.3940000000000001</v>
      </c>
      <c r="M254">
        <v>3.25</v>
      </c>
      <c r="N254">
        <v>2.3769999999999998</v>
      </c>
      <c r="O254">
        <v>2.3109999999999999</v>
      </c>
      <c r="P254">
        <v>2.327</v>
      </c>
      <c r="Q254">
        <v>2.3660000000000001</v>
      </c>
      <c r="R254">
        <v>2.762</v>
      </c>
      <c r="S254">
        <v>3.157</v>
      </c>
      <c r="T254">
        <v>4.8010000000000002</v>
      </c>
      <c r="U254">
        <v>5.3109999999999999</v>
      </c>
      <c r="V254">
        <v>5.9550000000000001</v>
      </c>
      <c r="W254">
        <v>6.9379999999999997</v>
      </c>
      <c r="X254">
        <v>8.0860000000000003</v>
      </c>
      <c r="Y254">
        <v>9.5009999999999994</v>
      </c>
      <c r="Z254">
        <v>10.316000000000001</v>
      </c>
      <c r="AA254">
        <v>11.135</v>
      </c>
      <c r="AB254">
        <v>12.007999999999999</v>
      </c>
      <c r="AC254">
        <v>12.465</v>
      </c>
      <c r="AD254">
        <v>13.134</v>
      </c>
      <c r="AE254">
        <v>13.813000000000001</v>
      </c>
      <c r="AF254">
        <v>14.307</v>
      </c>
      <c r="AG254">
        <v>15.047000000000001</v>
      </c>
      <c r="AH254">
        <v>15.798</v>
      </c>
      <c r="AI254">
        <v>17.094000000000001</v>
      </c>
      <c r="AJ254">
        <v>18.550999999999998</v>
      </c>
      <c r="AK254">
        <v>20.105</v>
      </c>
      <c r="AL254">
        <v>21.431000000000001</v>
      </c>
      <c r="AM254">
        <v>20.661000000000001</v>
      </c>
      <c r="AN254">
        <v>21.417999999999999</v>
      </c>
      <c r="AO254">
        <v>23.138999999999999</v>
      </c>
      <c r="AP254">
        <v>23.814</v>
      </c>
      <c r="AQ254">
        <v>24.350999999999999</v>
      </c>
      <c r="AR254">
        <v>25.164000000000001</v>
      </c>
      <c r="AS254">
        <v>25.652000000000001</v>
      </c>
      <c r="AT254">
        <v>26.591999999999999</v>
      </c>
      <c r="AU254">
        <v>27.678999999999998</v>
      </c>
      <c r="AV254">
        <v>28.896000000000001</v>
      </c>
      <c r="AW254">
        <v>30.081</v>
      </c>
      <c r="AX254">
        <v>31.358000000000001</v>
      </c>
      <c r="AY254">
        <v>2014</v>
      </c>
    </row>
    <row r="255" spans="1:51" x14ac:dyDescent="0.25">
      <c r="A255">
        <v>253</v>
      </c>
      <c r="B255" t="s">
        <v>452</v>
      </c>
      <c r="C255" t="s">
        <v>293</v>
      </c>
      <c r="D255" t="s">
        <v>97</v>
      </c>
      <c r="E255" t="s">
        <v>294</v>
      </c>
      <c r="F255" t="s">
        <v>295</v>
      </c>
      <c r="G255" t="s">
        <v>296</v>
      </c>
      <c r="I255" t="s">
        <v>297</v>
      </c>
      <c r="J255">
        <v>82.238</v>
      </c>
      <c r="K255">
        <v>76.909000000000006</v>
      </c>
      <c r="L255">
        <v>81.054000000000002</v>
      </c>
      <c r="M255">
        <v>76.441999999999993</v>
      </c>
      <c r="N255">
        <v>55.164000000000001</v>
      </c>
      <c r="O255">
        <v>53.31</v>
      </c>
      <c r="P255">
        <v>53.573999999999998</v>
      </c>
      <c r="Q255">
        <v>53.142000000000003</v>
      </c>
      <c r="R255">
        <v>60.886000000000003</v>
      </c>
      <c r="S255">
        <v>68.924999999999997</v>
      </c>
      <c r="T255">
        <v>100</v>
      </c>
      <c r="U255">
        <v>106.80500000000001</v>
      </c>
      <c r="V255">
        <v>111.351</v>
      </c>
      <c r="W255">
        <v>120.833</v>
      </c>
      <c r="X255">
        <v>132.786</v>
      </c>
      <c r="Y255">
        <v>146.642</v>
      </c>
      <c r="Z255">
        <v>156.55199999999999</v>
      </c>
      <c r="AA255">
        <v>162.101</v>
      </c>
      <c r="AB255">
        <v>168.50299999999999</v>
      </c>
      <c r="AC255">
        <v>169.07499999999999</v>
      </c>
      <c r="AD255">
        <v>174.4</v>
      </c>
      <c r="AE255">
        <v>180.33</v>
      </c>
      <c r="AF255">
        <v>182.50700000000001</v>
      </c>
      <c r="AG255">
        <v>187.631</v>
      </c>
      <c r="AH255">
        <v>193.42400000000001</v>
      </c>
      <c r="AI255">
        <v>202.08500000000001</v>
      </c>
      <c r="AJ255">
        <v>211.053</v>
      </c>
      <c r="AK255">
        <v>220.27699999999999</v>
      </c>
      <c r="AL255">
        <v>231.852</v>
      </c>
      <c r="AM255">
        <v>230.751</v>
      </c>
      <c r="AN255">
        <v>235.988</v>
      </c>
      <c r="AO255">
        <v>249.41800000000001</v>
      </c>
      <c r="AP255">
        <v>251.95</v>
      </c>
      <c r="AQ255">
        <v>252.96199999999999</v>
      </c>
      <c r="AR255">
        <v>256.40100000000001</v>
      </c>
      <c r="AS255">
        <v>255.50399999999999</v>
      </c>
      <c r="AT255">
        <v>258.40499999999997</v>
      </c>
      <c r="AU255">
        <v>262.15199999999999</v>
      </c>
      <c r="AV255">
        <v>267.52</v>
      </c>
      <c r="AW255">
        <v>273.036</v>
      </c>
      <c r="AX255">
        <v>279.04300000000001</v>
      </c>
      <c r="AY255">
        <v>2014</v>
      </c>
    </row>
    <row r="256" spans="1:51" x14ac:dyDescent="0.25">
      <c r="A256">
        <v>253</v>
      </c>
      <c r="B256" t="s">
        <v>452</v>
      </c>
      <c r="C256" t="s">
        <v>298</v>
      </c>
      <c r="D256" t="s">
        <v>97</v>
      </c>
      <c r="E256" t="s">
        <v>299</v>
      </c>
      <c r="F256" t="s">
        <v>300</v>
      </c>
      <c r="G256" t="s">
        <v>282</v>
      </c>
      <c r="H256" t="s">
        <v>283</v>
      </c>
      <c r="I256" t="s">
        <v>454</v>
      </c>
      <c r="J256" t="s">
        <v>285</v>
      </c>
      <c r="K256" t="s">
        <v>285</v>
      </c>
      <c r="L256" t="s">
        <v>285</v>
      </c>
      <c r="M256" t="s">
        <v>285</v>
      </c>
      <c r="N256" t="s">
        <v>285</v>
      </c>
      <c r="O256" t="s">
        <v>285</v>
      </c>
      <c r="P256" t="s">
        <v>285</v>
      </c>
      <c r="Q256" t="s">
        <v>285</v>
      </c>
      <c r="R256" t="s">
        <v>285</v>
      </c>
      <c r="S256" t="s">
        <v>285</v>
      </c>
      <c r="T256">
        <v>0.71799999999999997</v>
      </c>
      <c r="U256">
        <v>0.92900000000000005</v>
      </c>
      <c r="V256">
        <v>1.1319999999999999</v>
      </c>
      <c r="W256">
        <v>1.1299999999999999</v>
      </c>
      <c r="X256">
        <v>1.28</v>
      </c>
      <c r="Y256">
        <v>1.492</v>
      </c>
      <c r="Z256">
        <v>1.8140000000000001</v>
      </c>
      <c r="AA256">
        <v>1.66</v>
      </c>
      <c r="AB256">
        <v>1.917</v>
      </c>
      <c r="AC256">
        <v>2.125</v>
      </c>
      <c r="AD256">
        <v>2.4049999999999998</v>
      </c>
      <c r="AE256">
        <v>2.5430000000000001</v>
      </c>
      <c r="AF256">
        <v>2.5830000000000002</v>
      </c>
      <c r="AG256">
        <v>2.875</v>
      </c>
      <c r="AH256">
        <v>2.8919999999999999</v>
      </c>
      <c r="AI256">
        <v>3.1869999999999998</v>
      </c>
      <c r="AJ256">
        <v>3.589</v>
      </c>
      <c r="AK256">
        <v>3.625</v>
      </c>
      <c r="AL256">
        <v>4.1230000000000002</v>
      </c>
      <c r="AM256">
        <v>4.4219999999999997</v>
      </c>
      <c r="AN256">
        <v>4.62</v>
      </c>
      <c r="AO256">
        <v>4.9820000000000002</v>
      </c>
      <c r="AP256">
        <v>5.1959999999999997</v>
      </c>
      <c r="AQ256">
        <v>5.3659999999999997</v>
      </c>
      <c r="AR256">
        <v>5.383</v>
      </c>
      <c r="AS256">
        <v>5.73</v>
      </c>
      <c r="AT256">
        <v>6.1020000000000003</v>
      </c>
      <c r="AU256">
        <v>6.4249999999999998</v>
      </c>
      <c r="AV256">
        <v>6.7560000000000002</v>
      </c>
      <c r="AW256">
        <v>7.1070000000000002</v>
      </c>
      <c r="AX256">
        <v>7.4939999999999998</v>
      </c>
      <c r="AY256">
        <v>2014</v>
      </c>
    </row>
    <row r="257" spans="1:51" x14ac:dyDescent="0.25">
      <c r="A257">
        <v>642</v>
      </c>
      <c r="B257" t="s">
        <v>455</v>
      </c>
      <c r="C257" t="s">
        <v>279</v>
      </c>
      <c r="D257" t="s">
        <v>98</v>
      </c>
      <c r="E257" t="s">
        <v>280</v>
      </c>
      <c r="F257" t="s">
        <v>281</v>
      </c>
      <c r="G257" t="s">
        <v>282</v>
      </c>
      <c r="H257" t="s">
        <v>283</v>
      </c>
      <c r="I257" t="s">
        <v>456</v>
      </c>
      <c r="J257">
        <v>43.29</v>
      </c>
      <c r="K257">
        <v>45.786999999999999</v>
      </c>
      <c r="L257">
        <v>46.795000000000002</v>
      </c>
      <c r="M257">
        <v>49.137</v>
      </c>
      <c r="N257">
        <v>49.634</v>
      </c>
      <c r="O257">
        <v>56.04</v>
      </c>
      <c r="P257">
        <v>54.734000000000002</v>
      </c>
      <c r="Q257">
        <v>57.161999999999999</v>
      </c>
      <c r="R257">
        <v>58.68</v>
      </c>
      <c r="S257">
        <v>57.957999999999998</v>
      </c>
      <c r="T257">
        <v>59.429000000000002</v>
      </c>
      <c r="U257">
        <v>58.689</v>
      </c>
      <c r="V257">
        <v>78.057000000000002</v>
      </c>
      <c r="W257">
        <v>86.221999999999994</v>
      </c>
      <c r="X257">
        <v>100.714</v>
      </c>
      <c r="Y257">
        <v>118.074</v>
      </c>
      <c r="Z257">
        <v>194.31</v>
      </c>
      <c r="AA257">
        <v>481.25299999999999</v>
      </c>
      <c r="AB257">
        <v>595.66899999999998</v>
      </c>
      <c r="AC257">
        <v>748.54100000000005</v>
      </c>
      <c r="AD257" s="21">
        <v>1462.2</v>
      </c>
      <c r="AE257" s="21">
        <v>2431.8490000000002</v>
      </c>
      <c r="AF257" s="21">
        <v>2910.5439999999999</v>
      </c>
      <c r="AG257" s="21">
        <v>3314.1030000000001</v>
      </c>
      <c r="AH257" s="21">
        <v>4561.4279999999999</v>
      </c>
      <c r="AI257" s="21">
        <v>4937.8999999999996</v>
      </c>
      <c r="AJ257" s="21">
        <v>4781.652</v>
      </c>
      <c r="AK257" s="21">
        <v>5367.5280000000002</v>
      </c>
      <c r="AL257" s="21">
        <v>5899.3630000000003</v>
      </c>
      <c r="AM257" s="21">
        <v>5631.8440000000001</v>
      </c>
      <c r="AN257" s="21">
        <v>5416.424</v>
      </c>
      <c r="AO257" s="21">
        <v>5521.4530000000004</v>
      </c>
      <c r="AP257" s="21">
        <v>5839.5169999999998</v>
      </c>
      <c r="AQ257" s="21">
        <v>5459.1930000000002</v>
      </c>
      <c r="AR257" s="21">
        <v>5442.5919999999996</v>
      </c>
      <c r="AS257" s="21">
        <v>4885.5569999999998</v>
      </c>
      <c r="AT257" s="21">
        <v>4847.7939999999999</v>
      </c>
      <c r="AU257" s="21">
        <v>4703.8119999999999</v>
      </c>
      <c r="AV257" s="21">
        <v>4590.1170000000002</v>
      </c>
      <c r="AW257" s="21">
        <v>4490.973</v>
      </c>
      <c r="AX257" s="21">
        <v>4408.3050000000003</v>
      </c>
      <c r="AY257">
        <v>2013</v>
      </c>
    </row>
    <row r="258" spans="1:51" x14ac:dyDescent="0.25">
      <c r="A258">
        <v>642</v>
      </c>
      <c r="B258" t="s">
        <v>455</v>
      </c>
      <c r="C258" t="s">
        <v>286</v>
      </c>
      <c r="D258" t="s">
        <v>98</v>
      </c>
      <c r="E258" t="s">
        <v>287</v>
      </c>
      <c r="F258" t="s">
        <v>288</v>
      </c>
      <c r="G258" t="s">
        <v>282</v>
      </c>
      <c r="H258" t="s">
        <v>283</v>
      </c>
      <c r="I258" t="s">
        <v>456</v>
      </c>
      <c r="J258">
        <v>6.657</v>
      </c>
      <c r="K258">
        <v>8.0579999999999998</v>
      </c>
      <c r="L258">
        <v>11.564</v>
      </c>
      <c r="M258">
        <v>15.148</v>
      </c>
      <c r="N258">
        <v>19.224</v>
      </c>
      <c r="O258">
        <v>33.159999999999997</v>
      </c>
      <c r="P258">
        <v>31.44</v>
      </c>
      <c r="Q258">
        <v>33.332999999999998</v>
      </c>
      <c r="R258">
        <v>35.579000000000001</v>
      </c>
      <c r="S258">
        <v>33.457000000000001</v>
      </c>
      <c r="T258">
        <v>36.271000000000001</v>
      </c>
      <c r="U258">
        <v>37.174999999999997</v>
      </c>
      <c r="V258">
        <v>42.366</v>
      </c>
      <c r="W258">
        <v>45.774000000000001</v>
      </c>
      <c r="X258">
        <v>66.501000000000005</v>
      </c>
      <c r="Y258">
        <v>84.131</v>
      </c>
      <c r="Z258">
        <v>141.29599999999999</v>
      </c>
      <c r="AA258">
        <v>306.767</v>
      </c>
      <c r="AB258">
        <v>259.84300000000002</v>
      </c>
      <c r="AC258">
        <v>454.39100000000002</v>
      </c>
      <c r="AD258">
        <v>884.87900000000002</v>
      </c>
      <c r="AE258" s="21">
        <v>1272.6400000000001</v>
      </c>
      <c r="AF258" s="21">
        <v>1496.2670000000001</v>
      </c>
      <c r="AG258" s="21">
        <v>1715.912</v>
      </c>
      <c r="AH258" s="21">
        <v>2768.6570000000002</v>
      </c>
      <c r="AI258" s="21">
        <v>4334.3999999999996</v>
      </c>
      <c r="AJ258" s="21">
        <v>4781.67</v>
      </c>
      <c r="AK258" s="21">
        <v>5164.9250000000002</v>
      </c>
      <c r="AL258" s="21">
        <v>7174.6030000000001</v>
      </c>
      <c r="AM258" s="21">
        <v>4825.4930000000004</v>
      </c>
      <c r="AN258" s="21">
        <v>6294.7219999999998</v>
      </c>
      <c r="AO258" s="21">
        <v>8130.1390000000001</v>
      </c>
      <c r="AP258" s="21">
        <v>9195.125</v>
      </c>
      <c r="AQ258" s="21">
        <v>8465.6640000000007</v>
      </c>
      <c r="AR258" s="21">
        <v>7678.1310000000003</v>
      </c>
      <c r="AS258" s="21">
        <v>5913.4740000000002</v>
      </c>
      <c r="AT258" s="21">
        <v>6010.97</v>
      </c>
      <c r="AU258" s="21">
        <v>6055.9709999999995</v>
      </c>
      <c r="AV258" s="21">
        <v>6079.6959999999999</v>
      </c>
      <c r="AW258" s="21">
        <v>6111.2250000000004</v>
      </c>
      <c r="AX258" s="21">
        <v>6113.116</v>
      </c>
      <c r="AY258">
        <v>2013</v>
      </c>
    </row>
    <row r="259" spans="1:51" x14ac:dyDescent="0.25">
      <c r="A259">
        <v>642</v>
      </c>
      <c r="B259" t="s">
        <v>455</v>
      </c>
      <c r="C259" t="s">
        <v>289</v>
      </c>
      <c r="D259" t="s">
        <v>98</v>
      </c>
      <c r="E259" t="s">
        <v>287</v>
      </c>
      <c r="F259" t="s">
        <v>290</v>
      </c>
      <c r="G259" t="s">
        <v>291</v>
      </c>
      <c r="H259" t="s">
        <v>283</v>
      </c>
      <c r="I259" t="s">
        <v>292</v>
      </c>
      <c r="J259">
        <v>3.2000000000000001E-2</v>
      </c>
      <c r="K259">
        <v>0.03</v>
      </c>
      <c r="L259">
        <v>3.5000000000000003E-2</v>
      </c>
      <c r="M259">
        <v>0.04</v>
      </c>
      <c r="N259">
        <v>4.3999999999999997E-2</v>
      </c>
      <c r="O259">
        <v>7.3999999999999996E-2</v>
      </c>
      <c r="P259">
        <v>9.0999999999999998E-2</v>
      </c>
      <c r="Q259">
        <v>0.111</v>
      </c>
      <c r="R259">
        <v>0.11899999999999999</v>
      </c>
      <c r="S259">
        <v>0.105</v>
      </c>
      <c r="T259">
        <v>0.13300000000000001</v>
      </c>
      <c r="U259">
        <v>0.13200000000000001</v>
      </c>
      <c r="V259">
        <v>0.16</v>
      </c>
      <c r="W259">
        <v>0.16200000000000001</v>
      </c>
      <c r="X259">
        <v>0.12</v>
      </c>
      <c r="Y259">
        <v>0.16900000000000001</v>
      </c>
      <c r="Z259">
        <v>0.27600000000000002</v>
      </c>
      <c r="AA259">
        <v>0.52600000000000002</v>
      </c>
      <c r="AB259">
        <v>0.44</v>
      </c>
      <c r="AC259">
        <v>0.73799999999999999</v>
      </c>
      <c r="AD259">
        <v>1.2430000000000001</v>
      </c>
      <c r="AE259">
        <v>1.736</v>
      </c>
      <c r="AF259">
        <v>2.1469999999999998</v>
      </c>
      <c r="AG259">
        <v>2.952</v>
      </c>
      <c r="AH259">
        <v>5.2409999999999997</v>
      </c>
      <c r="AI259">
        <v>8.2170000000000005</v>
      </c>
      <c r="AJ259">
        <v>9.1449999999999996</v>
      </c>
      <c r="AK259">
        <v>10.776999999999999</v>
      </c>
      <c r="AL259">
        <v>16.021999999999998</v>
      </c>
      <c r="AM259">
        <v>10.218999999999999</v>
      </c>
      <c r="AN259">
        <v>12.709</v>
      </c>
      <c r="AO259">
        <v>17.23</v>
      </c>
      <c r="AP259">
        <v>18.010999999999999</v>
      </c>
      <c r="AQ259">
        <v>17.135999999999999</v>
      </c>
      <c r="AR259">
        <v>15.53</v>
      </c>
      <c r="AS259">
        <v>10.025</v>
      </c>
      <c r="AT259">
        <v>10.211</v>
      </c>
      <c r="AU259">
        <v>10.398999999999999</v>
      </c>
      <c r="AV259">
        <v>10.547000000000001</v>
      </c>
      <c r="AW259">
        <v>10.680999999999999</v>
      </c>
      <c r="AX259">
        <v>10.856</v>
      </c>
      <c r="AY259">
        <v>2013</v>
      </c>
    </row>
    <row r="260" spans="1:51" x14ac:dyDescent="0.25">
      <c r="A260">
        <v>642</v>
      </c>
      <c r="B260" t="s">
        <v>455</v>
      </c>
      <c r="C260" t="s">
        <v>293</v>
      </c>
      <c r="D260" t="s">
        <v>98</v>
      </c>
      <c r="E260" t="s">
        <v>294</v>
      </c>
      <c r="F260" t="s">
        <v>295</v>
      </c>
      <c r="G260" t="s">
        <v>296</v>
      </c>
      <c r="I260" t="s">
        <v>297</v>
      </c>
      <c r="J260">
        <v>15.378</v>
      </c>
      <c r="K260">
        <v>17.599</v>
      </c>
      <c r="L260">
        <v>24.712</v>
      </c>
      <c r="M260">
        <v>30.827999999999999</v>
      </c>
      <c r="N260">
        <v>38.731000000000002</v>
      </c>
      <c r="O260">
        <v>59.171999999999997</v>
      </c>
      <c r="P260">
        <v>57.442</v>
      </c>
      <c r="Q260">
        <v>58.314</v>
      </c>
      <c r="R260">
        <v>60.633000000000003</v>
      </c>
      <c r="S260">
        <v>57.725000000000001</v>
      </c>
      <c r="T260">
        <v>61.033000000000001</v>
      </c>
      <c r="U260">
        <v>63.344000000000001</v>
      </c>
      <c r="V260">
        <v>54.276000000000003</v>
      </c>
      <c r="W260">
        <v>53.088000000000001</v>
      </c>
      <c r="X260">
        <v>66.03</v>
      </c>
      <c r="Y260">
        <v>71.253</v>
      </c>
      <c r="Z260">
        <v>72.716999999999999</v>
      </c>
      <c r="AA260">
        <v>63.743000000000002</v>
      </c>
      <c r="AB260">
        <v>43.622</v>
      </c>
      <c r="AC260">
        <v>60.704000000000001</v>
      </c>
      <c r="AD260">
        <v>60.517000000000003</v>
      </c>
      <c r="AE260">
        <v>52.332000000000001</v>
      </c>
      <c r="AF260">
        <v>51.408000000000001</v>
      </c>
      <c r="AG260">
        <v>51.776000000000003</v>
      </c>
      <c r="AH260">
        <v>60.697000000000003</v>
      </c>
      <c r="AI260">
        <v>87.778000000000006</v>
      </c>
      <c r="AJ260">
        <v>100</v>
      </c>
      <c r="AK260">
        <v>96.224999999999994</v>
      </c>
      <c r="AL260">
        <v>121.617</v>
      </c>
      <c r="AM260">
        <v>85.682000000000002</v>
      </c>
      <c r="AN260">
        <v>116.215</v>
      </c>
      <c r="AO260">
        <v>147.24600000000001</v>
      </c>
      <c r="AP260">
        <v>157.464</v>
      </c>
      <c r="AQ260">
        <v>155.072</v>
      </c>
      <c r="AR260">
        <v>141.07499999999999</v>
      </c>
      <c r="AS260">
        <v>121.04</v>
      </c>
      <c r="AT260">
        <v>123.994</v>
      </c>
      <c r="AU260">
        <v>128.74600000000001</v>
      </c>
      <c r="AV260">
        <v>132.452</v>
      </c>
      <c r="AW260">
        <v>136.078</v>
      </c>
      <c r="AX260">
        <v>138.673</v>
      </c>
      <c r="AY260">
        <v>2013</v>
      </c>
    </row>
    <row r="261" spans="1:51" x14ac:dyDescent="0.25">
      <c r="A261">
        <v>642</v>
      </c>
      <c r="B261" t="s">
        <v>455</v>
      </c>
      <c r="C261" t="s">
        <v>298</v>
      </c>
      <c r="D261" t="s">
        <v>98</v>
      </c>
      <c r="E261" t="s">
        <v>299</v>
      </c>
      <c r="F261" t="s">
        <v>300</v>
      </c>
      <c r="G261" t="s">
        <v>282</v>
      </c>
      <c r="H261" t="s">
        <v>283</v>
      </c>
      <c r="I261" t="s">
        <v>457</v>
      </c>
      <c r="J261">
        <v>16.545000000000002</v>
      </c>
      <c r="K261">
        <v>16.678000000000001</v>
      </c>
      <c r="L261">
        <v>25.591000000000001</v>
      </c>
      <c r="M261">
        <v>30.207000000000001</v>
      </c>
      <c r="N261">
        <v>30.38</v>
      </c>
      <c r="O261">
        <v>38.253</v>
      </c>
      <c r="P261">
        <v>37.408999999999999</v>
      </c>
      <c r="Q261">
        <v>61</v>
      </c>
      <c r="R261">
        <v>81.102000000000004</v>
      </c>
      <c r="S261">
        <v>39.076000000000001</v>
      </c>
      <c r="T261">
        <v>77.231999999999999</v>
      </c>
      <c r="U261">
        <v>105.77</v>
      </c>
      <c r="V261">
        <v>251.98099999999999</v>
      </c>
      <c r="W261">
        <v>117.321</v>
      </c>
      <c r="X261">
        <v>339.05399999999997</v>
      </c>
      <c r="Y261">
        <v>119.047</v>
      </c>
      <c r="Z261">
        <v>32.417999999999999</v>
      </c>
      <c r="AA261">
        <v>45.256</v>
      </c>
      <c r="AB261">
        <v>91.171999999999997</v>
      </c>
      <c r="AC261">
        <v>84.906999999999996</v>
      </c>
      <c r="AD261">
        <v>186.33699999999999</v>
      </c>
      <c r="AE261">
        <v>165.21899999999999</v>
      </c>
      <c r="AF261">
        <v>161.69900000000001</v>
      </c>
      <c r="AG261">
        <v>254.804</v>
      </c>
      <c r="AH261">
        <v>484.92399999999998</v>
      </c>
      <c r="AI261">
        <v>609.58699999999999</v>
      </c>
      <c r="AJ261">
        <v>954.24800000000005</v>
      </c>
      <c r="AK261" s="21">
        <v>1233.481</v>
      </c>
      <c r="AL261" s="21">
        <v>1759.3309999999999</v>
      </c>
      <c r="AM261" s="21">
        <v>2827.5219999999999</v>
      </c>
      <c r="AN261" s="21">
        <v>2516.8530000000001</v>
      </c>
      <c r="AO261" s="21">
        <v>2767.018</v>
      </c>
      <c r="AP261" s="21">
        <v>4023.498</v>
      </c>
      <c r="AQ261" s="21">
        <v>3329.0630000000001</v>
      </c>
      <c r="AR261" s="21">
        <v>3102.123</v>
      </c>
      <c r="AS261" s="21">
        <v>2135</v>
      </c>
      <c r="AT261" s="21">
        <v>1869.0309999999999</v>
      </c>
      <c r="AU261" s="21">
        <v>1814.963</v>
      </c>
      <c r="AV261" s="21">
        <v>1766.1980000000001</v>
      </c>
      <c r="AW261" s="21">
        <v>1698.0409999999999</v>
      </c>
      <c r="AX261" s="21">
        <v>1651.84</v>
      </c>
      <c r="AY261">
        <v>2014</v>
      </c>
    </row>
    <row r="262" spans="1:51" x14ac:dyDescent="0.25">
      <c r="A262">
        <v>643</v>
      </c>
      <c r="B262" t="s">
        <v>458</v>
      </c>
      <c r="C262" t="s">
        <v>279</v>
      </c>
      <c r="D262" t="s">
        <v>99</v>
      </c>
      <c r="E262" t="s">
        <v>280</v>
      </c>
      <c r="F262" t="s">
        <v>281</v>
      </c>
      <c r="G262" t="s">
        <v>282</v>
      </c>
      <c r="H262" t="s">
        <v>283</v>
      </c>
      <c r="I262" t="s">
        <v>459</v>
      </c>
      <c r="J262" t="s">
        <v>285</v>
      </c>
      <c r="K262" t="s">
        <v>285</v>
      </c>
      <c r="L262" t="s">
        <v>285</v>
      </c>
      <c r="M262" t="s">
        <v>285</v>
      </c>
      <c r="N262" t="s">
        <v>285</v>
      </c>
      <c r="O262" t="s">
        <v>285</v>
      </c>
      <c r="P262" t="s">
        <v>285</v>
      </c>
      <c r="Q262" t="s">
        <v>285</v>
      </c>
      <c r="R262" t="s">
        <v>285</v>
      </c>
      <c r="S262" t="s">
        <v>285</v>
      </c>
      <c r="T262" t="s">
        <v>285</v>
      </c>
      <c r="U262" t="s">
        <v>285</v>
      </c>
      <c r="V262">
        <v>9.1790000000000003</v>
      </c>
      <c r="W262">
        <v>10.362</v>
      </c>
      <c r="X262">
        <v>11.696</v>
      </c>
      <c r="Y262">
        <v>14.143000000000001</v>
      </c>
      <c r="Z262">
        <v>14.472</v>
      </c>
      <c r="AA262">
        <v>15.794</v>
      </c>
      <c r="AB262">
        <v>17.042000000000002</v>
      </c>
      <c r="AC262">
        <v>17.376999999999999</v>
      </c>
      <c r="AD262">
        <v>17.408999999999999</v>
      </c>
      <c r="AE262">
        <v>15.257999999999999</v>
      </c>
      <c r="AF262">
        <v>16.594000000000001</v>
      </c>
      <c r="AG262">
        <v>17.093</v>
      </c>
      <c r="AH262">
        <v>16.638999999999999</v>
      </c>
      <c r="AI262">
        <v>16.88</v>
      </c>
      <c r="AJ262">
        <v>16.716999999999999</v>
      </c>
      <c r="AK262">
        <v>16.954999999999998</v>
      </c>
      <c r="AL262">
        <v>15.297000000000001</v>
      </c>
      <c r="AM262">
        <v>15.89</v>
      </c>
      <c r="AN262">
        <v>16.238</v>
      </c>
      <c r="AO262">
        <v>17.646999999999998</v>
      </c>
      <c r="AP262">
        <v>18.885999999999999</v>
      </c>
      <c r="AQ262">
        <v>19.138000000000002</v>
      </c>
      <c r="AR262">
        <v>19.463000000000001</v>
      </c>
      <c r="AS262">
        <v>19.510999999999999</v>
      </c>
      <c r="AT262">
        <v>19.946999999999999</v>
      </c>
      <c r="AU262">
        <v>20.623000000000001</v>
      </c>
      <c r="AV262">
        <v>21.353000000000002</v>
      </c>
      <c r="AW262">
        <v>22.135000000000002</v>
      </c>
      <c r="AX262">
        <v>22.968</v>
      </c>
      <c r="AY262">
        <v>2006</v>
      </c>
    </row>
    <row r="263" spans="1:51" x14ac:dyDescent="0.25">
      <c r="A263">
        <v>643</v>
      </c>
      <c r="B263" t="s">
        <v>458</v>
      </c>
      <c r="C263" t="s">
        <v>286</v>
      </c>
      <c r="D263" t="s">
        <v>99</v>
      </c>
      <c r="E263" t="s">
        <v>287</v>
      </c>
      <c r="F263" t="s">
        <v>288</v>
      </c>
      <c r="G263" t="s">
        <v>282</v>
      </c>
      <c r="H263" t="s">
        <v>283</v>
      </c>
      <c r="I263" t="s">
        <v>459</v>
      </c>
      <c r="J263" t="s">
        <v>285</v>
      </c>
      <c r="K263" t="s">
        <v>285</v>
      </c>
      <c r="L263" t="s">
        <v>285</v>
      </c>
      <c r="M263" t="s">
        <v>285</v>
      </c>
      <c r="N263" t="s">
        <v>285</v>
      </c>
      <c r="O263" t="s">
        <v>285</v>
      </c>
      <c r="P263" t="s">
        <v>285</v>
      </c>
      <c r="Q263" t="s">
        <v>285</v>
      </c>
      <c r="R263" t="s">
        <v>285</v>
      </c>
      <c r="S263" t="s">
        <v>285</v>
      </c>
      <c r="T263" t="s">
        <v>285</v>
      </c>
      <c r="U263" t="s">
        <v>285</v>
      </c>
      <c r="V263">
        <v>2.1909999999999998</v>
      </c>
      <c r="W263">
        <v>2.528</v>
      </c>
      <c r="X263">
        <v>3.45</v>
      </c>
      <c r="Y263">
        <v>3.9430000000000001</v>
      </c>
      <c r="Z263">
        <v>4.758</v>
      </c>
      <c r="AA263">
        <v>5.3470000000000004</v>
      </c>
      <c r="AB263">
        <v>5.9580000000000002</v>
      </c>
      <c r="AC263">
        <v>6.4710000000000001</v>
      </c>
      <c r="AD263">
        <v>6.7990000000000004</v>
      </c>
      <c r="AE263">
        <v>8.5090000000000003</v>
      </c>
      <c r="AF263">
        <v>10.18</v>
      </c>
      <c r="AG263">
        <v>12.077</v>
      </c>
      <c r="AH263">
        <v>15.291</v>
      </c>
      <c r="AI263">
        <v>16.88</v>
      </c>
      <c r="AJ263">
        <v>18.622</v>
      </c>
      <c r="AK263">
        <v>20.263999999999999</v>
      </c>
      <c r="AL263">
        <v>21.22</v>
      </c>
      <c r="AM263">
        <v>28.547000000000001</v>
      </c>
      <c r="AN263">
        <v>32.548999999999999</v>
      </c>
      <c r="AO263">
        <v>40.094999999999999</v>
      </c>
      <c r="AP263">
        <v>47.539000000000001</v>
      </c>
      <c r="AQ263">
        <v>52.953000000000003</v>
      </c>
      <c r="AR263">
        <v>59.314</v>
      </c>
      <c r="AS263">
        <v>65.430000000000007</v>
      </c>
      <c r="AT263">
        <v>73.932000000000002</v>
      </c>
      <c r="AU263">
        <v>84.218000000000004</v>
      </c>
      <c r="AV263">
        <v>96.686000000000007</v>
      </c>
      <c r="AW263">
        <v>111.155</v>
      </c>
      <c r="AX263">
        <v>116.60599999999999</v>
      </c>
      <c r="AY263">
        <v>2006</v>
      </c>
    </row>
    <row r="264" spans="1:51" x14ac:dyDescent="0.25">
      <c r="A264">
        <v>643</v>
      </c>
      <c r="B264" t="s">
        <v>458</v>
      </c>
      <c r="C264" t="s">
        <v>289</v>
      </c>
      <c r="D264" t="s">
        <v>99</v>
      </c>
      <c r="E264" t="s">
        <v>287</v>
      </c>
      <c r="F264" t="s">
        <v>290</v>
      </c>
      <c r="G264" t="s">
        <v>291</v>
      </c>
      <c r="H264" t="s">
        <v>283</v>
      </c>
      <c r="I264" t="s">
        <v>292</v>
      </c>
      <c r="J264" t="s">
        <v>285</v>
      </c>
      <c r="K264" t="s">
        <v>285</v>
      </c>
      <c r="L264" t="s">
        <v>285</v>
      </c>
      <c r="M264" t="s">
        <v>285</v>
      </c>
      <c r="N264" t="s">
        <v>285</v>
      </c>
      <c r="O264" t="s">
        <v>285</v>
      </c>
      <c r="P264" t="s">
        <v>285</v>
      </c>
      <c r="Q264" t="s">
        <v>285</v>
      </c>
      <c r="R264" t="s">
        <v>285</v>
      </c>
      <c r="S264" t="s">
        <v>285</v>
      </c>
      <c r="T264" t="s">
        <v>285</v>
      </c>
      <c r="U264" t="s">
        <v>285</v>
      </c>
      <c r="V264">
        <v>0.78300000000000003</v>
      </c>
      <c r="W264">
        <v>0.48299999999999998</v>
      </c>
      <c r="X264">
        <v>0.56000000000000005</v>
      </c>
      <c r="Y264">
        <v>0.624</v>
      </c>
      <c r="Z264">
        <v>0.749</v>
      </c>
      <c r="AA264">
        <v>0.76700000000000002</v>
      </c>
      <c r="AB264">
        <v>0.80900000000000005</v>
      </c>
      <c r="AC264">
        <v>0.79400000000000004</v>
      </c>
      <c r="AD264">
        <v>0.70599999999999996</v>
      </c>
      <c r="AE264">
        <v>0.752</v>
      </c>
      <c r="AF264">
        <v>0.72899999999999998</v>
      </c>
      <c r="AG264">
        <v>0.87</v>
      </c>
      <c r="AH264">
        <v>1.109</v>
      </c>
      <c r="AI264">
        <v>1.0980000000000001</v>
      </c>
      <c r="AJ264">
        <v>1.2110000000000001</v>
      </c>
      <c r="AK264">
        <v>1.3180000000000001</v>
      </c>
      <c r="AL264">
        <v>1.38</v>
      </c>
      <c r="AM264">
        <v>1.857</v>
      </c>
      <c r="AN264">
        <v>2.117</v>
      </c>
      <c r="AO264">
        <v>2.6080000000000001</v>
      </c>
      <c r="AP264">
        <v>3.0920000000000001</v>
      </c>
      <c r="AQ264">
        <v>3.444</v>
      </c>
      <c r="AR264">
        <v>3.8580000000000001</v>
      </c>
      <c r="AS264">
        <v>4.2560000000000002</v>
      </c>
      <c r="AT264">
        <v>4.8090000000000002</v>
      </c>
      <c r="AU264">
        <v>5.4779999999999998</v>
      </c>
      <c r="AV264">
        <v>6.2889999999999997</v>
      </c>
      <c r="AW264">
        <v>7.23</v>
      </c>
      <c r="AX264">
        <v>7.5839999999999996</v>
      </c>
      <c r="AY264">
        <v>2006</v>
      </c>
    </row>
    <row r="265" spans="1:51" x14ac:dyDescent="0.25">
      <c r="A265">
        <v>643</v>
      </c>
      <c r="B265" t="s">
        <v>458</v>
      </c>
      <c r="C265" t="s">
        <v>293</v>
      </c>
      <c r="D265" t="s">
        <v>99</v>
      </c>
      <c r="E265" t="s">
        <v>294</v>
      </c>
      <c r="F265" t="s">
        <v>295</v>
      </c>
      <c r="G265" t="s">
        <v>296</v>
      </c>
      <c r="I265" t="s">
        <v>297</v>
      </c>
      <c r="J265" t="s">
        <v>285</v>
      </c>
      <c r="K265" t="s">
        <v>285</v>
      </c>
      <c r="L265" t="s">
        <v>285</v>
      </c>
      <c r="M265" t="s">
        <v>285</v>
      </c>
      <c r="N265" t="s">
        <v>285</v>
      </c>
      <c r="O265" t="s">
        <v>285</v>
      </c>
      <c r="P265" t="s">
        <v>285</v>
      </c>
      <c r="Q265" t="s">
        <v>285</v>
      </c>
      <c r="R265" t="s">
        <v>285</v>
      </c>
      <c r="S265" t="s">
        <v>285</v>
      </c>
      <c r="T265" t="s">
        <v>285</v>
      </c>
      <c r="U265" t="s">
        <v>285</v>
      </c>
      <c r="V265">
        <v>23.869</v>
      </c>
      <c r="W265">
        <v>24.395</v>
      </c>
      <c r="X265">
        <v>29.5</v>
      </c>
      <c r="Y265">
        <v>27.882000000000001</v>
      </c>
      <c r="Z265">
        <v>32.881</v>
      </c>
      <c r="AA265">
        <v>33.856000000000002</v>
      </c>
      <c r="AB265">
        <v>34.962000000000003</v>
      </c>
      <c r="AC265">
        <v>37.238</v>
      </c>
      <c r="AD265">
        <v>39.052999999999997</v>
      </c>
      <c r="AE265">
        <v>55.765999999999998</v>
      </c>
      <c r="AF265">
        <v>61.347000000000001</v>
      </c>
      <c r="AG265">
        <v>70.656999999999996</v>
      </c>
      <c r="AH265">
        <v>91.899000000000001</v>
      </c>
      <c r="AI265">
        <v>100</v>
      </c>
      <c r="AJ265">
        <v>111.39400000000001</v>
      </c>
      <c r="AK265">
        <v>119.51300000000001</v>
      </c>
      <c r="AL265">
        <v>138.726</v>
      </c>
      <c r="AM265">
        <v>179.65600000000001</v>
      </c>
      <c r="AN265">
        <v>200.44900000000001</v>
      </c>
      <c r="AO265">
        <v>227.2</v>
      </c>
      <c r="AP265">
        <v>251.714</v>
      </c>
      <c r="AQ265">
        <v>276.69499999999999</v>
      </c>
      <c r="AR265">
        <v>304.74700000000001</v>
      </c>
      <c r="AS265">
        <v>335.346</v>
      </c>
      <c r="AT265">
        <v>370.63799999999998</v>
      </c>
      <c r="AU265">
        <v>408.36099999999999</v>
      </c>
      <c r="AV265">
        <v>452.79599999999999</v>
      </c>
      <c r="AW265">
        <v>502.17200000000003</v>
      </c>
      <c r="AX265">
        <v>507.69</v>
      </c>
      <c r="AY265">
        <v>2006</v>
      </c>
    </row>
    <row r="266" spans="1:51" x14ac:dyDescent="0.25">
      <c r="A266">
        <v>643</v>
      </c>
      <c r="B266" t="s">
        <v>458</v>
      </c>
      <c r="C266" t="s">
        <v>298</v>
      </c>
      <c r="D266" t="s">
        <v>99</v>
      </c>
      <c r="E266" t="s">
        <v>299</v>
      </c>
      <c r="F266" t="s">
        <v>300</v>
      </c>
      <c r="G266" t="s">
        <v>282</v>
      </c>
      <c r="H266" t="s">
        <v>283</v>
      </c>
      <c r="I266" t="s">
        <v>460</v>
      </c>
      <c r="J266" t="s">
        <v>285</v>
      </c>
      <c r="K266" t="s">
        <v>285</v>
      </c>
      <c r="L266" t="s">
        <v>285</v>
      </c>
      <c r="M266" t="s">
        <v>285</v>
      </c>
      <c r="N266" t="s">
        <v>285</v>
      </c>
      <c r="O266" t="s">
        <v>285</v>
      </c>
      <c r="P266" t="s">
        <v>285</v>
      </c>
      <c r="Q266" t="s">
        <v>285</v>
      </c>
      <c r="R266" t="s">
        <v>285</v>
      </c>
      <c r="S266" t="s">
        <v>285</v>
      </c>
      <c r="T266" t="s">
        <v>285</v>
      </c>
      <c r="U266" t="s">
        <v>285</v>
      </c>
      <c r="V266">
        <v>0.55300000000000005</v>
      </c>
      <c r="W266">
        <v>1.3149999999999999</v>
      </c>
      <c r="X266">
        <v>1.345</v>
      </c>
      <c r="Y266">
        <v>2.4780000000000002</v>
      </c>
      <c r="Z266">
        <v>2.528</v>
      </c>
      <c r="AA266">
        <v>2.4889999999999999</v>
      </c>
      <c r="AB266">
        <v>4.0570000000000004</v>
      </c>
      <c r="AC266">
        <v>5.3109999999999999</v>
      </c>
      <c r="AD266">
        <v>5.0419999999999998</v>
      </c>
      <c r="AE266">
        <v>5.875</v>
      </c>
      <c r="AF266">
        <v>6.3680000000000003</v>
      </c>
      <c r="AG266">
        <v>8.093</v>
      </c>
      <c r="AH266">
        <v>8.3859999999999992</v>
      </c>
      <c r="AI266">
        <v>9.7040000000000006</v>
      </c>
      <c r="AJ266">
        <v>7.6639999999999997</v>
      </c>
      <c r="AK266">
        <v>8.093</v>
      </c>
      <c r="AL266">
        <v>8.9410000000000007</v>
      </c>
      <c r="AM266">
        <v>8.7449999999999992</v>
      </c>
      <c r="AN266">
        <v>11.27</v>
      </c>
      <c r="AO266">
        <v>13.474</v>
      </c>
      <c r="AP266">
        <v>14.583</v>
      </c>
      <c r="AQ266">
        <v>15.785</v>
      </c>
      <c r="AR266">
        <v>17.27</v>
      </c>
      <c r="AS266">
        <v>18.952000000000002</v>
      </c>
      <c r="AT266">
        <v>21.22</v>
      </c>
      <c r="AU266">
        <v>23.931999999999999</v>
      </c>
      <c r="AV266">
        <v>26.68</v>
      </c>
      <c r="AW266">
        <v>30.184999999999999</v>
      </c>
      <c r="AX266">
        <v>31.594000000000001</v>
      </c>
      <c r="AY266">
        <v>2008</v>
      </c>
    </row>
    <row r="267" spans="1:51" x14ac:dyDescent="0.25">
      <c r="A267">
        <v>939</v>
      </c>
      <c r="B267" t="s">
        <v>461</v>
      </c>
      <c r="C267" t="s">
        <v>279</v>
      </c>
      <c r="D267" t="s">
        <v>100</v>
      </c>
      <c r="E267" t="s">
        <v>280</v>
      </c>
      <c r="F267" t="s">
        <v>281</v>
      </c>
      <c r="G267" t="s">
        <v>282</v>
      </c>
      <c r="H267" t="s">
        <v>283</v>
      </c>
      <c r="I267" t="s">
        <v>462</v>
      </c>
      <c r="J267" t="s">
        <v>285</v>
      </c>
      <c r="K267" t="s">
        <v>285</v>
      </c>
      <c r="L267" t="s">
        <v>285</v>
      </c>
      <c r="M267" t="s">
        <v>285</v>
      </c>
      <c r="N267" t="s">
        <v>285</v>
      </c>
      <c r="O267" t="s">
        <v>285</v>
      </c>
      <c r="P267" t="s">
        <v>285</v>
      </c>
      <c r="Q267" t="s">
        <v>285</v>
      </c>
      <c r="R267" t="s">
        <v>285</v>
      </c>
      <c r="S267" t="s">
        <v>285</v>
      </c>
      <c r="T267" t="s">
        <v>285</v>
      </c>
      <c r="U267" t="s">
        <v>285</v>
      </c>
      <c r="V267" t="s">
        <v>285</v>
      </c>
      <c r="W267">
        <v>7.8810000000000002</v>
      </c>
      <c r="X267">
        <v>7.7519999999999998</v>
      </c>
      <c r="Y267">
        <v>7.9189999999999996</v>
      </c>
      <c r="Z267">
        <v>8.34</v>
      </c>
      <c r="AA267">
        <v>9.3239999999999998</v>
      </c>
      <c r="AB267">
        <v>9.7080000000000002</v>
      </c>
      <c r="AC267">
        <v>9.625</v>
      </c>
      <c r="AD267">
        <v>10.641999999999999</v>
      </c>
      <c r="AE267">
        <v>11.316000000000001</v>
      </c>
      <c r="AF267">
        <v>12.003</v>
      </c>
      <c r="AG267">
        <v>12.893000000000001</v>
      </c>
      <c r="AH267">
        <v>13.705</v>
      </c>
      <c r="AI267">
        <v>14.99</v>
      </c>
      <c r="AJ267">
        <v>16.53</v>
      </c>
      <c r="AK267">
        <v>17.809999999999999</v>
      </c>
      <c r="AL267">
        <v>16.844999999999999</v>
      </c>
      <c r="AM267">
        <v>14.365</v>
      </c>
      <c r="AN267">
        <v>14.718</v>
      </c>
      <c r="AO267">
        <v>15.835000000000001</v>
      </c>
      <c r="AP267">
        <v>16.655000000000001</v>
      </c>
      <c r="AQ267">
        <v>16.916</v>
      </c>
      <c r="AR267">
        <v>17.408000000000001</v>
      </c>
      <c r="AS267">
        <v>17.751999999999999</v>
      </c>
      <c r="AT267">
        <v>18.263000000000002</v>
      </c>
      <c r="AU267">
        <v>18.803999999999998</v>
      </c>
      <c r="AV267">
        <v>19.405000000000001</v>
      </c>
      <c r="AW267">
        <v>20.042999999999999</v>
      </c>
      <c r="AX267">
        <v>20.727</v>
      </c>
      <c r="AY267">
        <v>2013</v>
      </c>
    </row>
    <row r="268" spans="1:51" x14ac:dyDescent="0.25">
      <c r="A268">
        <v>939</v>
      </c>
      <c r="B268" t="s">
        <v>461</v>
      </c>
      <c r="C268" t="s">
        <v>286</v>
      </c>
      <c r="D268" t="s">
        <v>100</v>
      </c>
      <c r="E268" t="s">
        <v>287</v>
      </c>
      <c r="F268" t="s">
        <v>288</v>
      </c>
      <c r="G268" t="s">
        <v>282</v>
      </c>
      <c r="H268" t="s">
        <v>283</v>
      </c>
      <c r="I268" t="s">
        <v>462</v>
      </c>
      <c r="J268" t="s">
        <v>285</v>
      </c>
      <c r="K268" t="s">
        <v>285</v>
      </c>
      <c r="L268" t="s">
        <v>285</v>
      </c>
      <c r="M268" t="s">
        <v>285</v>
      </c>
      <c r="N268" t="s">
        <v>285</v>
      </c>
      <c r="O268" t="s">
        <v>285</v>
      </c>
      <c r="P268" t="s">
        <v>285</v>
      </c>
      <c r="Q268" t="s">
        <v>285</v>
      </c>
      <c r="R268" t="s">
        <v>285</v>
      </c>
      <c r="S268" t="s">
        <v>285</v>
      </c>
      <c r="T268" t="s">
        <v>285</v>
      </c>
      <c r="U268" t="s">
        <v>285</v>
      </c>
      <c r="V268" t="s">
        <v>285</v>
      </c>
      <c r="W268">
        <v>1.4690000000000001</v>
      </c>
      <c r="X268">
        <v>2.0179999999999998</v>
      </c>
      <c r="Y268">
        <v>2.7789999999999999</v>
      </c>
      <c r="Z268">
        <v>3.649</v>
      </c>
      <c r="AA268">
        <v>4.4950000000000001</v>
      </c>
      <c r="AB268">
        <v>5.0490000000000004</v>
      </c>
      <c r="AC268">
        <v>5.3789999999999996</v>
      </c>
      <c r="AD268">
        <v>6.1710000000000003</v>
      </c>
      <c r="AE268">
        <v>6.976</v>
      </c>
      <c r="AF268">
        <v>7.774</v>
      </c>
      <c r="AG268">
        <v>8.7089999999999996</v>
      </c>
      <c r="AH268">
        <v>9.7080000000000002</v>
      </c>
      <c r="AI268">
        <v>11.262</v>
      </c>
      <c r="AJ268">
        <v>13.522</v>
      </c>
      <c r="AK268">
        <v>16.245999999999999</v>
      </c>
      <c r="AL268">
        <v>16.516999999999999</v>
      </c>
      <c r="AM268">
        <v>14.146000000000001</v>
      </c>
      <c r="AN268">
        <v>14.718</v>
      </c>
      <c r="AO268">
        <v>16.667999999999999</v>
      </c>
      <c r="AP268">
        <v>18.006</v>
      </c>
      <c r="AQ268">
        <v>19.015000000000001</v>
      </c>
      <c r="AR268">
        <v>19.963000000000001</v>
      </c>
      <c r="AS268">
        <v>20.613</v>
      </c>
      <c r="AT268">
        <v>21.669</v>
      </c>
      <c r="AU268">
        <v>22.887</v>
      </c>
      <c r="AV268">
        <v>24.212</v>
      </c>
      <c r="AW268">
        <v>25.666</v>
      </c>
      <c r="AX268">
        <v>27.277999999999999</v>
      </c>
      <c r="AY268">
        <v>2013</v>
      </c>
    </row>
    <row r="269" spans="1:51" x14ac:dyDescent="0.25">
      <c r="A269">
        <v>939</v>
      </c>
      <c r="B269" t="s">
        <v>461</v>
      </c>
      <c r="C269" t="s">
        <v>289</v>
      </c>
      <c r="D269" t="s">
        <v>100</v>
      </c>
      <c r="E269" t="s">
        <v>287</v>
      </c>
      <c r="F269" t="s">
        <v>290</v>
      </c>
      <c r="G269" t="s">
        <v>291</v>
      </c>
      <c r="H269" t="s">
        <v>283</v>
      </c>
      <c r="I269" t="s">
        <v>292</v>
      </c>
      <c r="J269" t="s">
        <v>285</v>
      </c>
      <c r="K269" t="s">
        <v>285</v>
      </c>
      <c r="L269" t="s">
        <v>285</v>
      </c>
      <c r="M269" t="s">
        <v>285</v>
      </c>
      <c r="N269" t="s">
        <v>285</v>
      </c>
      <c r="O269" t="s">
        <v>285</v>
      </c>
      <c r="P269" t="s">
        <v>285</v>
      </c>
      <c r="Q269" t="s">
        <v>285</v>
      </c>
      <c r="R269" t="s">
        <v>285</v>
      </c>
      <c r="S269" t="s">
        <v>285</v>
      </c>
      <c r="T269" t="s">
        <v>285</v>
      </c>
      <c r="U269" t="s">
        <v>285</v>
      </c>
      <c r="V269" t="s">
        <v>285</v>
      </c>
      <c r="W269">
        <v>1.7390000000000001</v>
      </c>
      <c r="X269">
        <v>2.4350000000000001</v>
      </c>
      <c r="Y269">
        <v>3.7970000000000002</v>
      </c>
      <c r="Z269">
        <v>4.7450000000000001</v>
      </c>
      <c r="AA269">
        <v>5.0720000000000001</v>
      </c>
      <c r="AB269">
        <v>5.6210000000000004</v>
      </c>
      <c r="AC269">
        <v>5.7409999999999997</v>
      </c>
      <c r="AD269">
        <v>5.7060000000000004</v>
      </c>
      <c r="AE269">
        <v>6.26</v>
      </c>
      <c r="AF269">
        <v>7.3449999999999998</v>
      </c>
      <c r="AG269">
        <v>9.8520000000000003</v>
      </c>
      <c r="AH269">
        <v>12.071</v>
      </c>
      <c r="AI269">
        <v>14.023999999999999</v>
      </c>
      <c r="AJ269">
        <v>16.986999999999998</v>
      </c>
      <c r="AK269">
        <v>22.265000000000001</v>
      </c>
      <c r="AL269">
        <v>24.285</v>
      </c>
      <c r="AM269">
        <v>19.712</v>
      </c>
      <c r="AN269">
        <v>19.542000000000002</v>
      </c>
      <c r="AO269">
        <v>23.190999999999999</v>
      </c>
      <c r="AP269">
        <v>23.158999999999999</v>
      </c>
      <c r="AQ269">
        <v>25.254999999999999</v>
      </c>
      <c r="AR269">
        <v>26.506</v>
      </c>
      <c r="AS269">
        <v>22.934000000000001</v>
      </c>
      <c r="AT269">
        <v>24.224</v>
      </c>
      <c r="AU269">
        <v>25.869</v>
      </c>
      <c r="AV269">
        <v>27.646000000000001</v>
      </c>
      <c r="AW269">
        <v>29.536999999999999</v>
      </c>
      <c r="AX269">
        <v>31.856000000000002</v>
      </c>
      <c r="AY269">
        <v>2013</v>
      </c>
    </row>
    <row r="270" spans="1:51" x14ac:dyDescent="0.25">
      <c r="A270">
        <v>939</v>
      </c>
      <c r="B270" t="s">
        <v>461</v>
      </c>
      <c r="C270" t="s">
        <v>293</v>
      </c>
      <c r="D270" t="s">
        <v>100</v>
      </c>
      <c r="E270" t="s">
        <v>294</v>
      </c>
      <c r="F270" t="s">
        <v>295</v>
      </c>
      <c r="G270" t="s">
        <v>296</v>
      </c>
      <c r="I270" t="s">
        <v>297</v>
      </c>
      <c r="J270" t="s">
        <v>285</v>
      </c>
      <c r="K270" t="s">
        <v>285</v>
      </c>
      <c r="L270" t="s">
        <v>285</v>
      </c>
      <c r="M270" t="s">
        <v>285</v>
      </c>
      <c r="N270" t="s">
        <v>285</v>
      </c>
      <c r="O270" t="s">
        <v>285</v>
      </c>
      <c r="P270" t="s">
        <v>285</v>
      </c>
      <c r="Q270" t="s">
        <v>285</v>
      </c>
      <c r="R270" t="s">
        <v>285</v>
      </c>
      <c r="S270" t="s">
        <v>285</v>
      </c>
      <c r="T270" t="s">
        <v>285</v>
      </c>
      <c r="U270" t="s">
        <v>285</v>
      </c>
      <c r="V270" t="s">
        <v>285</v>
      </c>
      <c r="W270">
        <v>18.638000000000002</v>
      </c>
      <c r="X270">
        <v>26.030999999999999</v>
      </c>
      <c r="Y270">
        <v>35.1</v>
      </c>
      <c r="Z270">
        <v>43.755000000000003</v>
      </c>
      <c r="AA270">
        <v>48.204999999999998</v>
      </c>
      <c r="AB270">
        <v>52.01</v>
      </c>
      <c r="AC270">
        <v>55.883000000000003</v>
      </c>
      <c r="AD270">
        <v>57.984000000000002</v>
      </c>
      <c r="AE270">
        <v>61.652000000000001</v>
      </c>
      <c r="AF270">
        <v>64.763999999999996</v>
      </c>
      <c r="AG270">
        <v>67.545000000000002</v>
      </c>
      <c r="AH270">
        <v>70.831999999999994</v>
      </c>
      <c r="AI270">
        <v>75.132999999999996</v>
      </c>
      <c r="AJ270">
        <v>81.802999999999997</v>
      </c>
      <c r="AK270">
        <v>91.218999999999994</v>
      </c>
      <c r="AL270">
        <v>98.054000000000002</v>
      </c>
      <c r="AM270">
        <v>98.477000000000004</v>
      </c>
      <c r="AN270">
        <v>100</v>
      </c>
      <c r="AO270">
        <v>105.261</v>
      </c>
      <c r="AP270">
        <v>108.11</v>
      </c>
      <c r="AQ270">
        <v>112.405</v>
      </c>
      <c r="AR270">
        <v>114.675</v>
      </c>
      <c r="AS270">
        <v>116.114</v>
      </c>
      <c r="AT270">
        <v>118.65300000000001</v>
      </c>
      <c r="AU270">
        <v>121.71599999999999</v>
      </c>
      <c r="AV270">
        <v>124.77</v>
      </c>
      <c r="AW270">
        <v>128.053</v>
      </c>
      <c r="AX270">
        <v>131.60499999999999</v>
      </c>
      <c r="AY270">
        <v>2013</v>
      </c>
    </row>
    <row r="271" spans="1:51" x14ac:dyDescent="0.25">
      <c r="A271">
        <v>939</v>
      </c>
      <c r="B271" t="s">
        <v>461</v>
      </c>
      <c r="C271" t="s">
        <v>298</v>
      </c>
      <c r="D271" t="s">
        <v>100</v>
      </c>
      <c r="E271" t="s">
        <v>299</v>
      </c>
      <c r="F271" t="s">
        <v>300</v>
      </c>
      <c r="G271" t="s">
        <v>282</v>
      </c>
      <c r="H271" t="s">
        <v>283</v>
      </c>
      <c r="I271" t="s">
        <v>463</v>
      </c>
      <c r="J271" t="s">
        <v>285</v>
      </c>
      <c r="K271" t="s">
        <v>285</v>
      </c>
      <c r="L271" t="s">
        <v>285</v>
      </c>
      <c r="M271" t="s">
        <v>285</v>
      </c>
      <c r="N271" t="s">
        <v>285</v>
      </c>
      <c r="O271" t="s">
        <v>285</v>
      </c>
      <c r="P271" t="s">
        <v>285</v>
      </c>
      <c r="Q271" t="s">
        <v>285</v>
      </c>
      <c r="R271" t="s">
        <v>285</v>
      </c>
      <c r="S271" t="s">
        <v>285</v>
      </c>
      <c r="T271" t="s">
        <v>285</v>
      </c>
      <c r="U271" t="s">
        <v>285</v>
      </c>
      <c r="V271" t="s">
        <v>285</v>
      </c>
      <c r="W271" t="s">
        <v>285</v>
      </c>
      <c r="X271" t="s">
        <v>285</v>
      </c>
      <c r="Y271">
        <v>1.121</v>
      </c>
      <c r="Z271">
        <v>1.41</v>
      </c>
      <c r="AA271">
        <v>1.623</v>
      </c>
      <c r="AB271">
        <v>1.9670000000000001</v>
      </c>
      <c r="AC271">
        <v>2.1789999999999998</v>
      </c>
      <c r="AD271">
        <v>2.2250000000000001</v>
      </c>
      <c r="AE271">
        <v>2.4260000000000002</v>
      </c>
      <c r="AF271">
        <v>2.7810000000000001</v>
      </c>
      <c r="AG271">
        <v>3.036</v>
      </c>
      <c r="AH271">
        <v>3.2909999999999999</v>
      </c>
      <c r="AI271">
        <v>3.7570000000000001</v>
      </c>
      <c r="AJ271">
        <v>4.5</v>
      </c>
      <c r="AK271">
        <v>5.46</v>
      </c>
      <c r="AL271">
        <v>6.44</v>
      </c>
      <c r="AM271">
        <v>6.258</v>
      </c>
      <c r="AN271">
        <v>5.9450000000000003</v>
      </c>
      <c r="AO271">
        <v>6.2350000000000003</v>
      </c>
      <c r="AP271">
        <v>7.01</v>
      </c>
      <c r="AQ271">
        <v>7.2869999999999999</v>
      </c>
      <c r="AR271">
        <v>7.5389999999999997</v>
      </c>
      <c r="AS271">
        <v>8.0670000000000002</v>
      </c>
      <c r="AT271">
        <v>8.548</v>
      </c>
      <c r="AU271">
        <v>9.125</v>
      </c>
      <c r="AV271">
        <v>9.7449999999999992</v>
      </c>
      <c r="AW271">
        <v>10.374000000000001</v>
      </c>
      <c r="AX271">
        <v>11.042999999999999</v>
      </c>
      <c r="AY271">
        <v>2013</v>
      </c>
    </row>
    <row r="272" spans="1:51" x14ac:dyDescent="0.25">
      <c r="A272">
        <v>644</v>
      </c>
      <c r="B272" t="s">
        <v>464</v>
      </c>
      <c r="C272" t="s">
        <v>279</v>
      </c>
      <c r="D272" t="s">
        <v>101</v>
      </c>
      <c r="E272" t="s">
        <v>280</v>
      </c>
      <c r="F272" t="s">
        <v>281</v>
      </c>
      <c r="G272" t="s">
        <v>282</v>
      </c>
      <c r="H272" t="s">
        <v>283</v>
      </c>
      <c r="I272" t="s">
        <v>465</v>
      </c>
      <c r="J272">
        <v>113.258</v>
      </c>
      <c r="K272">
        <v>113.258</v>
      </c>
      <c r="L272">
        <v>114.34699999999999</v>
      </c>
      <c r="M272">
        <v>123.318</v>
      </c>
      <c r="N272">
        <v>120.476</v>
      </c>
      <c r="O272">
        <v>106.726</v>
      </c>
      <c r="P272">
        <v>117.07</v>
      </c>
      <c r="Q272">
        <v>133.30799999999999</v>
      </c>
      <c r="R272">
        <v>134.07400000000001</v>
      </c>
      <c r="S272">
        <v>133.46100000000001</v>
      </c>
      <c r="T272">
        <v>136.93299999999999</v>
      </c>
      <c r="U272">
        <v>127.04900000000001</v>
      </c>
      <c r="V272">
        <v>115.732</v>
      </c>
      <c r="W272">
        <v>131.19800000000001</v>
      </c>
      <c r="X272">
        <v>135.77199999999999</v>
      </c>
      <c r="Y272">
        <v>144.08199999999999</v>
      </c>
      <c r="Z272">
        <v>163.58099999999999</v>
      </c>
      <c r="AA272">
        <v>168.227</v>
      </c>
      <c r="AB272">
        <v>161.18600000000001</v>
      </c>
      <c r="AC272">
        <v>171.33099999999999</v>
      </c>
      <c r="AD272">
        <v>188.18600000000001</v>
      </c>
      <c r="AE272">
        <v>202.14599999999999</v>
      </c>
      <c r="AF272">
        <v>205.44800000000001</v>
      </c>
      <c r="AG272">
        <v>201.137</v>
      </c>
      <c r="AH272">
        <v>224.72900000000001</v>
      </c>
      <c r="AI272">
        <v>253.14400000000001</v>
      </c>
      <c r="AJ272">
        <v>282.35599999999999</v>
      </c>
      <c r="AK272">
        <v>315.65899999999999</v>
      </c>
      <c r="AL272">
        <v>350.97199999999998</v>
      </c>
      <c r="AM272">
        <v>386.21499999999997</v>
      </c>
      <c r="AN272">
        <v>427.02600000000001</v>
      </c>
      <c r="AO272">
        <v>475.64800000000002</v>
      </c>
      <c r="AP272">
        <v>517.02700000000004</v>
      </c>
      <c r="AQ272">
        <v>567.80399999999997</v>
      </c>
      <c r="AR272">
        <v>626.55700000000002</v>
      </c>
      <c r="AS272">
        <v>680.86199999999997</v>
      </c>
      <c r="AT272">
        <v>735.98299999999995</v>
      </c>
      <c r="AU272">
        <v>792.13599999999997</v>
      </c>
      <c r="AV272">
        <v>851.93700000000001</v>
      </c>
      <c r="AW272">
        <v>915.82600000000002</v>
      </c>
      <c r="AX272">
        <v>984.48</v>
      </c>
      <c r="AY272">
        <v>2014</v>
      </c>
    </row>
    <row r="273" spans="1:51" x14ac:dyDescent="0.25">
      <c r="A273">
        <v>644</v>
      </c>
      <c r="B273" t="s">
        <v>464</v>
      </c>
      <c r="C273" t="s">
        <v>286</v>
      </c>
      <c r="D273" t="s">
        <v>101</v>
      </c>
      <c r="E273" t="s">
        <v>287</v>
      </c>
      <c r="F273" t="s">
        <v>288</v>
      </c>
      <c r="G273" t="s">
        <v>282</v>
      </c>
      <c r="H273" t="s">
        <v>283</v>
      </c>
      <c r="I273" t="s">
        <v>465</v>
      </c>
      <c r="J273">
        <v>15.287000000000001</v>
      </c>
      <c r="K273">
        <v>15.686</v>
      </c>
      <c r="L273">
        <v>16.504999999999999</v>
      </c>
      <c r="M273">
        <v>18.347000000000001</v>
      </c>
      <c r="N273">
        <v>17.335999999999999</v>
      </c>
      <c r="O273">
        <v>20.302</v>
      </c>
      <c r="P273">
        <v>21.088999999999999</v>
      </c>
      <c r="Q273">
        <v>22.542999999999999</v>
      </c>
      <c r="R273">
        <v>23.36</v>
      </c>
      <c r="S273">
        <v>24.574999999999999</v>
      </c>
      <c r="T273">
        <v>26.071000000000002</v>
      </c>
      <c r="U273">
        <v>28.831</v>
      </c>
      <c r="V273">
        <v>30.42</v>
      </c>
      <c r="W273">
        <v>39.021999999999998</v>
      </c>
      <c r="X273">
        <v>41.447000000000003</v>
      </c>
      <c r="Y273">
        <v>49.576000000000001</v>
      </c>
      <c r="Z273">
        <v>55.87</v>
      </c>
      <c r="AA273">
        <v>57.874000000000002</v>
      </c>
      <c r="AB273">
        <v>55.655000000000001</v>
      </c>
      <c r="AC273">
        <v>59.8</v>
      </c>
      <c r="AD273">
        <v>67.128</v>
      </c>
      <c r="AE273">
        <v>68.554000000000002</v>
      </c>
      <c r="AF273">
        <v>67.066999999999993</v>
      </c>
      <c r="AG273">
        <v>73.992000000000004</v>
      </c>
      <c r="AH273">
        <v>87.415999999999997</v>
      </c>
      <c r="AI273">
        <v>107.349</v>
      </c>
      <c r="AJ273">
        <v>132.66900000000001</v>
      </c>
      <c r="AK273">
        <v>173.297</v>
      </c>
      <c r="AL273">
        <v>250.13300000000001</v>
      </c>
      <c r="AM273">
        <v>337.60899999999998</v>
      </c>
      <c r="AN273">
        <v>385.94299999999998</v>
      </c>
      <c r="AO273">
        <v>515.07899999999995</v>
      </c>
      <c r="AP273">
        <v>747.32600000000002</v>
      </c>
      <c r="AQ273">
        <v>864.673</v>
      </c>
      <c r="AR273" s="21">
        <v>1047.393</v>
      </c>
      <c r="AS273" s="21">
        <v>1264.643</v>
      </c>
      <c r="AT273" s="21">
        <v>1478.5050000000001</v>
      </c>
      <c r="AU273" s="21">
        <v>1729.9169999999999</v>
      </c>
      <c r="AV273" s="21">
        <v>2017.5930000000001</v>
      </c>
      <c r="AW273" s="21">
        <v>2352.4960000000001</v>
      </c>
      <c r="AX273" s="21">
        <v>2745.53</v>
      </c>
      <c r="AY273">
        <v>2014</v>
      </c>
    </row>
    <row r="274" spans="1:51" x14ac:dyDescent="0.25">
      <c r="A274">
        <v>644</v>
      </c>
      <c r="B274" t="s">
        <v>464</v>
      </c>
      <c r="C274" t="s">
        <v>289</v>
      </c>
      <c r="D274" t="s">
        <v>101</v>
      </c>
      <c r="E274" t="s">
        <v>287</v>
      </c>
      <c r="F274" t="s">
        <v>290</v>
      </c>
      <c r="G274" t="s">
        <v>291</v>
      </c>
      <c r="H274" t="s">
        <v>283</v>
      </c>
      <c r="I274" t="s">
        <v>292</v>
      </c>
      <c r="J274">
        <v>7.3849999999999998</v>
      </c>
      <c r="K274">
        <v>7.5780000000000003</v>
      </c>
      <c r="L274">
        <v>7.9729999999999999</v>
      </c>
      <c r="M274">
        <v>8.8629999999999995</v>
      </c>
      <c r="N274">
        <v>8.375</v>
      </c>
      <c r="O274">
        <v>9.8079999999999998</v>
      </c>
      <c r="P274">
        <v>10.188000000000001</v>
      </c>
      <c r="Q274">
        <v>10.89</v>
      </c>
      <c r="R274">
        <v>11.285</v>
      </c>
      <c r="S274">
        <v>11.872</v>
      </c>
      <c r="T274">
        <v>12.595000000000001</v>
      </c>
      <c r="U274">
        <v>13.928000000000001</v>
      </c>
      <c r="V274">
        <v>14.696</v>
      </c>
      <c r="W274">
        <v>9.1430000000000007</v>
      </c>
      <c r="X274">
        <v>8.1349999999999998</v>
      </c>
      <c r="Y274">
        <v>8.4309999999999992</v>
      </c>
      <c r="Z274">
        <v>8.8260000000000005</v>
      </c>
      <c r="AA274">
        <v>8.9090000000000007</v>
      </c>
      <c r="AB274">
        <v>8.0779999999999994</v>
      </c>
      <c r="AC274">
        <v>7.9269999999999996</v>
      </c>
      <c r="AD274">
        <v>8.2349999999999994</v>
      </c>
      <c r="AE274">
        <v>8.2230000000000008</v>
      </c>
      <c r="AF274">
        <v>7.851</v>
      </c>
      <c r="AG274">
        <v>8.6229999999999993</v>
      </c>
      <c r="AH274">
        <v>10.141999999999999</v>
      </c>
      <c r="AI274">
        <v>12.407999999999999</v>
      </c>
      <c r="AJ274">
        <v>15.282999999999999</v>
      </c>
      <c r="AK274">
        <v>19.701000000000001</v>
      </c>
      <c r="AL274">
        <v>26.838999999999999</v>
      </c>
      <c r="AM274">
        <v>32.463999999999999</v>
      </c>
      <c r="AN274">
        <v>29.917000000000002</v>
      </c>
      <c r="AO274">
        <v>31.957999999999998</v>
      </c>
      <c r="AP274">
        <v>43.134</v>
      </c>
      <c r="AQ274">
        <v>47.531999999999996</v>
      </c>
      <c r="AR274">
        <v>54.808999999999997</v>
      </c>
      <c r="AS274">
        <v>63.021999999999998</v>
      </c>
      <c r="AT274">
        <v>70.171000000000006</v>
      </c>
      <c r="AU274">
        <v>77.438000000000002</v>
      </c>
      <c r="AV274">
        <v>84.406999999999996</v>
      </c>
      <c r="AW274">
        <v>91.98</v>
      </c>
      <c r="AX274">
        <v>100.324</v>
      </c>
      <c r="AY274">
        <v>2014</v>
      </c>
    </row>
    <row r="275" spans="1:51" x14ac:dyDescent="0.25">
      <c r="A275">
        <v>644</v>
      </c>
      <c r="B275" t="s">
        <v>464</v>
      </c>
      <c r="C275" t="s">
        <v>293</v>
      </c>
      <c r="D275" t="s">
        <v>101</v>
      </c>
      <c r="E275" t="s">
        <v>294</v>
      </c>
      <c r="F275" t="s">
        <v>295</v>
      </c>
      <c r="G275" t="s">
        <v>296</v>
      </c>
      <c r="I275" t="s">
        <v>297</v>
      </c>
      <c r="J275">
        <v>13.497</v>
      </c>
      <c r="K275">
        <v>13.85</v>
      </c>
      <c r="L275">
        <v>14.433999999999999</v>
      </c>
      <c r="M275">
        <v>14.878</v>
      </c>
      <c r="N275">
        <v>14.39</v>
      </c>
      <c r="O275">
        <v>19.021999999999998</v>
      </c>
      <c r="P275">
        <v>18.013999999999999</v>
      </c>
      <c r="Q275">
        <v>16.91</v>
      </c>
      <c r="R275">
        <v>17.422999999999998</v>
      </c>
      <c r="S275">
        <v>18.414000000000001</v>
      </c>
      <c r="T275">
        <v>19.04</v>
      </c>
      <c r="U275">
        <v>22.693000000000001</v>
      </c>
      <c r="V275">
        <v>26.285</v>
      </c>
      <c r="W275">
        <v>29.742999999999999</v>
      </c>
      <c r="X275">
        <v>30.527000000000001</v>
      </c>
      <c r="Y275">
        <v>34.408000000000001</v>
      </c>
      <c r="Z275">
        <v>34.154000000000003</v>
      </c>
      <c r="AA275">
        <v>34.402000000000001</v>
      </c>
      <c r="AB275">
        <v>34.527999999999999</v>
      </c>
      <c r="AC275">
        <v>34.902999999999999</v>
      </c>
      <c r="AD275">
        <v>35.670999999999999</v>
      </c>
      <c r="AE275">
        <v>33.912999999999997</v>
      </c>
      <c r="AF275">
        <v>32.643999999999998</v>
      </c>
      <c r="AG275">
        <v>36.786999999999999</v>
      </c>
      <c r="AH275">
        <v>38.899000000000001</v>
      </c>
      <c r="AI275">
        <v>42.405999999999999</v>
      </c>
      <c r="AJ275">
        <v>46.987000000000002</v>
      </c>
      <c r="AK275">
        <v>54.9</v>
      </c>
      <c r="AL275">
        <v>71.268000000000001</v>
      </c>
      <c r="AM275">
        <v>87.415000000000006</v>
      </c>
      <c r="AN275">
        <v>90.379000000000005</v>
      </c>
      <c r="AO275">
        <v>108.29</v>
      </c>
      <c r="AP275">
        <v>144.54300000000001</v>
      </c>
      <c r="AQ275">
        <v>152.28399999999999</v>
      </c>
      <c r="AR275">
        <v>167.166</v>
      </c>
      <c r="AS275">
        <v>185.74100000000001</v>
      </c>
      <c r="AT275">
        <v>200.88800000000001</v>
      </c>
      <c r="AU275">
        <v>218.386</v>
      </c>
      <c r="AV275">
        <v>236.82400000000001</v>
      </c>
      <c r="AW275">
        <v>256.87099999999998</v>
      </c>
      <c r="AX275">
        <v>278.88099999999997</v>
      </c>
      <c r="AY275">
        <v>2014</v>
      </c>
    </row>
    <row r="276" spans="1:51" x14ac:dyDescent="0.25">
      <c r="A276">
        <v>644</v>
      </c>
      <c r="B276" t="s">
        <v>464</v>
      </c>
      <c r="C276" t="s">
        <v>298</v>
      </c>
      <c r="D276" t="s">
        <v>101</v>
      </c>
      <c r="E276" t="s">
        <v>299</v>
      </c>
      <c r="F276" t="s">
        <v>300</v>
      </c>
      <c r="G276" t="s">
        <v>282</v>
      </c>
      <c r="H276" t="s">
        <v>283</v>
      </c>
      <c r="I276" t="s">
        <v>466</v>
      </c>
      <c r="J276">
        <v>2.004</v>
      </c>
      <c r="K276">
        <v>2.16</v>
      </c>
      <c r="L276">
        <v>2.63</v>
      </c>
      <c r="M276">
        <v>3.786</v>
      </c>
      <c r="N276">
        <v>3.169</v>
      </c>
      <c r="O276">
        <v>3.883</v>
      </c>
      <c r="P276">
        <v>4.0650000000000004</v>
      </c>
      <c r="Q276">
        <v>4.024</v>
      </c>
      <c r="R276">
        <v>4.8929999999999998</v>
      </c>
      <c r="S276">
        <v>5.7320000000000002</v>
      </c>
      <c r="T276">
        <v>5.2809999999999997</v>
      </c>
      <c r="U276">
        <v>4.8490000000000002</v>
      </c>
      <c r="V276">
        <v>4.2050000000000001</v>
      </c>
      <c r="W276">
        <v>5.2190000000000003</v>
      </c>
      <c r="X276">
        <v>7.0940000000000003</v>
      </c>
      <c r="Y276">
        <v>8.3719999999999999</v>
      </c>
      <c r="Z276">
        <v>10.194000000000001</v>
      </c>
      <c r="AA276">
        <v>10.016999999999999</v>
      </c>
      <c r="AB276">
        <v>11.327999999999999</v>
      </c>
      <c r="AC276">
        <v>15.454000000000001</v>
      </c>
      <c r="AD276">
        <v>17.184000000000001</v>
      </c>
      <c r="AE276">
        <v>15.382</v>
      </c>
      <c r="AF276">
        <v>16.678999999999998</v>
      </c>
      <c r="AG276">
        <v>19.84</v>
      </c>
      <c r="AH276">
        <v>20.236000000000001</v>
      </c>
      <c r="AI276">
        <v>24.571999999999999</v>
      </c>
      <c r="AJ276">
        <v>29.276</v>
      </c>
      <c r="AK276">
        <v>35.563000000000002</v>
      </c>
      <c r="AL276">
        <v>46.914999999999999</v>
      </c>
      <c r="AM276">
        <v>57.774000000000001</v>
      </c>
      <c r="AN276">
        <v>71.334999999999994</v>
      </c>
      <c r="AO276">
        <v>93.888999999999996</v>
      </c>
      <c r="AP276">
        <v>124.417</v>
      </c>
      <c r="AQ276">
        <v>153.929</v>
      </c>
      <c r="AR276">
        <v>185.47200000000001</v>
      </c>
      <c r="AS276">
        <v>238.113</v>
      </c>
      <c r="AT276">
        <v>271.36200000000002</v>
      </c>
      <c r="AU276">
        <v>322.25599999999997</v>
      </c>
      <c r="AV276">
        <v>381.387</v>
      </c>
      <c r="AW276">
        <v>448.54399999999998</v>
      </c>
      <c r="AX276">
        <v>524.85299999999995</v>
      </c>
      <c r="AY276">
        <v>2014</v>
      </c>
    </row>
    <row r="277" spans="1:51" x14ac:dyDescent="0.25">
      <c r="A277">
        <v>819</v>
      </c>
      <c r="B277" t="s">
        <v>467</v>
      </c>
      <c r="C277" t="s">
        <v>279</v>
      </c>
      <c r="D277" t="s">
        <v>103</v>
      </c>
      <c r="E277" t="s">
        <v>280</v>
      </c>
      <c r="F277" t="s">
        <v>281</v>
      </c>
      <c r="G277" t="s">
        <v>282</v>
      </c>
      <c r="H277" t="s">
        <v>283</v>
      </c>
      <c r="I277" t="s">
        <v>468</v>
      </c>
      <c r="J277">
        <v>2.37</v>
      </c>
      <c r="K277">
        <v>2.5129999999999999</v>
      </c>
      <c r="L277">
        <v>2.4849999999999999</v>
      </c>
      <c r="M277">
        <v>2.38</v>
      </c>
      <c r="N277">
        <v>2.621</v>
      </c>
      <c r="O277">
        <v>2.5219999999999998</v>
      </c>
      <c r="P277">
        <v>2.6880000000000002</v>
      </c>
      <c r="Q277">
        <v>2.4950000000000001</v>
      </c>
      <c r="R277">
        <v>2.581</v>
      </c>
      <c r="S277">
        <v>2.94</v>
      </c>
      <c r="T277">
        <v>3.1110000000000002</v>
      </c>
      <c r="U277">
        <v>3.0259999999999998</v>
      </c>
      <c r="V277">
        <v>3.2109999999999999</v>
      </c>
      <c r="W277">
        <v>3.2949999999999999</v>
      </c>
      <c r="X277">
        <v>3.4620000000000002</v>
      </c>
      <c r="Y277">
        <v>3.633</v>
      </c>
      <c r="Z277">
        <v>3.8050000000000002</v>
      </c>
      <c r="AA277">
        <v>3.7189999999999999</v>
      </c>
      <c r="AB277">
        <v>3.7639999999999998</v>
      </c>
      <c r="AC277">
        <v>4.1109999999999998</v>
      </c>
      <c r="AD277">
        <v>4.0380000000000003</v>
      </c>
      <c r="AE277">
        <v>4.1180000000000003</v>
      </c>
      <c r="AF277">
        <v>4.2469999999999999</v>
      </c>
      <c r="AG277">
        <v>4.29</v>
      </c>
      <c r="AH277">
        <v>4.524</v>
      </c>
      <c r="AI277">
        <v>4.6369999999999996</v>
      </c>
      <c r="AJ277">
        <v>4.7229999999999999</v>
      </c>
      <c r="AK277">
        <v>4.6820000000000004</v>
      </c>
      <c r="AL277">
        <v>4.7309999999999999</v>
      </c>
      <c r="AM277">
        <v>4.665</v>
      </c>
      <c r="AN277">
        <v>4.8029999999999999</v>
      </c>
      <c r="AO277">
        <v>4.9329999999999998</v>
      </c>
      <c r="AP277">
        <v>5.0229999999999997</v>
      </c>
      <c r="AQ277">
        <v>5.2560000000000002</v>
      </c>
      <c r="AR277">
        <v>5.5339999999999998</v>
      </c>
      <c r="AS277">
        <v>5.7720000000000002</v>
      </c>
      <c r="AT277">
        <v>5.984</v>
      </c>
      <c r="AU277">
        <v>6.1959999999999997</v>
      </c>
      <c r="AV277">
        <v>6.42</v>
      </c>
      <c r="AW277">
        <v>6.657</v>
      </c>
      <c r="AX277">
        <v>6.9029999999999996</v>
      </c>
      <c r="AY277">
        <v>2013</v>
      </c>
    </row>
    <row r="278" spans="1:51" x14ac:dyDescent="0.25">
      <c r="A278">
        <v>819</v>
      </c>
      <c r="B278" t="s">
        <v>467</v>
      </c>
      <c r="C278" t="s">
        <v>286</v>
      </c>
      <c r="D278" t="s">
        <v>103</v>
      </c>
      <c r="E278" t="s">
        <v>287</v>
      </c>
      <c r="F278" t="s">
        <v>288</v>
      </c>
      <c r="G278" t="s">
        <v>282</v>
      </c>
      <c r="H278" t="s">
        <v>283</v>
      </c>
      <c r="I278" t="s">
        <v>468</v>
      </c>
      <c r="J278">
        <v>1.0069999999999999</v>
      </c>
      <c r="K278">
        <v>1.08</v>
      </c>
      <c r="L278">
        <v>1.139</v>
      </c>
      <c r="M278">
        <v>1.169</v>
      </c>
      <c r="N278">
        <v>1.3049999999999999</v>
      </c>
      <c r="O278">
        <v>1.347</v>
      </c>
      <c r="P278">
        <v>1.4950000000000001</v>
      </c>
      <c r="Q278">
        <v>1.4990000000000001</v>
      </c>
      <c r="R278">
        <v>1.6240000000000001</v>
      </c>
      <c r="S278">
        <v>1.7949999999999999</v>
      </c>
      <c r="T278">
        <v>1.98</v>
      </c>
      <c r="U278">
        <v>2.0419999999999998</v>
      </c>
      <c r="V278">
        <v>2.302</v>
      </c>
      <c r="W278">
        <v>2.5219999999999998</v>
      </c>
      <c r="X278">
        <v>2.6720000000000002</v>
      </c>
      <c r="Y278">
        <v>2.7709999999999999</v>
      </c>
      <c r="Z278">
        <v>2.988</v>
      </c>
      <c r="AA278">
        <v>3.0230000000000001</v>
      </c>
      <c r="AB278">
        <v>3.2919999999999998</v>
      </c>
      <c r="AC278">
        <v>3.8250000000000002</v>
      </c>
      <c r="AD278">
        <v>3.585</v>
      </c>
      <c r="AE278">
        <v>3.7789999999999999</v>
      </c>
      <c r="AF278">
        <v>4.03</v>
      </c>
      <c r="AG278">
        <v>4.391</v>
      </c>
      <c r="AH278">
        <v>4.7270000000000003</v>
      </c>
      <c r="AI278">
        <v>5.0839999999999996</v>
      </c>
      <c r="AJ278">
        <v>5.3710000000000004</v>
      </c>
      <c r="AK278">
        <v>5.4829999999999997</v>
      </c>
      <c r="AL278">
        <v>5.6150000000000002</v>
      </c>
      <c r="AM278">
        <v>5.6139999999999999</v>
      </c>
      <c r="AN278">
        <v>6.024</v>
      </c>
      <c r="AO278">
        <v>6.5389999999999997</v>
      </c>
      <c r="AP278">
        <v>6.891</v>
      </c>
      <c r="AQ278">
        <v>7.4279999999999999</v>
      </c>
      <c r="AR278">
        <v>8.0950000000000006</v>
      </c>
      <c r="AS278">
        <v>8.7140000000000004</v>
      </c>
      <c r="AT278">
        <v>9.3219999999999992</v>
      </c>
      <c r="AU278">
        <v>9.9619999999999997</v>
      </c>
      <c r="AV278">
        <v>10.651999999999999</v>
      </c>
      <c r="AW278">
        <v>11.398</v>
      </c>
      <c r="AX278">
        <v>12.198</v>
      </c>
      <c r="AY278">
        <v>2013</v>
      </c>
    </row>
    <row r="279" spans="1:51" x14ac:dyDescent="0.25">
      <c r="A279">
        <v>819</v>
      </c>
      <c r="B279" t="s">
        <v>467</v>
      </c>
      <c r="C279" t="s">
        <v>289</v>
      </c>
      <c r="D279" t="s">
        <v>103</v>
      </c>
      <c r="E279" t="s">
        <v>287</v>
      </c>
      <c r="F279" t="s">
        <v>290</v>
      </c>
      <c r="G279" t="s">
        <v>291</v>
      </c>
      <c r="H279" t="s">
        <v>283</v>
      </c>
      <c r="I279" t="s">
        <v>292</v>
      </c>
      <c r="J279">
        <v>1.2310000000000001</v>
      </c>
      <c r="K279">
        <v>1.264</v>
      </c>
      <c r="L279">
        <v>1.222</v>
      </c>
      <c r="M279">
        <v>1.149</v>
      </c>
      <c r="N279">
        <v>1.2050000000000001</v>
      </c>
      <c r="O279">
        <v>1.1679999999999999</v>
      </c>
      <c r="P279">
        <v>1.32</v>
      </c>
      <c r="Q279">
        <v>1.2050000000000001</v>
      </c>
      <c r="R279">
        <v>1.1359999999999999</v>
      </c>
      <c r="S279">
        <v>1.21</v>
      </c>
      <c r="T279">
        <v>1.337</v>
      </c>
      <c r="U279">
        <v>1.3839999999999999</v>
      </c>
      <c r="V279">
        <v>1.532</v>
      </c>
      <c r="W279">
        <v>1.635</v>
      </c>
      <c r="X279">
        <v>1.825</v>
      </c>
      <c r="Y279">
        <v>1.97</v>
      </c>
      <c r="Z279">
        <v>2.129</v>
      </c>
      <c r="AA279">
        <v>2.0939999999999999</v>
      </c>
      <c r="AB279">
        <v>1.657</v>
      </c>
      <c r="AC279">
        <v>1.9419999999999999</v>
      </c>
      <c r="AD279">
        <v>1.6839999999999999</v>
      </c>
      <c r="AE279">
        <v>1.66</v>
      </c>
      <c r="AF279">
        <v>1.843</v>
      </c>
      <c r="AG279">
        <v>2.3159999999999998</v>
      </c>
      <c r="AH279">
        <v>2.7280000000000002</v>
      </c>
      <c r="AI279">
        <v>3.0070000000000001</v>
      </c>
      <c r="AJ279">
        <v>3.1030000000000002</v>
      </c>
      <c r="AK279">
        <v>3.4049999999999998</v>
      </c>
      <c r="AL279">
        <v>3.5230000000000001</v>
      </c>
      <c r="AM279">
        <v>2.871</v>
      </c>
      <c r="AN279">
        <v>3.14</v>
      </c>
      <c r="AO279">
        <v>3.6459999999999999</v>
      </c>
      <c r="AP279">
        <v>3.85</v>
      </c>
      <c r="AQ279">
        <v>4.0339999999999998</v>
      </c>
      <c r="AR279">
        <v>4.2889999999999997</v>
      </c>
      <c r="AS279">
        <v>4.5259999999999998</v>
      </c>
      <c r="AT279">
        <v>4.7469999999999999</v>
      </c>
      <c r="AU279">
        <v>4.9729999999999999</v>
      </c>
      <c r="AV279">
        <v>5.2140000000000004</v>
      </c>
      <c r="AW279">
        <v>5.47</v>
      </c>
      <c r="AX279">
        <v>5.7389999999999999</v>
      </c>
      <c r="AY279">
        <v>2013</v>
      </c>
    </row>
    <row r="280" spans="1:51" x14ac:dyDescent="0.25">
      <c r="A280">
        <v>819</v>
      </c>
      <c r="B280" t="s">
        <v>467</v>
      </c>
      <c r="C280" t="s">
        <v>293</v>
      </c>
      <c r="D280" t="s">
        <v>103</v>
      </c>
      <c r="E280" t="s">
        <v>294</v>
      </c>
      <c r="F280" t="s">
        <v>295</v>
      </c>
      <c r="G280" t="s">
        <v>296</v>
      </c>
      <c r="I280" t="s">
        <v>297</v>
      </c>
      <c r="J280">
        <v>42.465000000000003</v>
      </c>
      <c r="K280">
        <v>43.003999999999998</v>
      </c>
      <c r="L280">
        <v>45.838000000000001</v>
      </c>
      <c r="M280">
        <v>49.091000000000001</v>
      </c>
      <c r="N280">
        <v>49.78</v>
      </c>
      <c r="O280">
        <v>53.404000000000003</v>
      </c>
      <c r="P280">
        <v>55.625</v>
      </c>
      <c r="Q280">
        <v>60.08</v>
      </c>
      <c r="R280">
        <v>62.920999999999999</v>
      </c>
      <c r="S280">
        <v>61.048999999999999</v>
      </c>
      <c r="T280">
        <v>63.655000000000001</v>
      </c>
      <c r="U280">
        <v>67.475999999999999</v>
      </c>
      <c r="V280">
        <v>71.698999999999998</v>
      </c>
      <c r="W280">
        <v>76.531000000000006</v>
      </c>
      <c r="X280">
        <v>77.183000000000007</v>
      </c>
      <c r="Y280">
        <v>76.278999999999996</v>
      </c>
      <c r="Z280">
        <v>78.531999999999996</v>
      </c>
      <c r="AA280">
        <v>81.293000000000006</v>
      </c>
      <c r="AB280">
        <v>87.442999999999998</v>
      </c>
      <c r="AC280">
        <v>93.046999999999997</v>
      </c>
      <c r="AD280">
        <v>88.777000000000001</v>
      </c>
      <c r="AE280">
        <v>91.787999999999997</v>
      </c>
      <c r="AF280">
        <v>94.876999999999995</v>
      </c>
      <c r="AG280">
        <v>102.351</v>
      </c>
      <c r="AH280">
        <v>104.488</v>
      </c>
      <c r="AI280">
        <v>109.652</v>
      </c>
      <c r="AJ280">
        <v>113.733</v>
      </c>
      <c r="AK280">
        <v>117.105</v>
      </c>
      <c r="AL280">
        <v>118.693</v>
      </c>
      <c r="AM280">
        <v>120.34399999999999</v>
      </c>
      <c r="AN280">
        <v>125.43300000000001</v>
      </c>
      <c r="AO280">
        <v>132.55799999999999</v>
      </c>
      <c r="AP280">
        <v>137.18299999999999</v>
      </c>
      <c r="AQ280">
        <v>141.33500000000001</v>
      </c>
      <c r="AR280">
        <v>146.28100000000001</v>
      </c>
      <c r="AS280">
        <v>150.96199999999999</v>
      </c>
      <c r="AT280">
        <v>155.792</v>
      </c>
      <c r="AU280">
        <v>160.77799999999999</v>
      </c>
      <c r="AV280">
        <v>165.923</v>
      </c>
      <c r="AW280">
        <v>171.232</v>
      </c>
      <c r="AX280">
        <v>176.71100000000001</v>
      </c>
      <c r="AY280">
        <v>2013</v>
      </c>
    </row>
    <row r="281" spans="1:51" x14ac:dyDescent="0.25">
      <c r="A281">
        <v>819</v>
      </c>
      <c r="B281" t="s">
        <v>467</v>
      </c>
      <c r="C281" t="s">
        <v>298</v>
      </c>
      <c r="D281" t="s">
        <v>103</v>
      </c>
      <c r="E281" t="s">
        <v>299</v>
      </c>
      <c r="F281" t="s">
        <v>300</v>
      </c>
      <c r="G281" t="s">
        <v>282</v>
      </c>
      <c r="H281" t="s">
        <v>283</v>
      </c>
      <c r="I281" t="s">
        <v>469</v>
      </c>
      <c r="J281" t="s">
        <v>285</v>
      </c>
      <c r="K281" t="s">
        <v>285</v>
      </c>
      <c r="L281" t="s">
        <v>285</v>
      </c>
      <c r="M281" t="s">
        <v>285</v>
      </c>
      <c r="N281" t="s">
        <v>285</v>
      </c>
      <c r="O281" t="s">
        <v>285</v>
      </c>
      <c r="P281" t="s">
        <v>285</v>
      </c>
      <c r="Q281" t="s">
        <v>285</v>
      </c>
      <c r="R281" t="s">
        <v>285</v>
      </c>
      <c r="S281" t="s">
        <v>285</v>
      </c>
      <c r="T281" t="s">
        <v>285</v>
      </c>
      <c r="U281" t="s">
        <v>285</v>
      </c>
      <c r="V281">
        <v>0.66100000000000003</v>
      </c>
      <c r="W281">
        <v>0.73799999999999999</v>
      </c>
      <c r="X281">
        <v>0.73599999999999999</v>
      </c>
      <c r="Y281">
        <v>0.73</v>
      </c>
      <c r="Z281">
        <v>0.89</v>
      </c>
      <c r="AA281">
        <v>1.0029999999999999</v>
      </c>
      <c r="AB281">
        <v>1.0149999999999999</v>
      </c>
      <c r="AC281">
        <v>1.022</v>
      </c>
      <c r="AD281">
        <v>1.0249999999999999</v>
      </c>
      <c r="AE281">
        <v>1.1459999999999999</v>
      </c>
      <c r="AF281">
        <v>1.2609999999999999</v>
      </c>
      <c r="AG281">
        <v>1.3240000000000001</v>
      </c>
      <c r="AH281">
        <v>1.3220000000000001</v>
      </c>
      <c r="AI281">
        <v>1.3879999999999999</v>
      </c>
      <c r="AJ281">
        <v>1.5580000000000001</v>
      </c>
      <c r="AK281">
        <v>1.4970000000000001</v>
      </c>
      <c r="AL281">
        <v>1.427</v>
      </c>
      <c r="AM281">
        <v>1.645</v>
      </c>
      <c r="AN281">
        <v>1.669</v>
      </c>
      <c r="AO281">
        <v>1.897</v>
      </c>
      <c r="AP281">
        <v>2.056</v>
      </c>
      <c r="AQ281">
        <v>2.1349999999999998</v>
      </c>
      <c r="AR281">
        <v>2.734</v>
      </c>
      <c r="AS281">
        <v>3.125</v>
      </c>
      <c r="AT281">
        <v>3.2170000000000001</v>
      </c>
      <c r="AU281">
        <v>3.35</v>
      </c>
      <c r="AV281">
        <v>3.57</v>
      </c>
      <c r="AW281">
        <v>3.8109999999999999</v>
      </c>
      <c r="AX281">
        <v>4.0709999999999997</v>
      </c>
      <c r="AY281">
        <v>2013</v>
      </c>
    </row>
    <row r="282" spans="1:51" x14ac:dyDescent="0.25">
      <c r="A282">
        <v>172</v>
      </c>
      <c r="B282" t="s">
        <v>470</v>
      </c>
      <c r="C282" t="s">
        <v>279</v>
      </c>
      <c r="D282" t="s">
        <v>104</v>
      </c>
      <c r="E282" t="s">
        <v>280</v>
      </c>
      <c r="F282" t="s">
        <v>281</v>
      </c>
      <c r="G282" t="s">
        <v>282</v>
      </c>
      <c r="H282" t="s">
        <v>283</v>
      </c>
      <c r="I282" t="s">
        <v>471</v>
      </c>
      <c r="J282">
        <v>95.052999999999997</v>
      </c>
      <c r="K282">
        <v>96.26</v>
      </c>
      <c r="L282">
        <v>99.171999999999997</v>
      </c>
      <c r="M282">
        <v>102.096</v>
      </c>
      <c r="N282">
        <v>105.203</v>
      </c>
      <c r="O282">
        <v>108.654</v>
      </c>
      <c r="P282">
        <v>111.509</v>
      </c>
      <c r="Q282">
        <v>115.47499999999999</v>
      </c>
      <c r="R282">
        <v>121.366</v>
      </c>
      <c r="S282">
        <v>127.938</v>
      </c>
      <c r="T282">
        <v>126.184</v>
      </c>
      <c r="U282">
        <v>118.71899999999999</v>
      </c>
      <c r="V282">
        <v>114.77200000000001</v>
      </c>
      <c r="W282">
        <v>113.929</v>
      </c>
      <c r="X282">
        <v>118.41800000000001</v>
      </c>
      <c r="Y282">
        <v>123.399</v>
      </c>
      <c r="Z282">
        <v>127.913</v>
      </c>
      <c r="AA282">
        <v>135.911</v>
      </c>
      <c r="AB282">
        <v>143.28800000000001</v>
      </c>
      <c r="AC282">
        <v>149.65600000000001</v>
      </c>
      <c r="AD282">
        <v>158.089</v>
      </c>
      <c r="AE282">
        <v>162.16999999999999</v>
      </c>
      <c r="AF282">
        <v>164.89500000000001</v>
      </c>
      <c r="AG282">
        <v>168.18299999999999</v>
      </c>
      <c r="AH282">
        <v>174.786</v>
      </c>
      <c r="AI282">
        <v>179.64599999999999</v>
      </c>
      <c r="AJ282">
        <v>186.93</v>
      </c>
      <c r="AK282">
        <v>196.62299999999999</v>
      </c>
      <c r="AL282">
        <v>198.04</v>
      </c>
      <c r="AM282">
        <v>181.66399999999999</v>
      </c>
      <c r="AN282">
        <v>187.1</v>
      </c>
      <c r="AO282">
        <v>191.91</v>
      </c>
      <c r="AP282">
        <v>189.173</v>
      </c>
      <c r="AQ282">
        <v>187.05199999999999</v>
      </c>
      <c r="AR282">
        <v>186.29499999999999</v>
      </c>
      <c r="AS282">
        <v>187.03200000000001</v>
      </c>
      <c r="AT282">
        <v>188.64699999999999</v>
      </c>
      <c r="AU282">
        <v>190.864</v>
      </c>
      <c r="AV282">
        <v>193.273</v>
      </c>
      <c r="AW282">
        <v>196.05500000000001</v>
      </c>
      <c r="AX282">
        <v>199.14500000000001</v>
      </c>
      <c r="AY282">
        <v>2014</v>
      </c>
    </row>
    <row r="283" spans="1:51" x14ac:dyDescent="0.25">
      <c r="A283">
        <v>172</v>
      </c>
      <c r="B283" t="s">
        <v>470</v>
      </c>
      <c r="C283" t="s">
        <v>286</v>
      </c>
      <c r="D283" t="s">
        <v>104</v>
      </c>
      <c r="E283" t="s">
        <v>287</v>
      </c>
      <c r="F283" t="s">
        <v>288</v>
      </c>
      <c r="G283" t="s">
        <v>282</v>
      </c>
      <c r="H283" t="s">
        <v>283</v>
      </c>
      <c r="I283" t="s">
        <v>471</v>
      </c>
      <c r="J283">
        <v>33.256999999999998</v>
      </c>
      <c r="K283">
        <v>37.590000000000003</v>
      </c>
      <c r="L283">
        <v>42.3</v>
      </c>
      <c r="M283">
        <v>47.106999999999999</v>
      </c>
      <c r="N283">
        <v>52.680999999999997</v>
      </c>
      <c r="O283">
        <v>57.311</v>
      </c>
      <c r="P283">
        <v>61.66</v>
      </c>
      <c r="Q283">
        <v>66.570999999999998</v>
      </c>
      <c r="R283">
        <v>75.403000000000006</v>
      </c>
      <c r="S283">
        <v>84.290999999999997</v>
      </c>
      <c r="T283">
        <v>89.316000000000003</v>
      </c>
      <c r="U283">
        <v>85.216999999999999</v>
      </c>
      <c r="V283">
        <v>83.003</v>
      </c>
      <c r="W283">
        <v>83.914000000000001</v>
      </c>
      <c r="X283">
        <v>88.403999999999996</v>
      </c>
      <c r="Y283">
        <v>96.063999999999993</v>
      </c>
      <c r="Z283">
        <v>99.131</v>
      </c>
      <c r="AA283">
        <v>107.38</v>
      </c>
      <c r="AB283">
        <v>120.38200000000001</v>
      </c>
      <c r="AC283">
        <v>126.923</v>
      </c>
      <c r="AD283">
        <v>136.261</v>
      </c>
      <c r="AE283">
        <v>144.43700000000001</v>
      </c>
      <c r="AF283">
        <v>148.28899999999999</v>
      </c>
      <c r="AG283">
        <v>151.56899999999999</v>
      </c>
      <c r="AH283">
        <v>158.477</v>
      </c>
      <c r="AI283">
        <v>164.387</v>
      </c>
      <c r="AJ283">
        <v>172.614</v>
      </c>
      <c r="AK283">
        <v>186.584</v>
      </c>
      <c r="AL283">
        <v>193.71100000000001</v>
      </c>
      <c r="AM283">
        <v>181.029</v>
      </c>
      <c r="AN283">
        <v>187.1</v>
      </c>
      <c r="AO283">
        <v>196.869</v>
      </c>
      <c r="AP283">
        <v>199.79300000000001</v>
      </c>
      <c r="AQ283">
        <v>202.74299999999999</v>
      </c>
      <c r="AR283">
        <v>205.178</v>
      </c>
      <c r="AS283">
        <v>207.34299999999999</v>
      </c>
      <c r="AT283">
        <v>212.107</v>
      </c>
      <c r="AU283">
        <v>217.965</v>
      </c>
      <c r="AV283">
        <v>224.726</v>
      </c>
      <c r="AW283">
        <v>232.304</v>
      </c>
      <c r="AX283">
        <v>240.84399999999999</v>
      </c>
      <c r="AY283">
        <v>2014</v>
      </c>
    </row>
    <row r="284" spans="1:51" x14ac:dyDescent="0.25">
      <c r="A284">
        <v>172</v>
      </c>
      <c r="B284" t="s">
        <v>470</v>
      </c>
      <c r="C284" t="s">
        <v>289</v>
      </c>
      <c r="D284" t="s">
        <v>104</v>
      </c>
      <c r="E284" t="s">
        <v>287</v>
      </c>
      <c r="F284" t="s">
        <v>290</v>
      </c>
      <c r="G284" t="s">
        <v>291</v>
      </c>
      <c r="H284" t="s">
        <v>283</v>
      </c>
      <c r="I284" t="s">
        <v>292</v>
      </c>
      <c r="J284">
        <v>46.261000000000003</v>
      </c>
      <c r="K284">
        <v>42.011000000000003</v>
      </c>
      <c r="L284">
        <v>41.505000000000003</v>
      </c>
      <c r="M284">
        <v>41.984999999999999</v>
      </c>
      <c r="N284">
        <v>41.564999999999998</v>
      </c>
      <c r="O284">
        <v>43.682000000000002</v>
      </c>
      <c r="P284">
        <v>60.652999999999999</v>
      </c>
      <c r="Q284">
        <v>76.844999999999999</v>
      </c>
      <c r="R284">
        <v>89.268000000000001</v>
      </c>
      <c r="S284">
        <v>92.921999999999997</v>
      </c>
      <c r="T284">
        <v>113.699</v>
      </c>
      <c r="U284">
        <v>105.712</v>
      </c>
      <c r="V284">
        <v>107.654</v>
      </c>
      <c r="W284">
        <v>98.381</v>
      </c>
      <c r="X284">
        <v>105.066</v>
      </c>
      <c r="Y284">
        <v>125.679</v>
      </c>
      <c r="Z284">
        <v>125.845</v>
      </c>
      <c r="AA284">
        <v>121.801</v>
      </c>
      <c r="AB284">
        <v>134.88300000000001</v>
      </c>
      <c r="AC284">
        <v>135.40299999999999</v>
      </c>
      <c r="AD284">
        <v>125.908</v>
      </c>
      <c r="AE284">
        <v>129.36099999999999</v>
      </c>
      <c r="AF284">
        <v>140.047</v>
      </c>
      <c r="AG284">
        <v>171.398</v>
      </c>
      <c r="AH284">
        <v>197.035</v>
      </c>
      <c r="AI284">
        <v>204.786</v>
      </c>
      <c r="AJ284">
        <v>216.74199999999999</v>
      </c>
      <c r="AK284">
        <v>255.739</v>
      </c>
      <c r="AL284">
        <v>285.08699999999999</v>
      </c>
      <c r="AM284">
        <v>252.137</v>
      </c>
      <c r="AN284">
        <v>248.262</v>
      </c>
      <c r="AO284">
        <v>273.92500000000001</v>
      </c>
      <c r="AP284">
        <v>256.84899999999999</v>
      </c>
      <c r="AQ284">
        <v>269.274</v>
      </c>
      <c r="AR284">
        <v>272.649</v>
      </c>
      <c r="AS284">
        <v>230.685</v>
      </c>
      <c r="AT284">
        <v>237.11099999999999</v>
      </c>
      <c r="AU284">
        <v>246.36099999999999</v>
      </c>
      <c r="AV284">
        <v>256.596</v>
      </c>
      <c r="AW284">
        <v>267.33499999999998</v>
      </c>
      <c r="AX284">
        <v>281.26</v>
      </c>
      <c r="AY284">
        <v>2014</v>
      </c>
    </row>
    <row r="285" spans="1:51" x14ac:dyDescent="0.25">
      <c r="A285">
        <v>172</v>
      </c>
      <c r="B285" t="s">
        <v>470</v>
      </c>
      <c r="C285" t="s">
        <v>293</v>
      </c>
      <c r="D285" t="s">
        <v>104</v>
      </c>
      <c r="E285" t="s">
        <v>294</v>
      </c>
      <c r="F285" t="s">
        <v>295</v>
      </c>
      <c r="G285" t="s">
        <v>296</v>
      </c>
      <c r="I285" t="s">
        <v>297</v>
      </c>
      <c r="J285">
        <v>34.988</v>
      </c>
      <c r="K285">
        <v>39.049999999999997</v>
      </c>
      <c r="L285">
        <v>42.652999999999999</v>
      </c>
      <c r="M285">
        <v>46.14</v>
      </c>
      <c r="N285">
        <v>50.076000000000001</v>
      </c>
      <c r="O285">
        <v>52.746000000000002</v>
      </c>
      <c r="P285">
        <v>55.295999999999999</v>
      </c>
      <c r="Q285">
        <v>57.65</v>
      </c>
      <c r="R285">
        <v>62.128999999999998</v>
      </c>
      <c r="S285">
        <v>65.884</v>
      </c>
      <c r="T285">
        <v>70.781999999999996</v>
      </c>
      <c r="U285">
        <v>71.78</v>
      </c>
      <c r="V285">
        <v>72.319999999999993</v>
      </c>
      <c r="W285">
        <v>73.655000000000001</v>
      </c>
      <c r="X285">
        <v>74.653999999999996</v>
      </c>
      <c r="Y285">
        <v>77.847999999999999</v>
      </c>
      <c r="Z285">
        <v>77.498999999999995</v>
      </c>
      <c r="AA285">
        <v>79.007999999999996</v>
      </c>
      <c r="AB285">
        <v>84.013999999999996</v>
      </c>
      <c r="AC285">
        <v>84.81</v>
      </c>
      <c r="AD285">
        <v>86.192999999999998</v>
      </c>
      <c r="AE285">
        <v>89.064999999999998</v>
      </c>
      <c r="AF285">
        <v>89.929000000000002</v>
      </c>
      <c r="AG285">
        <v>90.120999999999995</v>
      </c>
      <c r="AH285">
        <v>90.668999999999997</v>
      </c>
      <c r="AI285">
        <v>91.506</v>
      </c>
      <c r="AJ285">
        <v>92.341999999999999</v>
      </c>
      <c r="AK285">
        <v>94.894000000000005</v>
      </c>
      <c r="AL285">
        <v>97.813999999999993</v>
      </c>
      <c r="AM285">
        <v>99.65</v>
      </c>
      <c r="AN285">
        <v>100</v>
      </c>
      <c r="AO285">
        <v>102.584</v>
      </c>
      <c r="AP285">
        <v>105.614</v>
      </c>
      <c r="AQ285">
        <v>108.389</v>
      </c>
      <c r="AR285">
        <v>110.136</v>
      </c>
      <c r="AS285">
        <v>110.86</v>
      </c>
      <c r="AT285">
        <v>112.43600000000001</v>
      </c>
      <c r="AU285">
        <v>114.199</v>
      </c>
      <c r="AV285">
        <v>116.274</v>
      </c>
      <c r="AW285">
        <v>118.489</v>
      </c>
      <c r="AX285">
        <v>120.93899999999999</v>
      </c>
      <c r="AY285">
        <v>2014</v>
      </c>
    </row>
    <row r="286" spans="1:51" x14ac:dyDescent="0.25">
      <c r="A286">
        <v>172</v>
      </c>
      <c r="B286" t="s">
        <v>470</v>
      </c>
      <c r="C286" t="s">
        <v>298</v>
      </c>
      <c r="D286" t="s">
        <v>104</v>
      </c>
      <c r="E286" t="s">
        <v>299</v>
      </c>
      <c r="F286" t="s">
        <v>300</v>
      </c>
      <c r="G286" t="s">
        <v>282</v>
      </c>
      <c r="H286" t="s">
        <v>283</v>
      </c>
      <c r="I286" t="s">
        <v>472</v>
      </c>
      <c r="J286">
        <v>14.773999999999999</v>
      </c>
      <c r="K286">
        <v>16.968</v>
      </c>
      <c r="L286">
        <v>19.885999999999999</v>
      </c>
      <c r="M286">
        <v>23.033000000000001</v>
      </c>
      <c r="N286">
        <v>25.420999999999999</v>
      </c>
      <c r="O286">
        <v>28.792000000000002</v>
      </c>
      <c r="P286">
        <v>31.393999999999998</v>
      </c>
      <c r="Q286">
        <v>34.536999999999999</v>
      </c>
      <c r="R286">
        <v>38.029000000000003</v>
      </c>
      <c r="S286">
        <v>40.216000000000001</v>
      </c>
      <c r="T286">
        <v>42.829000000000001</v>
      </c>
      <c r="U286">
        <v>48.465000000000003</v>
      </c>
      <c r="V286">
        <v>51.56</v>
      </c>
      <c r="W286">
        <v>54.499000000000002</v>
      </c>
      <c r="X286">
        <v>56.387999999999998</v>
      </c>
      <c r="Y286">
        <v>59.103999999999999</v>
      </c>
      <c r="Z286">
        <v>59.646000000000001</v>
      </c>
      <c r="AA286">
        <v>60.823999999999998</v>
      </c>
      <c r="AB286">
        <v>61.826000000000001</v>
      </c>
      <c r="AC286">
        <v>63.348999999999997</v>
      </c>
      <c r="AD286">
        <v>64.004000000000005</v>
      </c>
      <c r="AE286">
        <v>66.853999999999999</v>
      </c>
      <c r="AF286">
        <v>70.444000000000003</v>
      </c>
      <c r="AG286">
        <v>73.254999999999995</v>
      </c>
      <c r="AH286">
        <v>76.498000000000005</v>
      </c>
      <c r="AI286">
        <v>81.001999999999995</v>
      </c>
      <c r="AJ286">
        <v>83.442999999999998</v>
      </c>
      <c r="AK286">
        <v>87.316999999999993</v>
      </c>
      <c r="AL286">
        <v>93.489000000000004</v>
      </c>
      <c r="AM286">
        <v>99.17</v>
      </c>
      <c r="AN286">
        <v>102.474</v>
      </c>
      <c r="AO286">
        <v>107.03</v>
      </c>
      <c r="AP286">
        <v>112.173</v>
      </c>
      <c r="AQ286">
        <v>116.72</v>
      </c>
      <c r="AR286">
        <v>119.709</v>
      </c>
      <c r="AS286">
        <v>121.776</v>
      </c>
      <c r="AT286">
        <v>123.12</v>
      </c>
      <c r="AU286">
        <v>125.25</v>
      </c>
      <c r="AV286">
        <v>128.48099999999999</v>
      </c>
      <c r="AW286">
        <v>132.221</v>
      </c>
      <c r="AX286">
        <v>136.523</v>
      </c>
      <c r="AY286">
        <v>2014</v>
      </c>
    </row>
    <row r="287" spans="1:51" x14ac:dyDescent="0.25">
      <c r="A287">
        <v>132</v>
      </c>
      <c r="B287" t="s">
        <v>473</v>
      </c>
      <c r="C287" t="s">
        <v>279</v>
      </c>
      <c r="D287" t="s">
        <v>105</v>
      </c>
      <c r="E287" t="s">
        <v>280</v>
      </c>
      <c r="F287" t="s">
        <v>281</v>
      </c>
      <c r="G287" t="s">
        <v>282</v>
      </c>
      <c r="H287" t="s">
        <v>283</v>
      </c>
      <c r="I287" t="s">
        <v>474</v>
      </c>
      <c r="J287" s="21">
        <v>1126.6120000000001</v>
      </c>
      <c r="K287" s="21">
        <v>1138.7539999999999</v>
      </c>
      <c r="L287" s="21">
        <v>1167.32</v>
      </c>
      <c r="M287" s="21">
        <v>1181.9849999999999</v>
      </c>
      <c r="N287" s="21">
        <v>1200.0039999999999</v>
      </c>
      <c r="O287" s="21">
        <v>1219.4829999999999</v>
      </c>
      <c r="P287" s="21">
        <v>1248.1559999999999</v>
      </c>
      <c r="Q287" s="21">
        <v>1280.325</v>
      </c>
      <c r="R287" s="21">
        <v>1340.9349999999999</v>
      </c>
      <c r="S287" s="21">
        <v>1399.309</v>
      </c>
      <c r="T287" s="21">
        <v>1440.085</v>
      </c>
      <c r="U287" s="21">
        <v>1455.049</v>
      </c>
      <c r="V287" s="21">
        <v>1478.325</v>
      </c>
      <c r="W287" s="21">
        <v>1469.268</v>
      </c>
      <c r="X287" s="21">
        <v>1503.7280000000001</v>
      </c>
      <c r="Y287" s="21">
        <v>1535.0820000000001</v>
      </c>
      <c r="Z287" s="21">
        <v>1556.3889999999999</v>
      </c>
      <c r="AA287" s="21">
        <v>1592.7670000000001</v>
      </c>
      <c r="AB287" s="21">
        <v>1649.4090000000001</v>
      </c>
      <c r="AC287" s="21">
        <v>1705.606</v>
      </c>
      <c r="AD287" s="21">
        <v>1771.701</v>
      </c>
      <c r="AE287" s="21">
        <v>1806.328</v>
      </c>
      <c r="AF287" s="21">
        <v>1826.5309999999999</v>
      </c>
      <c r="AG287" s="21">
        <v>1841.5</v>
      </c>
      <c r="AH287" s="21">
        <v>1892.8119999999999</v>
      </c>
      <c r="AI287" s="21">
        <v>1923.2429999999999</v>
      </c>
      <c r="AJ287" s="21">
        <v>1968.9190000000001</v>
      </c>
      <c r="AK287" s="21">
        <v>2015.415</v>
      </c>
      <c r="AL287" s="21">
        <v>2019.3510000000001</v>
      </c>
      <c r="AM287" s="21">
        <v>1959.9549999999999</v>
      </c>
      <c r="AN287" s="21">
        <v>1998.481</v>
      </c>
      <c r="AO287" s="21">
        <v>2040.0340000000001</v>
      </c>
      <c r="AP287" s="21">
        <v>2043.761</v>
      </c>
      <c r="AQ287" s="21">
        <v>2057.1779999999999</v>
      </c>
      <c r="AR287" s="21">
        <v>2060.8719999999998</v>
      </c>
      <c r="AS287" s="21">
        <v>2084.7779999999998</v>
      </c>
      <c r="AT287" s="21">
        <v>2115.2159999999999</v>
      </c>
      <c r="AU287" s="21">
        <v>2150.0810000000001</v>
      </c>
      <c r="AV287" s="21">
        <v>2187.4360000000001</v>
      </c>
      <c r="AW287" s="21">
        <v>2228.0309999999999</v>
      </c>
      <c r="AX287" s="21">
        <v>2269.3719999999998</v>
      </c>
      <c r="AY287">
        <v>2014</v>
      </c>
    </row>
    <row r="288" spans="1:51" x14ac:dyDescent="0.25">
      <c r="A288">
        <v>132</v>
      </c>
      <c r="B288" t="s">
        <v>473</v>
      </c>
      <c r="C288" t="s">
        <v>286</v>
      </c>
      <c r="D288" t="s">
        <v>105</v>
      </c>
      <c r="E288" t="s">
        <v>287</v>
      </c>
      <c r="F288" t="s">
        <v>288</v>
      </c>
      <c r="G288" t="s">
        <v>282</v>
      </c>
      <c r="H288" t="s">
        <v>283</v>
      </c>
      <c r="I288" t="s">
        <v>474</v>
      </c>
      <c r="J288">
        <v>453.21100000000001</v>
      </c>
      <c r="K288">
        <v>511.673</v>
      </c>
      <c r="L288">
        <v>587.952</v>
      </c>
      <c r="M288">
        <v>652.81600000000003</v>
      </c>
      <c r="N288">
        <v>709.64800000000002</v>
      </c>
      <c r="O288">
        <v>760.50900000000001</v>
      </c>
      <c r="P288">
        <v>817.85400000000004</v>
      </c>
      <c r="Q288">
        <v>859.827</v>
      </c>
      <c r="R288">
        <v>929.44399999999996</v>
      </c>
      <c r="S288" s="21">
        <v>1001.897</v>
      </c>
      <c r="T288" s="21">
        <v>1058.627</v>
      </c>
      <c r="U288" s="21">
        <v>1097.1120000000001</v>
      </c>
      <c r="V288" s="21">
        <v>1136.8409999999999</v>
      </c>
      <c r="W288" s="21">
        <v>1148.404</v>
      </c>
      <c r="X288" s="21">
        <v>1186.345</v>
      </c>
      <c r="Y288" s="21">
        <v>1224.9670000000001</v>
      </c>
      <c r="Z288" s="21">
        <v>1258.95</v>
      </c>
      <c r="AA288" s="21">
        <v>1299.739</v>
      </c>
      <c r="AB288" s="21">
        <v>1358.7760000000001</v>
      </c>
      <c r="AC288" s="21">
        <v>1408.1590000000001</v>
      </c>
      <c r="AD288" s="21">
        <v>1485.3030000000001</v>
      </c>
      <c r="AE288" s="21">
        <v>1544.6289999999999</v>
      </c>
      <c r="AF288" s="21">
        <v>1594.259</v>
      </c>
      <c r="AG288" s="21">
        <v>1637.4380000000001</v>
      </c>
      <c r="AH288" s="21">
        <v>1710.76</v>
      </c>
      <c r="AI288" s="21">
        <v>1771.9780000000001</v>
      </c>
      <c r="AJ288" s="21">
        <v>1853.2670000000001</v>
      </c>
      <c r="AK288" s="21">
        <v>1945.67</v>
      </c>
      <c r="AL288" s="21">
        <v>1995.85</v>
      </c>
      <c r="AM288" s="21">
        <v>1939.0170000000001</v>
      </c>
      <c r="AN288" s="21">
        <v>1998.481</v>
      </c>
      <c r="AO288" s="21">
        <v>2059.2840000000001</v>
      </c>
      <c r="AP288" s="21">
        <v>2086.9290000000001</v>
      </c>
      <c r="AQ288" s="21">
        <v>2116.5650000000001</v>
      </c>
      <c r="AR288" s="21">
        <v>2132.4490000000001</v>
      </c>
      <c r="AS288" s="21">
        <v>2177.5050000000001</v>
      </c>
      <c r="AT288" s="21">
        <v>2225.9769999999999</v>
      </c>
      <c r="AU288" s="21">
        <v>2288.4340000000002</v>
      </c>
      <c r="AV288" s="21">
        <v>2356.3150000000001</v>
      </c>
      <c r="AW288" s="21">
        <v>2434.61</v>
      </c>
      <c r="AX288" s="21">
        <v>2517.6959999999999</v>
      </c>
      <c r="AY288">
        <v>2014</v>
      </c>
    </row>
    <row r="289" spans="1:51" x14ac:dyDescent="0.25">
      <c r="A289">
        <v>132</v>
      </c>
      <c r="B289" t="s">
        <v>473</v>
      </c>
      <c r="C289" t="s">
        <v>289</v>
      </c>
      <c r="D289" t="s">
        <v>105</v>
      </c>
      <c r="E289" t="s">
        <v>287</v>
      </c>
      <c r="F289" t="s">
        <v>290</v>
      </c>
      <c r="G289" t="s">
        <v>291</v>
      </c>
      <c r="H289" t="s">
        <v>283</v>
      </c>
      <c r="I289" t="s">
        <v>292</v>
      </c>
      <c r="J289">
        <v>704.51499999999999</v>
      </c>
      <c r="K289">
        <v>621.17200000000003</v>
      </c>
      <c r="L289">
        <v>590.12699999999995</v>
      </c>
      <c r="M289">
        <v>564.58199999999999</v>
      </c>
      <c r="N289">
        <v>534.33299999999997</v>
      </c>
      <c r="O289">
        <v>559.846</v>
      </c>
      <c r="P289">
        <v>776.12099999999998</v>
      </c>
      <c r="Q289">
        <v>939.45299999999997</v>
      </c>
      <c r="R289" s="21">
        <v>1025.6790000000001</v>
      </c>
      <c r="S289" s="21">
        <v>1031.3140000000001</v>
      </c>
      <c r="T289" s="21">
        <v>1278.6659999999999</v>
      </c>
      <c r="U289" s="21">
        <v>1280.3019999999999</v>
      </c>
      <c r="V289" s="21">
        <v>1412.1</v>
      </c>
      <c r="W289" s="21">
        <v>1331.6590000000001</v>
      </c>
      <c r="X289" s="21">
        <v>1404.479</v>
      </c>
      <c r="Y289" s="21">
        <v>1611.1980000000001</v>
      </c>
      <c r="Z289" s="21">
        <v>1614.7080000000001</v>
      </c>
      <c r="AA289" s="21">
        <v>1462.606</v>
      </c>
      <c r="AB289" s="21">
        <v>1512.9570000000001</v>
      </c>
      <c r="AC289" s="21">
        <v>1502.2449999999999</v>
      </c>
      <c r="AD289" s="21">
        <v>1372.452</v>
      </c>
      <c r="AE289" s="21">
        <v>1383.4059999999999</v>
      </c>
      <c r="AF289" s="21">
        <v>1505.6489999999999</v>
      </c>
      <c r="AG289" s="21">
        <v>1851.66</v>
      </c>
      <c r="AH289" s="21">
        <v>2126.9949999999999</v>
      </c>
      <c r="AI289" s="21">
        <v>2207.4499999999998</v>
      </c>
      <c r="AJ289" s="21">
        <v>2327.0520000000001</v>
      </c>
      <c r="AK289" s="21">
        <v>2666.8049999999998</v>
      </c>
      <c r="AL289" s="21">
        <v>2937.3209999999999</v>
      </c>
      <c r="AM289" s="21">
        <v>2700.6579999999999</v>
      </c>
      <c r="AN289" s="21">
        <v>2651.7719999999999</v>
      </c>
      <c r="AO289" s="21">
        <v>2865.3040000000001</v>
      </c>
      <c r="AP289" s="21">
        <v>2682.9009999999998</v>
      </c>
      <c r="AQ289" s="21">
        <v>2811.1280000000002</v>
      </c>
      <c r="AR289" s="21">
        <v>2833.6869999999999</v>
      </c>
      <c r="AS289" s="21">
        <v>2422.6489999999999</v>
      </c>
      <c r="AT289" s="21">
        <v>2488.3780000000002</v>
      </c>
      <c r="AU289" s="21">
        <v>2586.5680000000002</v>
      </c>
      <c r="AV289" s="21">
        <v>2690.4830000000002</v>
      </c>
      <c r="AW289" s="21">
        <v>2801.752</v>
      </c>
      <c r="AX289" s="21">
        <v>2940.194</v>
      </c>
      <c r="AY289">
        <v>2014</v>
      </c>
    </row>
    <row r="290" spans="1:51" x14ac:dyDescent="0.25">
      <c r="A290">
        <v>132</v>
      </c>
      <c r="B290" t="s">
        <v>473</v>
      </c>
      <c r="C290" t="s">
        <v>293</v>
      </c>
      <c r="D290" t="s">
        <v>105</v>
      </c>
      <c r="E290" t="s">
        <v>294</v>
      </c>
      <c r="F290" t="s">
        <v>295</v>
      </c>
      <c r="G290" t="s">
        <v>296</v>
      </c>
      <c r="I290" t="s">
        <v>297</v>
      </c>
      <c r="J290">
        <v>40.228000000000002</v>
      </c>
      <c r="K290">
        <v>44.933</v>
      </c>
      <c r="L290">
        <v>50.368000000000002</v>
      </c>
      <c r="M290">
        <v>55.23</v>
      </c>
      <c r="N290">
        <v>59.137</v>
      </c>
      <c r="O290">
        <v>62.363</v>
      </c>
      <c r="P290">
        <v>65.525000000000006</v>
      </c>
      <c r="Q290">
        <v>67.156999999999996</v>
      </c>
      <c r="R290">
        <v>69.313000000000002</v>
      </c>
      <c r="S290">
        <v>71.599000000000004</v>
      </c>
      <c r="T290">
        <v>73.510999999999996</v>
      </c>
      <c r="U290">
        <v>75.400000000000006</v>
      </c>
      <c r="V290">
        <v>76.900999999999996</v>
      </c>
      <c r="W290">
        <v>78.162000000000006</v>
      </c>
      <c r="X290">
        <v>78.894000000000005</v>
      </c>
      <c r="Y290">
        <v>79.798000000000002</v>
      </c>
      <c r="Z290">
        <v>80.888999999999996</v>
      </c>
      <c r="AA290">
        <v>81.602999999999994</v>
      </c>
      <c r="AB290">
        <v>82.38</v>
      </c>
      <c r="AC290">
        <v>82.561000000000007</v>
      </c>
      <c r="AD290">
        <v>83.834999999999994</v>
      </c>
      <c r="AE290">
        <v>85.512</v>
      </c>
      <c r="AF290">
        <v>87.283000000000001</v>
      </c>
      <c r="AG290">
        <v>88.918999999999997</v>
      </c>
      <c r="AH290">
        <v>90.382000000000005</v>
      </c>
      <c r="AI290">
        <v>92.135000000000005</v>
      </c>
      <c r="AJ290">
        <v>94.126000000000005</v>
      </c>
      <c r="AK290">
        <v>96.539000000000001</v>
      </c>
      <c r="AL290">
        <v>98.835999999999999</v>
      </c>
      <c r="AM290">
        <v>98.932000000000002</v>
      </c>
      <c r="AN290">
        <v>100</v>
      </c>
      <c r="AO290">
        <v>100.944</v>
      </c>
      <c r="AP290">
        <v>102.11199999999999</v>
      </c>
      <c r="AQ290">
        <v>102.887</v>
      </c>
      <c r="AR290">
        <v>103.473</v>
      </c>
      <c r="AS290">
        <v>104.44799999999999</v>
      </c>
      <c r="AT290">
        <v>105.236</v>
      </c>
      <c r="AU290">
        <v>106.435</v>
      </c>
      <c r="AV290">
        <v>107.72</v>
      </c>
      <c r="AW290">
        <v>109.27200000000001</v>
      </c>
      <c r="AX290">
        <v>110.94199999999999</v>
      </c>
      <c r="AY290">
        <v>2014</v>
      </c>
    </row>
    <row r="291" spans="1:51" x14ac:dyDescent="0.25">
      <c r="A291">
        <v>132</v>
      </c>
      <c r="B291" t="s">
        <v>473</v>
      </c>
      <c r="C291" t="s">
        <v>298</v>
      </c>
      <c r="D291" t="s">
        <v>105</v>
      </c>
      <c r="E291" t="s">
        <v>299</v>
      </c>
      <c r="F291" t="s">
        <v>300</v>
      </c>
      <c r="G291" t="s">
        <v>282</v>
      </c>
      <c r="H291" t="s">
        <v>283</v>
      </c>
      <c r="I291" t="s">
        <v>475</v>
      </c>
      <c r="J291">
        <v>208.946</v>
      </c>
      <c r="K291">
        <v>248.791</v>
      </c>
      <c r="L291">
        <v>293.34899999999999</v>
      </c>
      <c r="M291">
        <v>328.80099999999999</v>
      </c>
      <c r="N291">
        <v>363.88499999999999</v>
      </c>
      <c r="O291">
        <v>394.65199999999999</v>
      </c>
      <c r="P291">
        <v>420.858</v>
      </c>
      <c r="Q291">
        <v>437.197</v>
      </c>
      <c r="R291">
        <v>466.29399999999998</v>
      </c>
      <c r="S291">
        <v>490.80900000000003</v>
      </c>
      <c r="T291">
        <v>525.24300000000005</v>
      </c>
      <c r="U291">
        <v>556.63400000000001</v>
      </c>
      <c r="V291">
        <v>591.41600000000005</v>
      </c>
      <c r="W291">
        <v>627.18899999999996</v>
      </c>
      <c r="X291">
        <v>640.74599999999998</v>
      </c>
      <c r="Y291">
        <v>663.73800000000006</v>
      </c>
      <c r="Z291">
        <v>683.14700000000005</v>
      </c>
      <c r="AA291">
        <v>700.774</v>
      </c>
      <c r="AB291">
        <v>711.23699999999997</v>
      </c>
      <c r="AC291">
        <v>733.04200000000003</v>
      </c>
      <c r="AD291">
        <v>759.41200000000003</v>
      </c>
      <c r="AE291">
        <v>791.08</v>
      </c>
      <c r="AF291">
        <v>833.77200000000005</v>
      </c>
      <c r="AG291">
        <v>864.30899999999997</v>
      </c>
      <c r="AH291">
        <v>898.55700000000002</v>
      </c>
      <c r="AI291">
        <v>936.98900000000003</v>
      </c>
      <c r="AJ291">
        <v>972.83699999999999</v>
      </c>
      <c r="AK291" s="21">
        <v>1016.1660000000001</v>
      </c>
      <c r="AL291" s="21">
        <v>1057.6099999999999</v>
      </c>
      <c r="AM291" s="21">
        <v>1100.6089999999999</v>
      </c>
      <c r="AN291" s="21">
        <v>1128.0219999999999</v>
      </c>
      <c r="AO291" s="21">
        <v>1151.537</v>
      </c>
      <c r="AP291" s="21">
        <v>1186.02</v>
      </c>
      <c r="AQ291" s="21">
        <v>1207.1020000000001</v>
      </c>
      <c r="AR291" s="21">
        <v>1226.4059999999999</v>
      </c>
      <c r="AS291" s="21">
        <v>1241.4829999999999</v>
      </c>
      <c r="AT291" s="21">
        <v>1256.57</v>
      </c>
      <c r="AU291" s="21">
        <v>1275.694</v>
      </c>
      <c r="AV291" s="21">
        <v>1298.431</v>
      </c>
      <c r="AW291" s="21">
        <v>1323.8420000000001</v>
      </c>
      <c r="AX291" s="21">
        <v>1352.5630000000001</v>
      </c>
      <c r="AY291">
        <v>2014</v>
      </c>
    </row>
    <row r="292" spans="1:51" x14ac:dyDescent="0.25">
      <c r="A292">
        <v>646</v>
      </c>
      <c r="B292" t="s">
        <v>476</v>
      </c>
      <c r="C292" t="s">
        <v>279</v>
      </c>
      <c r="D292" t="s">
        <v>106</v>
      </c>
      <c r="E292" t="s">
        <v>280</v>
      </c>
      <c r="F292" t="s">
        <v>281</v>
      </c>
      <c r="G292" t="s">
        <v>282</v>
      </c>
      <c r="H292" t="s">
        <v>283</v>
      </c>
      <c r="I292" t="s">
        <v>477</v>
      </c>
      <c r="J292" s="21">
        <v>2595.2829999999999</v>
      </c>
      <c r="K292" s="21">
        <v>2491.4720000000002</v>
      </c>
      <c r="L292" s="21">
        <v>2593.6219999999998</v>
      </c>
      <c r="M292" s="21">
        <v>2645.4949999999999</v>
      </c>
      <c r="N292" s="21">
        <v>2775.1239999999998</v>
      </c>
      <c r="O292" s="21">
        <v>2936.0810000000001</v>
      </c>
      <c r="P292" s="21">
        <v>2874.424</v>
      </c>
      <c r="Q292" s="21">
        <v>2431.7620000000002</v>
      </c>
      <c r="R292" s="21">
        <v>2516.8739999999998</v>
      </c>
      <c r="S292" s="21">
        <v>2905.2420000000002</v>
      </c>
      <c r="T292" s="21">
        <v>3054.7620000000002</v>
      </c>
      <c r="U292" s="21">
        <v>3241.8220000000001</v>
      </c>
      <c r="V292" s="21">
        <v>3141.7539999999999</v>
      </c>
      <c r="W292" s="21">
        <v>3265.7449999999999</v>
      </c>
      <c r="X292" s="21">
        <v>3386.9940000000001</v>
      </c>
      <c r="Y292" s="21">
        <v>3555.4580000000001</v>
      </c>
      <c r="Z292" s="21">
        <v>3684.3449999999998</v>
      </c>
      <c r="AA292" s="21">
        <v>3895.7669999999998</v>
      </c>
      <c r="AB292" s="21">
        <v>4031.2550000000001</v>
      </c>
      <c r="AC292" s="21">
        <v>3670.7330000000002</v>
      </c>
      <c r="AD292" s="21">
        <v>3601.6060000000002</v>
      </c>
      <c r="AE292" s="21">
        <v>3679.0279999999998</v>
      </c>
      <c r="AF292" s="21">
        <v>3746.3409999999999</v>
      </c>
      <c r="AG292" s="21">
        <v>3810.0630000000001</v>
      </c>
      <c r="AH292" s="21">
        <v>3852.7280000000001</v>
      </c>
      <c r="AI292" s="21">
        <v>3822.4290000000001</v>
      </c>
      <c r="AJ292" s="21">
        <v>3749.4929999999999</v>
      </c>
      <c r="AK292" s="21">
        <v>3986.9409999999998</v>
      </c>
      <c r="AL292" s="21">
        <v>4056.0149999999999</v>
      </c>
      <c r="AM292" s="21">
        <v>3963.5720000000001</v>
      </c>
      <c r="AN292" s="21">
        <v>4212.1049999999996</v>
      </c>
      <c r="AO292" s="21">
        <v>4510.817</v>
      </c>
      <c r="AP292" s="21">
        <v>4747.683</v>
      </c>
      <c r="AQ292" s="21">
        <v>5015.3770000000004</v>
      </c>
      <c r="AR292" s="21">
        <v>5231.7839999999997</v>
      </c>
      <c r="AS292" s="21">
        <v>5416.616</v>
      </c>
      <c r="AT292" s="21">
        <v>5684.0330000000004</v>
      </c>
      <c r="AU292" s="21">
        <v>5974.1350000000002</v>
      </c>
      <c r="AV292" s="21">
        <v>6288.7870000000003</v>
      </c>
      <c r="AW292" s="21">
        <v>6622.2849999999999</v>
      </c>
      <c r="AX292" s="21">
        <v>6984.9549999999999</v>
      </c>
      <c r="AY292">
        <v>2013</v>
      </c>
    </row>
    <row r="293" spans="1:51" x14ac:dyDescent="0.25">
      <c r="A293">
        <v>646</v>
      </c>
      <c r="B293" t="s">
        <v>476</v>
      </c>
      <c r="C293" t="s">
        <v>286</v>
      </c>
      <c r="D293" t="s">
        <v>106</v>
      </c>
      <c r="E293" t="s">
        <v>287</v>
      </c>
      <c r="F293" t="s">
        <v>288</v>
      </c>
      <c r="G293" t="s">
        <v>282</v>
      </c>
      <c r="H293" t="s">
        <v>283</v>
      </c>
      <c r="I293" t="s">
        <v>477</v>
      </c>
      <c r="J293">
        <v>963.20500000000004</v>
      </c>
      <c r="K293" s="21">
        <v>1117.0840000000001</v>
      </c>
      <c r="L293" s="21">
        <v>1266.0640000000001</v>
      </c>
      <c r="M293" s="21">
        <v>1405.672</v>
      </c>
      <c r="N293" s="21">
        <v>1550.0730000000001</v>
      </c>
      <c r="O293" s="21">
        <v>1678.288</v>
      </c>
      <c r="P293" s="21">
        <v>1693.1959999999999</v>
      </c>
      <c r="Q293" s="21">
        <v>1111.759</v>
      </c>
      <c r="R293" s="21">
        <v>1214.9480000000001</v>
      </c>
      <c r="S293" s="21">
        <v>1422.221</v>
      </c>
      <c r="T293" s="21">
        <v>1725.761</v>
      </c>
      <c r="U293" s="21">
        <v>1623.127</v>
      </c>
      <c r="V293" s="21">
        <v>1576.3340000000001</v>
      </c>
      <c r="W293" s="21">
        <v>1630.1969999999999</v>
      </c>
      <c r="X293" s="21">
        <v>2477.828</v>
      </c>
      <c r="Y293" s="21">
        <v>2635.8490000000002</v>
      </c>
      <c r="Z293" s="21">
        <v>3101.85</v>
      </c>
      <c r="AA293" s="21">
        <v>3310.8910000000001</v>
      </c>
      <c r="AB293" s="21">
        <v>2816.6689999999999</v>
      </c>
      <c r="AC293" s="21">
        <v>3057.337</v>
      </c>
      <c r="AD293" s="21">
        <v>3842.2779999999998</v>
      </c>
      <c r="AE293" s="21">
        <v>3679.0279999999998</v>
      </c>
      <c r="AF293" s="21">
        <v>3701.2730000000001</v>
      </c>
      <c r="AG293" s="21">
        <v>3776.2359999999999</v>
      </c>
      <c r="AH293" s="21">
        <v>4097.5320000000002</v>
      </c>
      <c r="AI293" s="21">
        <v>4989.26</v>
      </c>
      <c r="AJ293" s="21">
        <v>5309.4480000000003</v>
      </c>
      <c r="AK293" s="21">
        <v>5961.5789999999997</v>
      </c>
      <c r="AL293" s="21">
        <v>6944.8220000000001</v>
      </c>
      <c r="AM293" s="21">
        <v>5738.1189999999997</v>
      </c>
      <c r="AN293" s="21">
        <v>7111.4769999999999</v>
      </c>
      <c r="AO293" s="21">
        <v>8581.5830000000005</v>
      </c>
      <c r="AP293" s="21">
        <v>8766.4889999999996</v>
      </c>
      <c r="AQ293" s="21">
        <v>8690.5169999999998</v>
      </c>
      <c r="AR293" s="21">
        <v>8988.3250000000007</v>
      </c>
      <c r="AS293" s="21">
        <v>8136.4359999999997</v>
      </c>
      <c r="AT293" s="21">
        <v>8355.9030000000002</v>
      </c>
      <c r="AU293" s="21">
        <v>8982.94</v>
      </c>
      <c r="AV293" s="21">
        <v>9563.7909999999993</v>
      </c>
      <c r="AW293" s="21">
        <v>10130.883</v>
      </c>
      <c r="AX293" s="21">
        <v>10772.4</v>
      </c>
      <c r="AY293">
        <v>2013</v>
      </c>
    </row>
    <row r="294" spans="1:51" x14ac:dyDescent="0.25">
      <c r="A294">
        <v>646</v>
      </c>
      <c r="B294" t="s">
        <v>476</v>
      </c>
      <c r="C294" t="s">
        <v>289</v>
      </c>
      <c r="D294" t="s">
        <v>106</v>
      </c>
      <c r="E294" t="s">
        <v>287</v>
      </c>
      <c r="F294" t="s">
        <v>290</v>
      </c>
      <c r="G294" t="s">
        <v>291</v>
      </c>
      <c r="H294" t="s">
        <v>283</v>
      </c>
      <c r="I294" t="s">
        <v>292</v>
      </c>
      <c r="J294">
        <v>4.5590000000000002</v>
      </c>
      <c r="K294">
        <v>4.1109999999999998</v>
      </c>
      <c r="L294">
        <v>3.8530000000000002</v>
      </c>
      <c r="M294">
        <v>3.6890000000000001</v>
      </c>
      <c r="N294">
        <v>3.5470000000000002</v>
      </c>
      <c r="O294">
        <v>3.7360000000000002</v>
      </c>
      <c r="P294">
        <v>4.8890000000000002</v>
      </c>
      <c r="Q294">
        <v>3.6989999999999998</v>
      </c>
      <c r="R294">
        <v>4.0789999999999997</v>
      </c>
      <c r="S294">
        <v>4.4580000000000002</v>
      </c>
      <c r="T294">
        <v>6.3390000000000004</v>
      </c>
      <c r="U294">
        <v>5.7539999999999996</v>
      </c>
      <c r="V294">
        <v>5.9550000000000001</v>
      </c>
      <c r="W294">
        <v>5.7569999999999997</v>
      </c>
      <c r="X294">
        <v>4.4630000000000001</v>
      </c>
      <c r="Y294">
        <v>5.2809999999999997</v>
      </c>
      <c r="Z294">
        <v>6.0640000000000001</v>
      </c>
      <c r="AA294">
        <v>5.673</v>
      </c>
      <c r="AB294">
        <v>4.774</v>
      </c>
      <c r="AC294">
        <v>4.9660000000000002</v>
      </c>
      <c r="AD294">
        <v>5.3970000000000002</v>
      </c>
      <c r="AE294">
        <v>5.0190000000000001</v>
      </c>
      <c r="AF294">
        <v>5.31</v>
      </c>
      <c r="AG294">
        <v>6.4969999999999999</v>
      </c>
      <c r="AH294">
        <v>7.7560000000000002</v>
      </c>
      <c r="AI294">
        <v>9.4589999999999996</v>
      </c>
      <c r="AJ294">
        <v>10.154</v>
      </c>
      <c r="AK294">
        <v>12.439</v>
      </c>
      <c r="AL294">
        <v>15.509</v>
      </c>
      <c r="AM294">
        <v>12.151999999999999</v>
      </c>
      <c r="AN294">
        <v>14.359</v>
      </c>
      <c r="AO294">
        <v>18.202999999999999</v>
      </c>
      <c r="AP294">
        <v>17.181000000000001</v>
      </c>
      <c r="AQ294">
        <v>17.596</v>
      </c>
      <c r="AR294">
        <v>18.209</v>
      </c>
      <c r="AS294">
        <v>13.8</v>
      </c>
      <c r="AT294">
        <v>14.24</v>
      </c>
      <c r="AU294">
        <v>15.478</v>
      </c>
      <c r="AV294">
        <v>16.648</v>
      </c>
      <c r="AW294">
        <v>17.773</v>
      </c>
      <c r="AX294">
        <v>18.899000000000001</v>
      </c>
      <c r="AY294">
        <v>2013</v>
      </c>
    </row>
    <row r="295" spans="1:51" x14ac:dyDescent="0.25">
      <c r="A295">
        <v>646</v>
      </c>
      <c r="B295" t="s">
        <v>476</v>
      </c>
      <c r="C295" t="s">
        <v>293</v>
      </c>
      <c r="D295" t="s">
        <v>106</v>
      </c>
      <c r="E295" t="s">
        <v>294</v>
      </c>
      <c r="F295" t="s">
        <v>295</v>
      </c>
      <c r="G295" t="s">
        <v>296</v>
      </c>
      <c r="I295" t="s">
        <v>297</v>
      </c>
      <c r="J295">
        <v>37.113999999999997</v>
      </c>
      <c r="K295">
        <v>44.835999999999999</v>
      </c>
      <c r="L295">
        <v>48.814</v>
      </c>
      <c r="M295">
        <v>53.134999999999998</v>
      </c>
      <c r="N295">
        <v>55.856000000000002</v>
      </c>
      <c r="O295">
        <v>57.161000000000001</v>
      </c>
      <c r="P295">
        <v>58.905999999999999</v>
      </c>
      <c r="Q295">
        <v>45.718000000000004</v>
      </c>
      <c r="R295">
        <v>48.271999999999998</v>
      </c>
      <c r="S295">
        <v>48.954000000000001</v>
      </c>
      <c r="T295">
        <v>56.494</v>
      </c>
      <c r="U295">
        <v>50.067999999999998</v>
      </c>
      <c r="V295">
        <v>50.173999999999999</v>
      </c>
      <c r="W295">
        <v>49.917999999999999</v>
      </c>
      <c r="X295">
        <v>73.156999999999996</v>
      </c>
      <c r="Y295">
        <v>74.135000000000005</v>
      </c>
      <c r="Z295">
        <v>84.19</v>
      </c>
      <c r="AA295">
        <v>84.986999999999995</v>
      </c>
      <c r="AB295">
        <v>69.870999999999995</v>
      </c>
      <c r="AC295">
        <v>83.29</v>
      </c>
      <c r="AD295">
        <v>106.682</v>
      </c>
      <c r="AE295">
        <v>100</v>
      </c>
      <c r="AF295">
        <v>98.796999999999997</v>
      </c>
      <c r="AG295">
        <v>99.111999999999995</v>
      </c>
      <c r="AH295">
        <v>106.354</v>
      </c>
      <c r="AI295">
        <v>130.52600000000001</v>
      </c>
      <c r="AJ295">
        <v>141.60400000000001</v>
      </c>
      <c r="AK295">
        <v>149.52799999999999</v>
      </c>
      <c r="AL295">
        <v>171.22300000000001</v>
      </c>
      <c r="AM295">
        <v>144.77099999999999</v>
      </c>
      <c r="AN295">
        <v>168.834</v>
      </c>
      <c r="AO295">
        <v>190.245</v>
      </c>
      <c r="AP295">
        <v>184.648</v>
      </c>
      <c r="AQ295">
        <v>173.27699999999999</v>
      </c>
      <c r="AR295">
        <v>171.80199999999999</v>
      </c>
      <c r="AS295">
        <v>150.21299999999999</v>
      </c>
      <c r="AT295">
        <v>147.00700000000001</v>
      </c>
      <c r="AU295">
        <v>150.364</v>
      </c>
      <c r="AV295">
        <v>152.077</v>
      </c>
      <c r="AW295">
        <v>152.982</v>
      </c>
      <c r="AX295">
        <v>154.22300000000001</v>
      </c>
      <c r="AY295">
        <v>2013</v>
      </c>
    </row>
    <row r="296" spans="1:51" x14ac:dyDescent="0.25">
      <c r="A296">
        <v>646</v>
      </c>
      <c r="B296" t="s">
        <v>476</v>
      </c>
      <c r="C296" t="s">
        <v>298</v>
      </c>
      <c r="D296" t="s">
        <v>106</v>
      </c>
      <c r="E296" t="s">
        <v>299</v>
      </c>
      <c r="F296" t="s">
        <v>300</v>
      </c>
      <c r="G296" t="s">
        <v>282</v>
      </c>
      <c r="H296" t="s">
        <v>283</v>
      </c>
      <c r="I296" t="s">
        <v>478</v>
      </c>
      <c r="J296" t="s">
        <v>285</v>
      </c>
      <c r="K296" t="s">
        <v>285</v>
      </c>
      <c r="L296" t="s">
        <v>285</v>
      </c>
      <c r="M296" t="s">
        <v>285</v>
      </c>
      <c r="N296" t="s">
        <v>285</v>
      </c>
      <c r="O296" t="s">
        <v>285</v>
      </c>
      <c r="P296" t="s">
        <v>285</v>
      </c>
      <c r="Q296" t="s">
        <v>285</v>
      </c>
      <c r="R296" t="s">
        <v>285</v>
      </c>
      <c r="S296" t="s">
        <v>285</v>
      </c>
      <c r="T296">
        <v>389.89600000000002</v>
      </c>
      <c r="U296">
        <v>407.14</v>
      </c>
      <c r="V296">
        <v>418.31900000000002</v>
      </c>
      <c r="W296">
        <v>438.18700000000001</v>
      </c>
      <c r="X296">
        <v>592.42399999999998</v>
      </c>
      <c r="Y296">
        <v>660.90599999999995</v>
      </c>
      <c r="Z296">
        <v>689.47900000000004</v>
      </c>
      <c r="AA296">
        <v>983.22900000000004</v>
      </c>
      <c r="AB296" s="21">
        <v>1281.5039999999999</v>
      </c>
      <c r="AC296">
        <v>779.52700000000004</v>
      </c>
      <c r="AD296">
        <v>779.87800000000004</v>
      </c>
      <c r="AE296" s="21">
        <v>1023.987</v>
      </c>
      <c r="AF296">
        <v>952.05399999999997</v>
      </c>
      <c r="AG296">
        <v>802.44</v>
      </c>
      <c r="AH296">
        <v>855.32</v>
      </c>
      <c r="AI296" s="21">
        <v>1036.152</v>
      </c>
      <c r="AJ296" s="21">
        <v>1122.143</v>
      </c>
      <c r="AK296" s="21">
        <v>1155.8530000000001</v>
      </c>
      <c r="AL296" s="21">
        <v>1314.5920000000001</v>
      </c>
      <c r="AM296" s="21">
        <v>1296.7159999999999</v>
      </c>
      <c r="AN296" s="21">
        <v>1642.0909999999999</v>
      </c>
      <c r="AO296" s="21">
        <v>2275.2179999999998</v>
      </c>
      <c r="AP296" s="21">
        <v>2497.8240000000001</v>
      </c>
      <c r="AQ296" s="21">
        <v>2468.0309999999999</v>
      </c>
      <c r="AR296" s="21">
        <v>2108.2620000000002</v>
      </c>
      <c r="AS296" s="21">
        <v>2043.2619999999999</v>
      </c>
      <c r="AT296" s="21">
        <v>2162.279</v>
      </c>
      <c r="AU296" s="21">
        <v>2265.9169999999999</v>
      </c>
      <c r="AV296" s="21">
        <v>2370.8220000000001</v>
      </c>
      <c r="AW296" s="21">
        <v>2503.4920000000002</v>
      </c>
      <c r="AX296" s="21">
        <v>2693.4679999999998</v>
      </c>
      <c r="AY296">
        <v>2014</v>
      </c>
    </row>
    <row r="297" spans="1:51" x14ac:dyDescent="0.25">
      <c r="A297">
        <v>648</v>
      </c>
      <c r="B297" t="s">
        <v>479</v>
      </c>
      <c r="C297" t="s">
        <v>279</v>
      </c>
      <c r="D297" t="s">
        <v>107</v>
      </c>
      <c r="E297" t="s">
        <v>280</v>
      </c>
      <c r="F297" t="s">
        <v>281</v>
      </c>
      <c r="G297" t="s">
        <v>282</v>
      </c>
      <c r="H297" t="s">
        <v>283</v>
      </c>
      <c r="I297" t="s">
        <v>480</v>
      </c>
      <c r="J297">
        <v>7.8789999999999996</v>
      </c>
      <c r="K297">
        <v>7.1289999999999996</v>
      </c>
      <c r="L297">
        <v>8.609</v>
      </c>
      <c r="M297">
        <v>9.7720000000000002</v>
      </c>
      <c r="N297">
        <v>9.0280000000000005</v>
      </c>
      <c r="O297">
        <v>9.3569999999999993</v>
      </c>
      <c r="P297">
        <v>9.5779999999999994</v>
      </c>
      <c r="Q297">
        <v>9.8469999999999995</v>
      </c>
      <c r="R297">
        <v>10.013999999999999</v>
      </c>
      <c r="S297">
        <v>10.448</v>
      </c>
      <c r="T297">
        <v>11.042999999999999</v>
      </c>
      <c r="U297">
        <v>11.282</v>
      </c>
      <c r="V297">
        <v>11.481</v>
      </c>
      <c r="W297">
        <v>11.920999999999999</v>
      </c>
      <c r="X297">
        <v>11.516</v>
      </c>
      <c r="Y297">
        <v>11.898</v>
      </c>
      <c r="Z297">
        <v>12.244</v>
      </c>
      <c r="AA297">
        <v>12.417</v>
      </c>
      <c r="AB297">
        <v>13.225</v>
      </c>
      <c r="AC297">
        <v>14.071</v>
      </c>
      <c r="AD297">
        <v>14.848000000000001</v>
      </c>
      <c r="AE297">
        <v>15.702</v>
      </c>
      <c r="AF297">
        <v>15.193</v>
      </c>
      <c r="AG297">
        <v>16.236999999999998</v>
      </c>
      <c r="AH297">
        <v>17.381</v>
      </c>
      <c r="AI297">
        <v>17.216999999999999</v>
      </c>
      <c r="AJ297">
        <v>17.411000000000001</v>
      </c>
      <c r="AK297">
        <v>18.042999999999999</v>
      </c>
      <c r="AL297">
        <v>19.077999999999999</v>
      </c>
      <c r="AM297">
        <v>20.308</v>
      </c>
      <c r="AN297">
        <v>21.634</v>
      </c>
      <c r="AO297">
        <v>20.704000000000001</v>
      </c>
      <c r="AP297">
        <v>21.864000000000001</v>
      </c>
      <c r="AQ297">
        <v>22.911000000000001</v>
      </c>
      <c r="AR297">
        <v>22.861000000000001</v>
      </c>
      <c r="AS297">
        <v>23.93</v>
      </c>
      <c r="AT297">
        <v>25.248999999999999</v>
      </c>
      <c r="AU297">
        <v>27.027999999999999</v>
      </c>
      <c r="AV297">
        <v>28.617999999999999</v>
      </c>
      <c r="AW297">
        <v>30.300999999999998</v>
      </c>
      <c r="AX297">
        <v>32.084000000000003</v>
      </c>
      <c r="AY297">
        <v>2012</v>
      </c>
    </row>
    <row r="298" spans="1:51" x14ac:dyDescent="0.25">
      <c r="A298">
        <v>648</v>
      </c>
      <c r="B298" t="s">
        <v>479</v>
      </c>
      <c r="C298" t="s">
        <v>286</v>
      </c>
      <c r="D298" t="s">
        <v>107</v>
      </c>
      <c r="E298" t="s">
        <v>287</v>
      </c>
      <c r="F298" t="s">
        <v>288</v>
      </c>
      <c r="G298" t="s">
        <v>282</v>
      </c>
      <c r="H298" t="s">
        <v>283</v>
      </c>
      <c r="I298" t="s">
        <v>480</v>
      </c>
      <c r="J298">
        <v>0.627</v>
      </c>
      <c r="K298">
        <v>0.68700000000000006</v>
      </c>
      <c r="L298">
        <v>0.753</v>
      </c>
      <c r="M298">
        <v>0.874</v>
      </c>
      <c r="N298">
        <v>0.89200000000000002</v>
      </c>
      <c r="O298">
        <v>1.129</v>
      </c>
      <c r="P298">
        <v>1.5660000000000001</v>
      </c>
      <c r="Q298">
        <v>2.145</v>
      </c>
      <c r="R298">
        <v>2.3610000000000002</v>
      </c>
      <c r="S298">
        <v>2.8029999999999999</v>
      </c>
      <c r="T298">
        <v>3.4159999999999999</v>
      </c>
      <c r="U298">
        <v>3.9950000000000001</v>
      </c>
      <c r="V298">
        <v>4.3890000000000002</v>
      </c>
      <c r="W298">
        <v>4.8170000000000002</v>
      </c>
      <c r="X298">
        <v>5.0140000000000002</v>
      </c>
      <c r="Y298">
        <v>5.2210000000000001</v>
      </c>
      <c r="Z298">
        <v>5.5940000000000003</v>
      </c>
      <c r="AA298">
        <v>6.0330000000000004</v>
      </c>
      <c r="AB298">
        <v>6.4649999999999999</v>
      </c>
      <c r="AC298">
        <v>7.1040000000000001</v>
      </c>
      <c r="AD298">
        <v>7.7679999999999998</v>
      </c>
      <c r="AE298">
        <v>9.4619999999999997</v>
      </c>
      <c r="AF298">
        <v>10.629</v>
      </c>
      <c r="AG298">
        <v>14.47</v>
      </c>
      <c r="AH298">
        <v>17.381</v>
      </c>
      <c r="AI298">
        <v>17.835999999999999</v>
      </c>
      <c r="AJ298">
        <v>18.385000000000002</v>
      </c>
      <c r="AK298">
        <v>19.870999999999999</v>
      </c>
      <c r="AL298">
        <v>21.433</v>
      </c>
      <c r="AM298">
        <v>23.997</v>
      </c>
      <c r="AN298">
        <v>26.661999999999999</v>
      </c>
      <c r="AO298">
        <v>26.465</v>
      </c>
      <c r="AP298">
        <v>29.190999999999999</v>
      </c>
      <c r="AQ298">
        <v>32.32</v>
      </c>
      <c r="AR298">
        <v>34.380000000000003</v>
      </c>
      <c r="AS298">
        <v>38.203000000000003</v>
      </c>
      <c r="AT298">
        <v>42.372</v>
      </c>
      <c r="AU298">
        <v>47.459000000000003</v>
      </c>
      <c r="AV298">
        <v>52.658999999999999</v>
      </c>
      <c r="AW298">
        <v>58.429000000000002</v>
      </c>
      <c r="AX298">
        <v>64.831000000000003</v>
      </c>
      <c r="AY298">
        <v>2012</v>
      </c>
    </row>
    <row r="299" spans="1:51" x14ac:dyDescent="0.25">
      <c r="A299">
        <v>648</v>
      </c>
      <c r="B299" t="s">
        <v>479</v>
      </c>
      <c r="C299" t="s">
        <v>289</v>
      </c>
      <c r="D299" t="s">
        <v>107</v>
      </c>
      <c r="E299" t="s">
        <v>287</v>
      </c>
      <c r="F299" t="s">
        <v>290</v>
      </c>
      <c r="G299" t="s">
        <v>291</v>
      </c>
      <c r="H299" t="s">
        <v>283</v>
      </c>
      <c r="I299" t="s">
        <v>292</v>
      </c>
      <c r="J299">
        <v>0.36399999999999999</v>
      </c>
      <c r="K299">
        <v>0.34899999999999998</v>
      </c>
      <c r="L299">
        <v>0.33</v>
      </c>
      <c r="M299">
        <v>0.33200000000000002</v>
      </c>
      <c r="N299">
        <v>0.23799999999999999</v>
      </c>
      <c r="O299">
        <v>0.28999999999999998</v>
      </c>
      <c r="P299">
        <v>0.22600000000000001</v>
      </c>
      <c r="Q299">
        <v>0.30299999999999999</v>
      </c>
      <c r="R299">
        <v>0.35199999999999998</v>
      </c>
      <c r="S299">
        <v>0.37</v>
      </c>
      <c r="T299">
        <v>0.434</v>
      </c>
      <c r="U299">
        <v>0.45700000000000002</v>
      </c>
      <c r="V299">
        <v>0.49299999999999999</v>
      </c>
      <c r="W299">
        <v>0.52800000000000002</v>
      </c>
      <c r="X299">
        <v>0.52300000000000002</v>
      </c>
      <c r="Y299">
        <v>0.54700000000000004</v>
      </c>
      <c r="Z299">
        <v>0.57099999999999995</v>
      </c>
      <c r="AA299">
        <v>0.59099999999999997</v>
      </c>
      <c r="AB299">
        <v>0.60699999999999998</v>
      </c>
      <c r="AC299">
        <v>0.623</v>
      </c>
      <c r="AD299">
        <v>0.60799999999999998</v>
      </c>
      <c r="AE299">
        <v>0.60299999999999998</v>
      </c>
      <c r="AF299">
        <v>0.53400000000000003</v>
      </c>
      <c r="AG299">
        <v>0.50700000000000001</v>
      </c>
      <c r="AH299">
        <v>0.57899999999999996</v>
      </c>
      <c r="AI299">
        <v>0.624</v>
      </c>
      <c r="AJ299">
        <v>0.65500000000000003</v>
      </c>
      <c r="AK299">
        <v>0.79900000000000004</v>
      </c>
      <c r="AL299">
        <v>0.96599999999999997</v>
      </c>
      <c r="AM299">
        <v>0.90100000000000002</v>
      </c>
      <c r="AN299">
        <v>0.95199999999999996</v>
      </c>
      <c r="AO299">
        <v>0.89800000000000002</v>
      </c>
      <c r="AP299">
        <v>0.91</v>
      </c>
      <c r="AQ299">
        <v>0.89900000000000002</v>
      </c>
      <c r="AR299">
        <v>0.82399999999999995</v>
      </c>
      <c r="AS299">
        <v>0.76100000000000001</v>
      </c>
      <c r="AT299">
        <v>0.75700000000000001</v>
      </c>
      <c r="AU299">
        <v>0.82099999999999995</v>
      </c>
      <c r="AV299">
        <v>0.88400000000000001</v>
      </c>
      <c r="AW299">
        <v>0.95499999999999996</v>
      </c>
      <c r="AX299">
        <v>1.0309999999999999</v>
      </c>
      <c r="AY299">
        <v>2012</v>
      </c>
    </row>
    <row r="300" spans="1:51" x14ac:dyDescent="0.25">
      <c r="A300">
        <v>648</v>
      </c>
      <c r="B300" t="s">
        <v>479</v>
      </c>
      <c r="C300" t="s">
        <v>293</v>
      </c>
      <c r="D300" t="s">
        <v>107</v>
      </c>
      <c r="E300" t="s">
        <v>294</v>
      </c>
      <c r="F300" t="s">
        <v>295</v>
      </c>
      <c r="G300" t="s">
        <v>296</v>
      </c>
      <c r="I300" t="s">
        <v>297</v>
      </c>
      <c r="J300">
        <v>7.9610000000000003</v>
      </c>
      <c r="K300">
        <v>9.6430000000000007</v>
      </c>
      <c r="L300">
        <v>8.7520000000000007</v>
      </c>
      <c r="M300">
        <v>8.9469999999999992</v>
      </c>
      <c r="N300">
        <v>9.8770000000000007</v>
      </c>
      <c r="O300">
        <v>12.061</v>
      </c>
      <c r="P300">
        <v>16.353000000000002</v>
      </c>
      <c r="Q300">
        <v>21.782</v>
      </c>
      <c r="R300">
        <v>23.571999999999999</v>
      </c>
      <c r="S300">
        <v>26.832000000000001</v>
      </c>
      <c r="T300">
        <v>30.937000000000001</v>
      </c>
      <c r="U300">
        <v>35.411999999999999</v>
      </c>
      <c r="V300">
        <v>38.231999999999999</v>
      </c>
      <c r="W300">
        <v>40.406999999999996</v>
      </c>
      <c r="X300">
        <v>43.542999999999999</v>
      </c>
      <c r="Y300">
        <v>43.877000000000002</v>
      </c>
      <c r="Z300">
        <v>45.683999999999997</v>
      </c>
      <c r="AA300">
        <v>48.587000000000003</v>
      </c>
      <c r="AB300">
        <v>48.884999999999998</v>
      </c>
      <c r="AC300">
        <v>50.487000000000002</v>
      </c>
      <c r="AD300">
        <v>52.319000000000003</v>
      </c>
      <c r="AE300">
        <v>60.26</v>
      </c>
      <c r="AF300">
        <v>69.962000000000003</v>
      </c>
      <c r="AG300">
        <v>89.114999999999995</v>
      </c>
      <c r="AH300">
        <v>100</v>
      </c>
      <c r="AI300">
        <v>103.59399999999999</v>
      </c>
      <c r="AJ300">
        <v>105.595</v>
      </c>
      <c r="AK300">
        <v>110.129</v>
      </c>
      <c r="AL300">
        <v>112.34399999999999</v>
      </c>
      <c r="AM300">
        <v>118.163</v>
      </c>
      <c r="AN300">
        <v>123.24299999999999</v>
      </c>
      <c r="AO300">
        <v>127.822</v>
      </c>
      <c r="AP300">
        <v>133.51300000000001</v>
      </c>
      <c r="AQ300">
        <v>141.06800000000001</v>
      </c>
      <c r="AR300">
        <v>150.38900000000001</v>
      </c>
      <c r="AS300">
        <v>159.64699999999999</v>
      </c>
      <c r="AT300">
        <v>167.81700000000001</v>
      </c>
      <c r="AU300">
        <v>175.58799999999999</v>
      </c>
      <c r="AV300">
        <v>184.006</v>
      </c>
      <c r="AW300">
        <v>192.82599999999999</v>
      </c>
      <c r="AX300">
        <v>202.07</v>
      </c>
      <c r="AY300">
        <v>2012</v>
      </c>
    </row>
    <row r="301" spans="1:51" x14ac:dyDescent="0.25">
      <c r="A301">
        <v>648</v>
      </c>
      <c r="B301" t="s">
        <v>479</v>
      </c>
      <c r="C301" t="s">
        <v>298</v>
      </c>
      <c r="D301" t="s">
        <v>107</v>
      </c>
      <c r="E301" t="s">
        <v>299</v>
      </c>
      <c r="F301" t="s">
        <v>300</v>
      </c>
      <c r="G301" t="s">
        <v>282</v>
      </c>
      <c r="H301" t="s">
        <v>283</v>
      </c>
      <c r="I301" t="s">
        <v>481</v>
      </c>
      <c r="J301" t="s">
        <v>285</v>
      </c>
      <c r="K301" t="s">
        <v>285</v>
      </c>
      <c r="L301" t="s">
        <v>285</v>
      </c>
      <c r="M301" t="s">
        <v>285</v>
      </c>
      <c r="N301" t="s">
        <v>285</v>
      </c>
      <c r="O301" t="s">
        <v>285</v>
      </c>
      <c r="P301" t="s">
        <v>285</v>
      </c>
      <c r="Q301" t="s">
        <v>285</v>
      </c>
      <c r="R301" t="s">
        <v>285</v>
      </c>
      <c r="S301" t="s">
        <v>285</v>
      </c>
      <c r="T301" t="s">
        <v>285</v>
      </c>
      <c r="U301" t="s">
        <v>285</v>
      </c>
      <c r="V301" t="s">
        <v>285</v>
      </c>
      <c r="W301" t="s">
        <v>285</v>
      </c>
      <c r="X301" t="s">
        <v>285</v>
      </c>
      <c r="Y301" t="s">
        <v>285</v>
      </c>
      <c r="Z301" t="s">
        <v>285</v>
      </c>
      <c r="AA301" t="s">
        <v>285</v>
      </c>
      <c r="AB301" t="s">
        <v>285</v>
      </c>
      <c r="AC301" t="s">
        <v>285</v>
      </c>
      <c r="AD301">
        <v>1.2310000000000001</v>
      </c>
      <c r="AE301">
        <v>1.522</v>
      </c>
      <c r="AF301">
        <v>1.887</v>
      </c>
      <c r="AG301">
        <v>2.3149999999999999</v>
      </c>
      <c r="AH301">
        <v>3.7690000000000001</v>
      </c>
      <c r="AI301">
        <v>3.87</v>
      </c>
      <c r="AJ301">
        <v>4.1479999999999997</v>
      </c>
      <c r="AK301">
        <v>3.5630000000000002</v>
      </c>
      <c r="AL301">
        <v>4.1059999999999999</v>
      </c>
      <c r="AM301">
        <v>5.5460000000000003</v>
      </c>
      <c r="AN301">
        <v>6.2919999999999998</v>
      </c>
      <c r="AO301">
        <v>6.8710000000000004</v>
      </c>
      <c r="AP301">
        <v>8.6750000000000007</v>
      </c>
      <c r="AQ301">
        <v>8.7530000000000001</v>
      </c>
      <c r="AR301">
        <v>11.141</v>
      </c>
      <c r="AS301">
        <v>11.451000000000001</v>
      </c>
      <c r="AT301">
        <v>11.6</v>
      </c>
      <c r="AU301">
        <v>12.036</v>
      </c>
      <c r="AV301">
        <v>13.378</v>
      </c>
      <c r="AW301">
        <v>14.946999999999999</v>
      </c>
      <c r="AX301">
        <v>16.462</v>
      </c>
      <c r="AY301">
        <v>2013</v>
      </c>
    </row>
    <row r="302" spans="1:51" x14ac:dyDescent="0.25">
      <c r="A302">
        <v>915</v>
      </c>
      <c r="B302" t="s">
        <v>482</v>
      </c>
      <c r="C302" t="s">
        <v>279</v>
      </c>
      <c r="D302" t="s">
        <v>483</v>
      </c>
      <c r="E302" t="s">
        <v>280</v>
      </c>
      <c r="F302" t="s">
        <v>281</v>
      </c>
      <c r="G302" t="s">
        <v>282</v>
      </c>
      <c r="H302" t="s">
        <v>283</v>
      </c>
      <c r="I302" t="s">
        <v>484</v>
      </c>
      <c r="J302" t="s">
        <v>285</v>
      </c>
      <c r="K302" t="s">
        <v>285</v>
      </c>
      <c r="L302" t="s">
        <v>285</v>
      </c>
      <c r="M302" t="s">
        <v>285</v>
      </c>
      <c r="N302" t="s">
        <v>285</v>
      </c>
      <c r="O302" t="s">
        <v>285</v>
      </c>
      <c r="P302" t="s">
        <v>285</v>
      </c>
      <c r="Q302" t="s">
        <v>285</v>
      </c>
      <c r="R302" t="s">
        <v>285</v>
      </c>
      <c r="S302" t="s">
        <v>285</v>
      </c>
      <c r="T302" t="s">
        <v>285</v>
      </c>
      <c r="U302" t="s">
        <v>285</v>
      </c>
      <c r="V302" t="s">
        <v>285</v>
      </c>
      <c r="W302" t="s">
        <v>285</v>
      </c>
      <c r="X302">
        <v>4.4420000000000002</v>
      </c>
      <c r="Y302">
        <v>4.5579999999999998</v>
      </c>
      <c r="Z302">
        <v>5.0359999999999996</v>
      </c>
      <c r="AA302">
        <v>5.569</v>
      </c>
      <c r="AB302">
        <v>5.7290000000000001</v>
      </c>
      <c r="AC302">
        <v>5.8979999999999997</v>
      </c>
      <c r="AD302">
        <v>6.0129999999999999</v>
      </c>
      <c r="AE302">
        <v>6.3010000000000002</v>
      </c>
      <c r="AF302">
        <v>6.6479999999999997</v>
      </c>
      <c r="AG302">
        <v>7.383</v>
      </c>
      <c r="AH302">
        <v>7.8150000000000004</v>
      </c>
      <c r="AI302">
        <v>8.5660000000000007</v>
      </c>
      <c r="AJ302">
        <v>9.3689999999999998</v>
      </c>
      <c r="AK302">
        <v>10.548</v>
      </c>
      <c r="AL302">
        <v>10.824</v>
      </c>
      <c r="AM302">
        <v>10.419</v>
      </c>
      <c r="AN302">
        <v>11.065</v>
      </c>
      <c r="AO302">
        <v>11.86</v>
      </c>
      <c r="AP302">
        <v>12.619</v>
      </c>
      <c r="AQ302">
        <v>13.038</v>
      </c>
      <c r="AR302">
        <v>13.659000000000001</v>
      </c>
      <c r="AS302">
        <v>13.929</v>
      </c>
      <c r="AT302">
        <v>14.342000000000001</v>
      </c>
      <c r="AU302">
        <v>15.052</v>
      </c>
      <c r="AV302">
        <v>15.804</v>
      </c>
      <c r="AW302">
        <v>16.59</v>
      </c>
      <c r="AX302">
        <v>17.414000000000001</v>
      </c>
      <c r="AY302">
        <v>2014</v>
      </c>
    </row>
    <row r="303" spans="1:51" x14ac:dyDescent="0.25">
      <c r="A303">
        <v>915</v>
      </c>
      <c r="B303" t="s">
        <v>482</v>
      </c>
      <c r="C303" t="s">
        <v>286</v>
      </c>
      <c r="D303" t="s">
        <v>483</v>
      </c>
      <c r="E303" t="s">
        <v>287</v>
      </c>
      <c r="F303" t="s">
        <v>288</v>
      </c>
      <c r="G303" t="s">
        <v>282</v>
      </c>
      <c r="H303" t="s">
        <v>283</v>
      </c>
      <c r="I303" t="s">
        <v>484</v>
      </c>
      <c r="J303" t="s">
        <v>285</v>
      </c>
      <c r="K303" t="s">
        <v>285</v>
      </c>
      <c r="L303" t="s">
        <v>285</v>
      </c>
      <c r="M303" t="s">
        <v>285</v>
      </c>
      <c r="N303" t="s">
        <v>285</v>
      </c>
      <c r="O303" t="s">
        <v>285</v>
      </c>
      <c r="P303" t="s">
        <v>285</v>
      </c>
      <c r="Q303" t="s">
        <v>285</v>
      </c>
      <c r="R303" t="s">
        <v>285</v>
      </c>
      <c r="S303" t="s">
        <v>285</v>
      </c>
      <c r="T303" t="s">
        <v>285</v>
      </c>
      <c r="U303" t="s">
        <v>285</v>
      </c>
      <c r="V303" t="s">
        <v>285</v>
      </c>
      <c r="W303" t="s">
        <v>285</v>
      </c>
      <c r="X303">
        <v>0.90600000000000003</v>
      </c>
      <c r="Y303">
        <v>2.4430000000000001</v>
      </c>
      <c r="Z303">
        <v>3.847</v>
      </c>
      <c r="AA303">
        <v>4.6379999999999999</v>
      </c>
      <c r="AB303">
        <v>5.04</v>
      </c>
      <c r="AC303">
        <v>5.665</v>
      </c>
      <c r="AD303">
        <v>6.0129999999999999</v>
      </c>
      <c r="AE303">
        <v>6.6470000000000002</v>
      </c>
      <c r="AF303">
        <v>7.4550000000000001</v>
      </c>
      <c r="AG303">
        <v>8.5640000000000001</v>
      </c>
      <c r="AH303">
        <v>9.8239999999999998</v>
      </c>
      <c r="AI303">
        <v>11.621</v>
      </c>
      <c r="AJ303">
        <v>13.79</v>
      </c>
      <c r="AK303">
        <v>16.994</v>
      </c>
      <c r="AL303">
        <v>19.074999999999999</v>
      </c>
      <c r="AM303">
        <v>17.986000000000001</v>
      </c>
      <c r="AN303">
        <v>20.742999999999999</v>
      </c>
      <c r="AO303">
        <v>24.344000000000001</v>
      </c>
      <c r="AP303">
        <v>26.167000000000002</v>
      </c>
      <c r="AQ303">
        <v>26.847000000000001</v>
      </c>
      <c r="AR303">
        <v>29.187000000000001</v>
      </c>
      <c r="AS303">
        <v>30.864999999999998</v>
      </c>
      <c r="AT303">
        <v>33.368000000000002</v>
      </c>
      <c r="AU303">
        <v>36.595999999999997</v>
      </c>
      <c r="AV303">
        <v>39.962000000000003</v>
      </c>
      <c r="AW303">
        <v>43.625999999999998</v>
      </c>
      <c r="AX303">
        <v>47.625999999999998</v>
      </c>
      <c r="AY303">
        <v>2014</v>
      </c>
    </row>
    <row r="304" spans="1:51" x14ac:dyDescent="0.25">
      <c r="A304">
        <v>915</v>
      </c>
      <c r="B304" t="s">
        <v>482</v>
      </c>
      <c r="C304" t="s">
        <v>289</v>
      </c>
      <c r="D304" t="s">
        <v>483</v>
      </c>
      <c r="E304" t="s">
        <v>287</v>
      </c>
      <c r="F304" t="s">
        <v>290</v>
      </c>
      <c r="G304" t="s">
        <v>291</v>
      </c>
      <c r="H304" t="s">
        <v>283</v>
      </c>
      <c r="I304" t="s">
        <v>292</v>
      </c>
      <c r="J304" t="s">
        <v>285</v>
      </c>
      <c r="K304" t="s">
        <v>285</v>
      </c>
      <c r="L304" t="s">
        <v>285</v>
      </c>
      <c r="M304" t="s">
        <v>285</v>
      </c>
      <c r="N304" t="s">
        <v>285</v>
      </c>
      <c r="O304" t="s">
        <v>285</v>
      </c>
      <c r="P304" t="s">
        <v>285</v>
      </c>
      <c r="Q304" t="s">
        <v>285</v>
      </c>
      <c r="R304" t="s">
        <v>285</v>
      </c>
      <c r="S304" t="s">
        <v>285</v>
      </c>
      <c r="T304" t="s">
        <v>285</v>
      </c>
      <c r="U304" t="s">
        <v>285</v>
      </c>
      <c r="V304" t="s">
        <v>285</v>
      </c>
      <c r="W304" t="s">
        <v>285</v>
      </c>
      <c r="X304">
        <v>0.82299999999999995</v>
      </c>
      <c r="Y304">
        <v>1.897</v>
      </c>
      <c r="Z304">
        <v>3.0459999999999998</v>
      </c>
      <c r="AA304">
        <v>3.5750000000000002</v>
      </c>
      <c r="AB304">
        <v>3.62</v>
      </c>
      <c r="AC304">
        <v>2.8029999999999999</v>
      </c>
      <c r="AD304">
        <v>3.0419999999999998</v>
      </c>
      <c r="AE304">
        <v>3.2050000000000001</v>
      </c>
      <c r="AF304">
        <v>3.395</v>
      </c>
      <c r="AG304">
        <v>3.9910000000000001</v>
      </c>
      <c r="AH304">
        <v>5.1260000000000003</v>
      </c>
      <c r="AI304">
        <v>6.4109999999999996</v>
      </c>
      <c r="AJ304">
        <v>7.7450000000000001</v>
      </c>
      <c r="AK304">
        <v>10.173</v>
      </c>
      <c r="AL304">
        <v>12.795</v>
      </c>
      <c r="AM304">
        <v>10.766999999999999</v>
      </c>
      <c r="AN304">
        <v>11.638</v>
      </c>
      <c r="AO304">
        <v>14.435</v>
      </c>
      <c r="AP304">
        <v>15.847</v>
      </c>
      <c r="AQ304">
        <v>16.140999999999998</v>
      </c>
      <c r="AR304">
        <v>16.536000000000001</v>
      </c>
      <c r="AS304">
        <v>13.753</v>
      </c>
      <c r="AT304">
        <v>14.27</v>
      </c>
      <c r="AU304">
        <v>15.677</v>
      </c>
      <c r="AV304">
        <v>17.074000000000002</v>
      </c>
      <c r="AW304">
        <v>18.632000000000001</v>
      </c>
      <c r="AX304">
        <v>20.331</v>
      </c>
      <c r="AY304">
        <v>2014</v>
      </c>
    </row>
    <row r="305" spans="1:51" x14ac:dyDescent="0.25">
      <c r="A305">
        <v>915</v>
      </c>
      <c r="B305" t="s">
        <v>482</v>
      </c>
      <c r="C305" t="s">
        <v>293</v>
      </c>
      <c r="D305" t="s">
        <v>483</v>
      </c>
      <c r="E305" t="s">
        <v>294</v>
      </c>
      <c r="F305" t="s">
        <v>295</v>
      </c>
      <c r="G305" t="s">
        <v>296</v>
      </c>
      <c r="I305" t="s">
        <v>297</v>
      </c>
      <c r="J305" t="s">
        <v>285</v>
      </c>
      <c r="K305" t="s">
        <v>285</v>
      </c>
      <c r="L305" t="s">
        <v>285</v>
      </c>
      <c r="M305" t="s">
        <v>285</v>
      </c>
      <c r="N305" t="s">
        <v>285</v>
      </c>
      <c r="O305" t="s">
        <v>285</v>
      </c>
      <c r="P305" t="s">
        <v>285</v>
      </c>
      <c r="Q305" t="s">
        <v>285</v>
      </c>
      <c r="R305" t="s">
        <v>285</v>
      </c>
      <c r="S305" t="s">
        <v>285</v>
      </c>
      <c r="T305" t="s">
        <v>285</v>
      </c>
      <c r="U305" t="s">
        <v>285</v>
      </c>
      <c r="V305" t="s">
        <v>285</v>
      </c>
      <c r="W305" t="s">
        <v>285</v>
      </c>
      <c r="X305">
        <v>20.404</v>
      </c>
      <c r="Y305">
        <v>53.604999999999997</v>
      </c>
      <c r="Z305">
        <v>76.373999999999995</v>
      </c>
      <c r="AA305">
        <v>83.290999999999997</v>
      </c>
      <c r="AB305">
        <v>87.978999999999999</v>
      </c>
      <c r="AC305">
        <v>96.040999999999997</v>
      </c>
      <c r="AD305">
        <v>100.001</v>
      </c>
      <c r="AE305">
        <v>105.5</v>
      </c>
      <c r="AF305">
        <v>112.139</v>
      </c>
      <c r="AG305">
        <v>115.999</v>
      </c>
      <c r="AH305">
        <v>125.705</v>
      </c>
      <c r="AI305">
        <v>135.66999999999999</v>
      </c>
      <c r="AJ305">
        <v>147.18100000000001</v>
      </c>
      <c r="AK305">
        <v>161.10900000000001</v>
      </c>
      <c r="AL305">
        <v>176.233</v>
      </c>
      <c r="AM305">
        <v>172.63200000000001</v>
      </c>
      <c r="AN305">
        <v>187.47200000000001</v>
      </c>
      <c r="AO305">
        <v>205.26499999999999</v>
      </c>
      <c r="AP305">
        <v>207.36600000000001</v>
      </c>
      <c r="AQ305">
        <v>205.91900000000001</v>
      </c>
      <c r="AR305">
        <v>213.679</v>
      </c>
      <c r="AS305">
        <v>221.58500000000001</v>
      </c>
      <c r="AT305">
        <v>232.66499999999999</v>
      </c>
      <c r="AU305">
        <v>243.13399999999999</v>
      </c>
      <c r="AV305">
        <v>252.86</v>
      </c>
      <c r="AW305">
        <v>262.97500000000002</v>
      </c>
      <c r="AX305">
        <v>273.49400000000003</v>
      </c>
      <c r="AY305">
        <v>2014</v>
      </c>
    </row>
    <row r="306" spans="1:51" x14ac:dyDescent="0.25">
      <c r="A306">
        <v>915</v>
      </c>
      <c r="B306" t="s">
        <v>482</v>
      </c>
      <c r="C306" t="s">
        <v>298</v>
      </c>
      <c r="D306" t="s">
        <v>483</v>
      </c>
      <c r="E306" t="s">
        <v>299</v>
      </c>
      <c r="F306" t="s">
        <v>300</v>
      </c>
      <c r="G306" t="s">
        <v>282</v>
      </c>
      <c r="H306" t="s">
        <v>283</v>
      </c>
      <c r="I306" t="s">
        <v>485</v>
      </c>
      <c r="J306" t="s">
        <v>285</v>
      </c>
      <c r="K306" t="s">
        <v>285</v>
      </c>
      <c r="L306" t="s">
        <v>285</v>
      </c>
      <c r="M306" t="s">
        <v>285</v>
      </c>
      <c r="N306" t="s">
        <v>285</v>
      </c>
      <c r="O306" t="s">
        <v>285</v>
      </c>
      <c r="P306" t="s">
        <v>285</v>
      </c>
      <c r="Q306" t="s">
        <v>285</v>
      </c>
      <c r="R306" t="s">
        <v>285</v>
      </c>
      <c r="S306" t="s">
        <v>285</v>
      </c>
      <c r="T306" t="s">
        <v>285</v>
      </c>
      <c r="U306" t="s">
        <v>285</v>
      </c>
      <c r="V306" t="s">
        <v>285</v>
      </c>
      <c r="W306" t="s">
        <v>285</v>
      </c>
      <c r="X306" t="s">
        <v>285</v>
      </c>
      <c r="Y306">
        <v>0.39500000000000002</v>
      </c>
      <c r="Z306">
        <v>0.73099999999999998</v>
      </c>
      <c r="AA306">
        <v>1.026</v>
      </c>
      <c r="AB306">
        <v>0.97599999999999998</v>
      </c>
      <c r="AC306">
        <v>1.1519999999999999</v>
      </c>
      <c r="AD306">
        <v>1.0509999999999999</v>
      </c>
      <c r="AE306">
        <v>1.1539999999999999</v>
      </c>
      <c r="AF306">
        <v>1.2250000000000001</v>
      </c>
      <c r="AG306">
        <v>1.4159999999999999</v>
      </c>
      <c r="AH306">
        <v>1.9039999999999999</v>
      </c>
      <c r="AI306">
        <v>2.5819999999999999</v>
      </c>
      <c r="AJ306">
        <v>3.2120000000000002</v>
      </c>
      <c r="AK306">
        <v>4.8310000000000004</v>
      </c>
      <c r="AL306">
        <v>6.2309999999999999</v>
      </c>
      <c r="AM306">
        <v>6.4409999999999998</v>
      </c>
      <c r="AN306">
        <v>6.8579999999999997</v>
      </c>
      <c r="AO306">
        <v>7.0810000000000004</v>
      </c>
      <c r="AP306">
        <v>7.7370000000000001</v>
      </c>
      <c r="AQ306">
        <v>7.7050000000000001</v>
      </c>
      <c r="AR306">
        <v>8.6989999999999998</v>
      </c>
      <c r="AS306">
        <v>9.109</v>
      </c>
      <c r="AT306">
        <v>9.8800000000000008</v>
      </c>
      <c r="AU306">
        <v>10.689</v>
      </c>
      <c r="AV306">
        <v>11.574</v>
      </c>
      <c r="AW306">
        <v>12.561</v>
      </c>
      <c r="AX306">
        <v>13.744</v>
      </c>
      <c r="AY306">
        <v>2014</v>
      </c>
    </row>
    <row r="307" spans="1:51" x14ac:dyDescent="0.25">
      <c r="A307">
        <v>134</v>
      </c>
      <c r="B307" t="s">
        <v>486</v>
      </c>
      <c r="C307" t="s">
        <v>279</v>
      </c>
      <c r="D307" t="s">
        <v>487</v>
      </c>
      <c r="E307" t="s">
        <v>280</v>
      </c>
      <c r="F307" t="s">
        <v>281</v>
      </c>
      <c r="G307" t="s">
        <v>282</v>
      </c>
      <c r="H307" t="s">
        <v>283</v>
      </c>
      <c r="I307" t="s">
        <v>488</v>
      </c>
      <c r="J307" s="21">
        <v>1547.8209999999999</v>
      </c>
      <c r="K307" s="21">
        <v>1549.528</v>
      </c>
      <c r="L307" s="21">
        <v>1537.316</v>
      </c>
      <c r="M307" s="21">
        <v>1561.2149999999999</v>
      </c>
      <c r="N307" s="21">
        <v>1605.338</v>
      </c>
      <c r="O307" s="21">
        <v>1640.53</v>
      </c>
      <c r="P307" s="21">
        <v>1680.1880000000001</v>
      </c>
      <c r="Q307" s="21">
        <v>1704.875</v>
      </c>
      <c r="R307" s="21">
        <v>1768.5630000000001</v>
      </c>
      <c r="S307" s="21">
        <v>1837.7670000000001</v>
      </c>
      <c r="T307" s="21">
        <v>1942.951</v>
      </c>
      <c r="U307" s="21">
        <v>2040.32</v>
      </c>
      <c r="V307" s="21">
        <v>2071.08</v>
      </c>
      <c r="W307" s="21">
        <v>2050.8000000000002</v>
      </c>
      <c r="X307" s="21">
        <v>2102.63</v>
      </c>
      <c r="Y307" s="21">
        <v>2140.79</v>
      </c>
      <c r="Z307" s="21">
        <v>2159.19</v>
      </c>
      <c r="AA307" s="21">
        <v>2200.25</v>
      </c>
      <c r="AB307" s="21">
        <v>2239.33</v>
      </c>
      <c r="AC307" s="21">
        <v>2280.65</v>
      </c>
      <c r="AD307" s="21">
        <v>2353.5</v>
      </c>
      <c r="AE307" s="21">
        <v>2396.88</v>
      </c>
      <c r="AF307" s="21">
        <v>2397.27</v>
      </c>
      <c r="AG307" s="21">
        <v>2379.69</v>
      </c>
      <c r="AH307" s="21">
        <v>2396.4299999999998</v>
      </c>
      <c r="AI307" s="21">
        <v>2417.4699999999998</v>
      </c>
      <c r="AJ307" s="21">
        <v>2511.25</v>
      </c>
      <c r="AK307" s="21">
        <v>2596.21</v>
      </c>
      <c r="AL307" s="21">
        <v>2617.12</v>
      </c>
      <c r="AM307" s="21">
        <v>2471.4699999999998</v>
      </c>
      <c r="AN307" s="21">
        <v>2568.98</v>
      </c>
      <c r="AO307" s="21">
        <v>2664.49</v>
      </c>
      <c r="AP307" s="21">
        <v>2680.83</v>
      </c>
      <c r="AQ307" s="21">
        <v>2691.72</v>
      </c>
      <c r="AR307" s="21">
        <v>2734.26</v>
      </c>
      <c r="AS307" s="21">
        <v>2775.5320000000002</v>
      </c>
      <c r="AT307" s="21">
        <v>2819.192</v>
      </c>
      <c r="AU307" s="21">
        <v>2861.768</v>
      </c>
      <c r="AV307" s="21">
        <v>2898.8380000000002</v>
      </c>
      <c r="AW307" s="21">
        <v>2936.3829999999998</v>
      </c>
      <c r="AX307" s="21">
        <v>2973.654</v>
      </c>
      <c r="AY307">
        <v>2014</v>
      </c>
    </row>
    <row r="308" spans="1:51" x14ac:dyDescent="0.25">
      <c r="A308">
        <v>134</v>
      </c>
      <c r="B308" t="s">
        <v>486</v>
      </c>
      <c r="C308" t="s">
        <v>286</v>
      </c>
      <c r="D308" t="s">
        <v>487</v>
      </c>
      <c r="E308" t="s">
        <v>287</v>
      </c>
      <c r="F308" t="s">
        <v>288</v>
      </c>
      <c r="G308" t="s">
        <v>282</v>
      </c>
      <c r="H308" t="s">
        <v>283</v>
      </c>
      <c r="I308" t="s">
        <v>488</v>
      </c>
      <c r="J308">
        <v>789.17899999999997</v>
      </c>
      <c r="K308">
        <v>823.76900000000001</v>
      </c>
      <c r="L308">
        <v>856.3</v>
      </c>
      <c r="M308">
        <v>897.89</v>
      </c>
      <c r="N308">
        <v>941.95</v>
      </c>
      <c r="O308">
        <v>983.43700000000001</v>
      </c>
      <c r="P308" s="21">
        <v>1039.954</v>
      </c>
      <c r="Q308" s="21">
        <v>1074.029</v>
      </c>
      <c r="R308" s="21">
        <v>1130.855</v>
      </c>
      <c r="S308" s="21">
        <v>1202.711</v>
      </c>
      <c r="T308" s="21">
        <v>1312.451</v>
      </c>
      <c r="U308" s="21">
        <v>1579.8</v>
      </c>
      <c r="V308" s="21">
        <v>1695.32</v>
      </c>
      <c r="W308" s="21">
        <v>1748.55</v>
      </c>
      <c r="X308" s="21">
        <v>1830.29</v>
      </c>
      <c r="Y308" s="21">
        <v>1898.88</v>
      </c>
      <c r="Z308" s="21">
        <v>1926.32</v>
      </c>
      <c r="AA308" s="21">
        <v>1967.09</v>
      </c>
      <c r="AB308" s="21">
        <v>2018.23</v>
      </c>
      <c r="AC308" s="21">
        <v>2064.88</v>
      </c>
      <c r="AD308" s="21">
        <v>2116.48</v>
      </c>
      <c r="AE308" s="21">
        <v>2179.85</v>
      </c>
      <c r="AF308" s="21">
        <v>2209.29</v>
      </c>
      <c r="AG308" s="21">
        <v>2220.08</v>
      </c>
      <c r="AH308" s="21">
        <v>2270.62</v>
      </c>
      <c r="AI308" s="21">
        <v>2300.86</v>
      </c>
      <c r="AJ308" s="21">
        <v>2393.25</v>
      </c>
      <c r="AK308" s="21">
        <v>2513.23</v>
      </c>
      <c r="AL308" s="21">
        <v>2561.7399999999998</v>
      </c>
      <c r="AM308" s="21">
        <v>2460.2800000000002</v>
      </c>
      <c r="AN308" s="21">
        <v>2580.06</v>
      </c>
      <c r="AO308" s="21">
        <v>2703.12</v>
      </c>
      <c r="AP308" s="21">
        <v>2754.86</v>
      </c>
      <c r="AQ308" s="21">
        <v>2820.82</v>
      </c>
      <c r="AR308" s="21">
        <v>2915.65</v>
      </c>
      <c r="AS308" s="21">
        <v>3029.8960000000002</v>
      </c>
      <c r="AT308" s="21">
        <v>3106.328</v>
      </c>
      <c r="AU308" s="21">
        <v>3180.991</v>
      </c>
      <c r="AV308" s="21">
        <v>3259.1579999999999</v>
      </c>
      <c r="AW308" s="21">
        <v>3342.625</v>
      </c>
      <c r="AX308" s="21">
        <v>3429.4380000000001</v>
      </c>
      <c r="AY308">
        <v>2014</v>
      </c>
    </row>
    <row r="309" spans="1:51" x14ac:dyDescent="0.25">
      <c r="A309">
        <v>134</v>
      </c>
      <c r="B309" t="s">
        <v>486</v>
      </c>
      <c r="C309" t="s">
        <v>289</v>
      </c>
      <c r="D309" t="s">
        <v>487</v>
      </c>
      <c r="E309" t="s">
        <v>287</v>
      </c>
      <c r="F309" t="s">
        <v>290</v>
      </c>
      <c r="G309" t="s">
        <v>291</v>
      </c>
      <c r="H309" t="s">
        <v>283</v>
      </c>
      <c r="I309" t="s">
        <v>292</v>
      </c>
      <c r="J309">
        <v>850.64200000000005</v>
      </c>
      <c r="K309">
        <v>715.726</v>
      </c>
      <c r="L309">
        <v>691.01099999999997</v>
      </c>
      <c r="M309">
        <v>689.36599999999999</v>
      </c>
      <c r="N309">
        <v>649.55799999999999</v>
      </c>
      <c r="O309">
        <v>658.78399999999999</v>
      </c>
      <c r="P309">
        <v>940.83299999999997</v>
      </c>
      <c r="Q309" s="21">
        <v>1170.617</v>
      </c>
      <c r="R309" s="21">
        <v>1262.02</v>
      </c>
      <c r="S309" s="21">
        <v>1252.915</v>
      </c>
      <c r="T309" s="21">
        <v>1592.71</v>
      </c>
      <c r="U309" s="21">
        <v>1869.104</v>
      </c>
      <c r="V309" s="21">
        <v>2128.558</v>
      </c>
      <c r="W309" s="21">
        <v>2069.7660000000001</v>
      </c>
      <c r="X309" s="21">
        <v>2211.0219999999999</v>
      </c>
      <c r="Y309" s="21">
        <v>2594.3710000000001</v>
      </c>
      <c r="Z309" s="21">
        <v>2504.6709999999998</v>
      </c>
      <c r="AA309" s="21">
        <v>2221.7379999999998</v>
      </c>
      <c r="AB309" s="21">
        <v>2246.4450000000002</v>
      </c>
      <c r="AC309" s="21">
        <v>2202.8449999999998</v>
      </c>
      <c r="AD309" s="21">
        <v>1955.673</v>
      </c>
      <c r="AE309" s="21">
        <v>1952.325</v>
      </c>
      <c r="AF309" s="21">
        <v>2086.4960000000001</v>
      </c>
      <c r="AG309" s="21">
        <v>2510.5279999999998</v>
      </c>
      <c r="AH309" s="21">
        <v>2823.0709999999999</v>
      </c>
      <c r="AI309" s="21">
        <v>2866.308</v>
      </c>
      <c r="AJ309" s="21">
        <v>3005.0810000000001</v>
      </c>
      <c r="AK309" s="21">
        <v>3444.723</v>
      </c>
      <c r="AL309" s="21">
        <v>3770.15</v>
      </c>
      <c r="AM309" s="21">
        <v>3426.672</v>
      </c>
      <c r="AN309" s="21">
        <v>3423.4659999999999</v>
      </c>
      <c r="AO309" s="21">
        <v>3761.1419999999998</v>
      </c>
      <c r="AP309" s="21">
        <v>3541.5749999999998</v>
      </c>
      <c r="AQ309" s="21">
        <v>3746.4879999999998</v>
      </c>
      <c r="AR309" s="21">
        <v>3874.4369999999999</v>
      </c>
      <c r="AS309" s="21">
        <v>3371.0030000000002</v>
      </c>
      <c r="AT309" s="21">
        <v>3472.5070000000001</v>
      </c>
      <c r="AU309" s="21">
        <v>3595.4059999999999</v>
      </c>
      <c r="AV309" s="21">
        <v>3721.3649999999998</v>
      </c>
      <c r="AW309" s="21">
        <v>3846.6970000000001</v>
      </c>
      <c r="AX309" s="21">
        <v>4004.9360000000001</v>
      </c>
      <c r="AY309">
        <v>2014</v>
      </c>
    </row>
    <row r="310" spans="1:51" x14ac:dyDescent="0.25">
      <c r="A310">
        <v>134</v>
      </c>
      <c r="B310" t="s">
        <v>486</v>
      </c>
      <c r="C310" t="s">
        <v>293</v>
      </c>
      <c r="D310" t="s">
        <v>487</v>
      </c>
      <c r="E310" t="s">
        <v>294</v>
      </c>
      <c r="F310" t="s">
        <v>295</v>
      </c>
      <c r="G310" t="s">
        <v>296</v>
      </c>
      <c r="I310" t="s">
        <v>297</v>
      </c>
      <c r="J310">
        <v>50.985999999999997</v>
      </c>
      <c r="K310">
        <v>53.162999999999997</v>
      </c>
      <c r="L310">
        <v>55.701000000000001</v>
      </c>
      <c r="M310">
        <v>57.512</v>
      </c>
      <c r="N310">
        <v>58.676000000000002</v>
      </c>
      <c r="O310">
        <v>59.945999999999998</v>
      </c>
      <c r="P310">
        <v>61.895000000000003</v>
      </c>
      <c r="Q310">
        <v>62.997999999999998</v>
      </c>
      <c r="R310">
        <v>63.942</v>
      </c>
      <c r="S310">
        <v>65.444000000000003</v>
      </c>
      <c r="T310">
        <v>67.549000000000007</v>
      </c>
      <c r="U310">
        <v>77.429000000000002</v>
      </c>
      <c r="V310">
        <v>81.856999999999999</v>
      </c>
      <c r="W310">
        <v>85.262</v>
      </c>
      <c r="X310">
        <v>87.048000000000002</v>
      </c>
      <c r="Y310">
        <v>88.7</v>
      </c>
      <c r="Z310">
        <v>89.215000000000003</v>
      </c>
      <c r="AA310">
        <v>89.403000000000006</v>
      </c>
      <c r="AB310">
        <v>90.126999999999995</v>
      </c>
      <c r="AC310">
        <v>90.539000000000001</v>
      </c>
      <c r="AD310">
        <v>89.929000000000002</v>
      </c>
      <c r="AE310">
        <v>90.944999999999993</v>
      </c>
      <c r="AF310">
        <v>92.159000000000006</v>
      </c>
      <c r="AG310">
        <v>93.293000000000006</v>
      </c>
      <c r="AH310">
        <v>94.75</v>
      </c>
      <c r="AI310">
        <v>95.176000000000002</v>
      </c>
      <c r="AJ310">
        <v>95.301000000000002</v>
      </c>
      <c r="AK310">
        <v>96.804000000000002</v>
      </c>
      <c r="AL310">
        <v>97.884</v>
      </c>
      <c r="AM310">
        <v>99.546999999999997</v>
      </c>
      <c r="AN310">
        <v>100.431</v>
      </c>
      <c r="AO310">
        <v>101.45</v>
      </c>
      <c r="AP310">
        <v>102.761</v>
      </c>
      <c r="AQ310">
        <v>104.79600000000001</v>
      </c>
      <c r="AR310">
        <v>106.634</v>
      </c>
      <c r="AS310">
        <v>109.16500000000001</v>
      </c>
      <c r="AT310">
        <v>110.185</v>
      </c>
      <c r="AU310">
        <v>111.155</v>
      </c>
      <c r="AV310">
        <v>112.43</v>
      </c>
      <c r="AW310">
        <v>113.83499999999999</v>
      </c>
      <c r="AX310">
        <v>115.327</v>
      </c>
      <c r="AY310">
        <v>2014</v>
      </c>
    </row>
    <row r="311" spans="1:51" x14ac:dyDescent="0.25">
      <c r="A311">
        <v>134</v>
      </c>
      <c r="B311" t="s">
        <v>486</v>
      </c>
      <c r="C311" t="s">
        <v>298</v>
      </c>
      <c r="D311" t="s">
        <v>487</v>
      </c>
      <c r="E311" t="s">
        <v>299</v>
      </c>
      <c r="F311" t="s">
        <v>300</v>
      </c>
      <c r="G311" t="s">
        <v>282</v>
      </c>
      <c r="H311" t="s">
        <v>283</v>
      </c>
      <c r="I311" t="s">
        <v>489</v>
      </c>
      <c r="J311" t="s">
        <v>285</v>
      </c>
      <c r="K311" t="s">
        <v>285</v>
      </c>
      <c r="L311" t="s">
        <v>285</v>
      </c>
      <c r="M311" t="s">
        <v>285</v>
      </c>
      <c r="N311" t="s">
        <v>285</v>
      </c>
      <c r="O311" t="s">
        <v>285</v>
      </c>
      <c r="P311" t="s">
        <v>285</v>
      </c>
      <c r="Q311" t="s">
        <v>285</v>
      </c>
      <c r="R311" t="s">
        <v>285</v>
      </c>
      <c r="S311" t="s">
        <v>285</v>
      </c>
      <c r="T311" t="s">
        <v>285</v>
      </c>
      <c r="U311">
        <v>720.14</v>
      </c>
      <c r="V311">
        <v>789.69299999999998</v>
      </c>
      <c r="W311">
        <v>829.79100000000005</v>
      </c>
      <c r="X311">
        <v>865.5</v>
      </c>
      <c r="Y311" s="21">
        <v>1032.8240000000001</v>
      </c>
      <c r="Z311">
        <v>936.96</v>
      </c>
      <c r="AA311">
        <v>940.79600000000005</v>
      </c>
      <c r="AB311">
        <v>958.54100000000005</v>
      </c>
      <c r="AC311">
        <v>979.73800000000006</v>
      </c>
      <c r="AD311">
        <v>943.33500000000004</v>
      </c>
      <c r="AE311" s="21">
        <v>1019.944</v>
      </c>
      <c r="AF311" s="21">
        <v>1041.2249999999999</v>
      </c>
      <c r="AG311" s="21">
        <v>1057.1569999999999</v>
      </c>
      <c r="AH311" s="21">
        <v>1047.778</v>
      </c>
      <c r="AI311" s="21">
        <v>1057.547</v>
      </c>
      <c r="AJ311" s="21">
        <v>1064.0119999999999</v>
      </c>
      <c r="AK311" s="21">
        <v>1071.979</v>
      </c>
      <c r="AL311" s="21">
        <v>1111.7339999999999</v>
      </c>
      <c r="AM311" s="21">
        <v>1163.7809999999999</v>
      </c>
      <c r="AN311" s="21">
        <v>1213.5050000000001</v>
      </c>
      <c r="AO311" s="21">
        <v>1201.0070000000001</v>
      </c>
      <c r="AP311" s="21">
        <v>1213.0909999999999</v>
      </c>
      <c r="AQ311" s="21">
        <v>1243.4970000000001</v>
      </c>
      <c r="AR311" s="21">
        <v>1290.6990000000001</v>
      </c>
      <c r="AS311" s="21">
        <v>1329.1120000000001</v>
      </c>
      <c r="AT311" s="21">
        <v>1352.62</v>
      </c>
      <c r="AU311" s="21">
        <v>1384.403</v>
      </c>
      <c r="AV311" s="21">
        <v>1413.2149999999999</v>
      </c>
      <c r="AW311" s="21">
        <v>1439.0250000000001</v>
      </c>
      <c r="AX311" s="21">
        <v>1476.3979999999999</v>
      </c>
      <c r="AY311">
        <v>2014</v>
      </c>
    </row>
    <row r="312" spans="1:51" x14ac:dyDescent="0.25">
      <c r="A312">
        <v>652</v>
      </c>
      <c r="B312" t="s">
        <v>490</v>
      </c>
      <c r="C312" t="s">
        <v>279</v>
      </c>
      <c r="D312" t="s">
        <v>491</v>
      </c>
      <c r="E312" t="s">
        <v>280</v>
      </c>
      <c r="F312" t="s">
        <v>281</v>
      </c>
      <c r="G312" t="s">
        <v>282</v>
      </c>
      <c r="H312" t="s">
        <v>283</v>
      </c>
      <c r="I312" t="s">
        <v>492</v>
      </c>
      <c r="J312">
        <v>6.125</v>
      </c>
      <c r="K312">
        <v>6.4420000000000002</v>
      </c>
      <c r="L312">
        <v>6.117</v>
      </c>
      <c r="M312">
        <v>5.9059999999999997</v>
      </c>
      <c r="N312">
        <v>6.3959999999999999</v>
      </c>
      <c r="O312">
        <v>6.77</v>
      </c>
      <c r="P312">
        <v>7.0620000000000003</v>
      </c>
      <c r="Q312">
        <v>7.476</v>
      </c>
      <c r="R312">
        <v>8.1780000000000008</v>
      </c>
      <c r="S312">
        <v>8.5540000000000003</v>
      </c>
      <c r="T312">
        <v>8.84</v>
      </c>
      <c r="U312">
        <v>9.2850000000000001</v>
      </c>
      <c r="V312">
        <v>9.6639999999999997</v>
      </c>
      <c r="W312">
        <v>10.115</v>
      </c>
      <c r="X312">
        <v>10.465999999999999</v>
      </c>
      <c r="Y312">
        <v>10.89</v>
      </c>
      <c r="Z312">
        <v>11.384</v>
      </c>
      <c r="AA312">
        <v>11.978999999999999</v>
      </c>
      <c r="AB312">
        <v>12.590999999999999</v>
      </c>
      <c r="AC312">
        <v>13.180999999999999</v>
      </c>
      <c r="AD312">
        <v>13.733000000000001</v>
      </c>
      <c r="AE312">
        <v>14.35</v>
      </c>
      <c r="AF312">
        <v>15.018000000000001</v>
      </c>
      <c r="AG312">
        <v>15.786</v>
      </c>
      <c r="AH312">
        <v>16.625</v>
      </c>
      <c r="AI312">
        <v>17.626000000000001</v>
      </c>
      <c r="AJ312">
        <v>18.706</v>
      </c>
      <c r="AK312">
        <v>19.547000000000001</v>
      </c>
      <c r="AL312">
        <v>21.367999999999999</v>
      </c>
      <c r="AM312">
        <v>22.603999999999999</v>
      </c>
      <c r="AN312">
        <v>24.388999999999999</v>
      </c>
      <c r="AO312">
        <v>27.809000000000001</v>
      </c>
      <c r="AP312">
        <v>30.04</v>
      </c>
      <c r="AQ312">
        <v>32.237000000000002</v>
      </c>
      <c r="AR312">
        <v>33.521999999999998</v>
      </c>
      <c r="AS312">
        <v>34.692999999999998</v>
      </c>
      <c r="AT312">
        <v>36.667000000000002</v>
      </c>
      <c r="AU312">
        <v>40.124000000000002</v>
      </c>
      <c r="AV312">
        <v>43.069000000000003</v>
      </c>
      <c r="AW312">
        <v>45.259</v>
      </c>
      <c r="AX312">
        <v>46.904000000000003</v>
      </c>
      <c r="AY312">
        <v>2014</v>
      </c>
    </row>
    <row r="313" spans="1:51" x14ac:dyDescent="0.25">
      <c r="A313">
        <v>652</v>
      </c>
      <c r="B313" t="s">
        <v>490</v>
      </c>
      <c r="C313" t="s">
        <v>286</v>
      </c>
      <c r="D313" t="s">
        <v>491</v>
      </c>
      <c r="E313" t="s">
        <v>287</v>
      </c>
      <c r="F313" t="s">
        <v>288</v>
      </c>
      <c r="G313" t="s">
        <v>282</v>
      </c>
      <c r="H313" t="s">
        <v>283</v>
      </c>
      <c r="I313" t="s">
        <v>492</v>
      </c>
      <c r="J313">
        <v>7.0000000000000001E-3</v>
      </c>
      <c r="K313">
        <v>6.0000000000000001E-3</v>
      </c>
      <c r="L313">
        <v>0.01</v>
      </c>
      <c r="M313">
        <v>1.0999999999999999E-2</v>
      </c>
      <c r="N313">
        <v>2.9000000000000001E-2</v>
      </c>
      <c r="O313">
        <v>4.3999999999999997E-2</v>
      </c>
      <c r="P313">
        <v>0.06</v>
      </c>
      <c r="Q313">
        <v>0.10299999999999999</v>
      </c>
      <c r="R313">
        <v>0.14599999999999999</v>
      </c>
      <c r="S313">
        <v>0.2</v>
      </c>
      <c r="T313">
        <v>0.28799999999999998</v>
      </c>
      <c r="U313">
        <v>0.40899999999999997</v>
      </c>
      <c r="V313">
        <v>0.49199999999999999</v>
      </c>
      <c r="W313">
        <v>0.57599999999999996</v>
      </c>
      <c r="X313">
        <v>0.751</v>
      </c>
      <c r="Y313">
        <v>1.008</v>
      </c>
      <c r="Z313">
        <v>1.5009999999999999</v>
      </c>
      <c r="AA313">
        <v>2.173</v>
      </c>
      <c r="AB313">
        <v>2.7549999999999999</v>
      </c>
      <c r="AC313">
        <v>3.3769999999999998</v>
      </c>
      <c r="AD313">
        <v>4.0119999999999996</v>
      </c>
      <c r="AE313">
        <v>5.3259999999999996</v>
      </c>
      <c r="AF313">
        <v>7.5140000000000002</v>
      </c>
      <c r="AG313">
        <v>9.6950000000000003</v>
      </c>
      <c r="AH313">
        <v>13.093999999999999</v>
      </c>
      <c r="AI313">
        <v>15.776999999999999</v>
      </c>
      <c r="AJ313">
        <v>18.704999999999998</v>
      </c>
      <c r="AK313">
        <v>23.154</v>
      </c>
      <c r="AL313">
        <v>30.178999999999998</v>
      </c>
      <c r="AM313">
        <v>36.597999999999999</v>
      </c>
      <c r="AN313">
        <v>46.042000000000002</v>
      </c>
      <c r="AO313">
        <v>59.816000000000003</v>
      </c>
      <c r="AP313">
        <v>75.314999999999998</v>
      </c>
      <c r="AQ313">
        <v>93.415999999999997</v>
      </c>
      <c r="AR313">
        <v>113.34399999999999</v>
      </c>
      <c r="AS313">
        <v>134.07300000000001</v>
      </c>
      <c r="AT313">
        <v>154.44999999999999</v>
      </c>
      <c r="AU313">
        <v>183.196</v>
      </c>
      <c r="AV313">
        <v>211.77799999999999</v>
      </c>
      <c r="AW313">
        <v>239.273</v>
      </c>
      <c r="AX313">
        <v>266.67200000000003</v>
      </c>
      <c r="AY313">
        <v>2014</v>
      </c>
    </row>
    <row r="314" spans="1:51" x14ac:dyDescent="0.25">
      <c r="A314">
        <v>652</v>
      </c>
      <c r="B314" t="s">
        <v>490</v>
      </c>
      <c r="C314" t="s">
        <v>289</v>
      </c>
      <c r="D314" t="s">
        <v>491</v>
      </c>
      <c r="E314" t="s">
        <v>287</v>
      </c>
      <c r="F314" t="s">
        <v>290</v>
      </c>
      <c r="G314" t="s">
        <v>291</v>
      </c>
      <c r="H314" t="s">
        <v>283</v>
      </c>
      <c r="I314" t="s">
        <v>292</v>
      </c>
      <c r="J314">
        <v>25.956</v>
      </c>
      <c r="K314">
        <v>21.669</v>
      </c>
      <c r="L314">
        <v>36.688000000000002</v>
      </c>
      <c r="M314">
        <v>12.249000000000001</v>
      </c>
      <c r="N314">
        <v>8.0530000000000008</v>
      </c>
      <c r="O314">
        <v>8.0459999999999994</v>
      </c>
      <c r="P314">
        <v>6.74</v>
      </c>
      <c r="Q314">
        <v>6.7119999999999997</v>
      </c>
      <c r="R314">
        <v>7.2309999999999999</v>
      </c>
      <c r="S314">
        <v>7.4139999999999997</v>
      </c>
      <c r="T314">
        <v>8.8350000000000009</v>
      </c>
      <c r="U314">
        <v>11.118</v>
      </c>
      <c r="V314">
        <v>11.257</v>
      </c>
      <c r="W314">
        <v>8.8859999999999992</v>
      </c>
      <c r="X314">
        <v>7.859</v>
      </c>
      <c r="Y314">
        <v>8.4030000000000005</v>
      </c>
      <c r="Z314">
        <v>9.18</v>
      </c>
      <c r="AA314">
        <v>10.613</v>
      </c>
      <c r="AB314">
        <v>11.916</v>
      </c>
      <c r="AC314">
        <v>12.664999999999999</v>
      </c>
      <c r="AD314">
        <v>7.3620000000000001</v>
      </c>
      <c r="AE314">
        <v>7.4349999999999996</v>
      </c>
      <c r="AF314">
        <v>9.4819999999999993</v>
      </c>
      <c r="AG314">
        <v>11.186</v>
      </c>
      <c r="AH314">
        <v>14.557</v>
      </c>
      <c r="AI314">
        <v>17.408999999999999</v>
      </c>
      <c r="AJ314">
        <v>20.41</v>
      </c>
      <c r="AK314">
        <v>24.757999999999999</v>
      </c>
      <c r="AL314">
        <v>28.527999999999999</v>
      </c>
      <c r="AM314">
        <v>25.978000000000002</v>
      </c>
      <c r="AN314">
        <v>32.173999999999999</v>
      </c>
      <c r="AO314">
        <v>39.564999999999998</v>
      </c>
      <c r="AP314">
        <v>41.939</v>
      </c>
      <c r="AQ314">
        <v>47.805999999999997</v>
      </c>
      <c r="AR314">
        <v>38.616</v>
      </c>
      <c r="AS314">
        <v>37.679000000000002</v>
      </c>
      <c r="AT314">
        <v>42.295000000000002</v>
      </c>
      <c r="AU314">
        <v>46.920999999999999</v>
      </c>
      <c r="AV314">
        <v>51.232999999999997</v>
      </c>
      <c r="AW314">
        <v>54.993000000000002</v>
      </c>
      <c r="AX314">
        <v>58.287999999999997</v>
      </c>
      <c r="AY314">
        <v>2014</v>
      </c>
    </row>
    <row r="315" spans="1:51" x14ac:dyDescent="0.25">
      <c r="A315">
        <v>652</v>
      </c>
      <c r="B315" t="s">
        <v>490</v>
      </c>
      <c r="C315" t="s">
        <v>293</v>
      </c>
      <c r="D315" t="s">
        <v>491</v>
      </c>
      <c r="E315" t="s">
        <v>294</v>
      </c>
      <c r="F315" t="s">
        <v>295</v>
      </c>
      <c r="G315" t="s">
        <v>296</v>
      </c>
      <c r="I315" t="s">
        <v>297</v>
      </c>
      <c r="J315">
        <v>0.11600000000000001</v>
      </c>
      <c r="K315">
        <v>9.1999999999999998E-2</v>
      </c>
      <c r="L315">
        <v>0.16500000000000001</v>
      </c>
      <c r="M315">
        <v>0.183</v>
      </c>
      <c r="N315">
        <v>0.45300000000000001</v>
      </c>
      <c r="O315">
        <v>0.64600000000000002</v>
      </c>
      <c r="P315">
        <v>0.85099999999999998</v>
      </c>
      <c r="Q315">
        <v>1.379</v>
      </c>
      <c r="R315">
        <v>1.788</v>
      </c>
      <c r="S315">
        <v>2.339</v>
      </c>
      <c r="T315">
        <v>3.26</v>
      </c>
      <c r="U315">
        <v>4.4020000000000001</v>
      </c>
      <c r="V315">
        <v>5.0890000000000004</v>
      </c>
      <c r="W315">
        <v>5.6989999999999998</v>
      </c>
      <c r="X315">
        <v>7.1760000000000002</v>
      </c>
      <c r="Y315">
        <v>9.2530000000000001</v>
      </c>
      <c r="Z315">
        <v>13.189</v>
      </c>
      <c r="AA315">
        <v>18.143999999999998</v>
      </c>
      <c r="AB315">
        <v>21.878</v>
      </c>
      <c r="AC315">
        <v>25.62</v>
      </c>
      <c r="AD315">
        <v>29.212</v>
      </c>
      <c r="AE315">
        <v>37.110999999999997</v>
      </c>
      <c r="AF315">
        <v>50.030999999999999</v>
      </c>
      <c r="AG315">
        <v>61.417999999999999</v>
      </c>
      <c r="AH315">
        <v>78.757999999999996</v>
      </c>
      <c r="AI315">
        <v>89.509</v>
      </c>
      <c r="AJ315">
        <v>99.995000000000005</v>
      </c>
      <c r="AK315">
        <v>118.45699999999999</v>
      </c>
      <c r="AL315">
        <v>141.23500000000001</v>
      </c>
      <c r="AM315">
        <v>161.90899999999999</v>
      </c>
      <c r="AN315">
        <v>188.78399999999999</v>
      </c>
      <c r="AO315">
        <v>215.09399999999999</v>
      </c>
      <c r="AP315">
        <v>250.715</v>
      </c>
      <c r="AQ315">
        <v>289.77699999999999</v>
      </c>
      <c r="AR315">
        <v>338.12</v>
      </c>
      <c r="AS315">
        <v>386.45699999999999</v>
      </c>
      <c r="AT315">
        <v>421.22399999999999</v>
      </c>
      <c r="AU315">
        <v>456.572</v>
      </c>
      <c r="AV315">
        <v>491.72199999999998</v>
      </c>
      <c r="AW315">
        <v>528.67600000000004</v>
      </c>
      <c r="AX315">
        <v>568.55399999999997</v>
      </c>
      <c r="AY315">
        <v>2014</v>
      </c>
    </row>
    <row r="316" spans="1:51" x14ac:dyDescent="0.25">
      <c r="A316">
        <v>652</v>
      </c>
      <c r="B316" t="s">
        <v>490</v>
      </c>
      <c r="C316" t="s">
        <v>298</v>
      </c>
      <c r="D316" t="s">
        <v>491</v>
      </c>
      <c r="E316" t="s">
        <v>299</v>
      </c>
      <c r="F316" t="s">
        <v>300</v>
      </c>
      <c r="G316" t="s">
        <v>282</v>
      </c>
      <c r="H316" t="s">
        <v>283</v>
      </c>
      <c r="I316" t="s">
        <v>493</v>
      </c>
      <c r="J316">
        <v>1E-3</v>
      </c>
      <c r="K316">
        <v>1E-3</v>
      </c>
      <c r="L316">
        <v>1E-3</v>
      </c>
      <c r="M316">
        <v>2E-3</v>
      </c>
      <c r="N316">
        <v>3.0000000000000001E-3</v>
      </c>
      <c r="O316">
        <v>5.0000000000000001E-3</v>
      </c>
      <c r="P316">
        <v>0.01</v>
      </c>
      <c r="Q316">
        <v>1.4E-2</v>
      </c>
      <c r="R316">
        <v>0.02</v>
      </c>
      <c r="S316">
        <v>2.7E-2</v>
      </c>
      <c r="T316">
        <v>3.4000000000000002E-2</v>
      </c>
      <c r="U316">
        <v>4.5999999999999999E-2</v>
      </c>
      <c r="V316">
        <v>7.0999999999999994E-2</v>
      </c>
      <c r="W316">
        <v>0.114</v>
      </c>
      <c r="X316">
        <v>0.16300000000000001</v>
      </c>
      <c r="Y316">
        <v>0.24399999999999999</v>
      </c>
      <c r="Z316">
        <v>0.33800000000000002</v>
      </c>
      <c r="AA316">
        <v>0.41699999999999998</v>
      </c>
      <c r="AB316">
        <v>0.505</v>
      </c>
      <c r="AC316">
        <v>0.56799999999999995</v>
      </c>
      <c r="AD316">
        <v>0.80600000000000005</v>
      </c>
      <c r="AE316">
        <v>1.3069999999999999</v>
      </c>
      <c r="AF316">
        <v>1.286</v>
      </c>
      <c r="AG316">
        <v>1.9750000000000001</v>
      </c>
      <c r="AH316">
        <v>2.69</v>
      </c>
      <c r="AI316">
        <v>3.081</v>
      </c>
      <c r="AJ316">
        <v>4.0720000000000001</v>
      </c>
      <c r="AK316">
        <v>5.2990000000000004</v>
      </c>
      <c r="AL316">
        <v>7.3609999999999998</v>
      </c>
      <c r="AM316">
        <v>8.5820000000000007</v>
      </c>
      <c r="AN316">
        <v>12.007999999999999</v>
      </c>
      <c r="AO316">
        <v>15.826000000000001</v>
      </c>
      <c r="AP316">
        <v>23.11</v>
      </c>
      <c r="AQ316">
        <v>25.954999999999998</v>
      </c>
      <c r="AR316">
        <v>33.191000000000003</v>
      </c>
      <c r="AS316">
        <v>34.343000000000004</v>
      </c>
      <c r="AT316">
        <v>38.402000000000001</v>
      </c>
      <c r="AU316">
        <v>42.176000000000002</v>
      </c>
      <c r="AV316">
        <v>48.668999999999997</v>
      </c>
      <c r="AW316">
        <v>54.454999999999998</v>
      </c>
      <c r="AX316">
        <v>58.98</v>
      </c>
      <c r="AY316">
        <v>2014</v>
      </c>
    </row>
    <row r="317" spans="1:51" x14ac:dyDescent="0.25">
      <c r="A317">
        <v>174</v>
      </c>
      <c r="B317" t="s">
        <v>494</v>
      </c>
      <c r="C317" t="s">
        <v>279</v>
      </c>
      <c r="D317" t="s">
        <v>108</v>
      </c>
      <c r="E317" t="s">
        <v>280</v>
      </c>
      <c r="F317" t="s">
        <v>281</v>
      </c>
      <c r="G317" t="s">
        <v>282</v>
      </c>
      <c r="H317" t="s">
        <v>283</v>
      </c>
      <c r="I317" t="s">
        <v>495</v>
      </c>
      <c r="J317">
        <v>138.96299999999999</v>
      </c>
      <c r="K317">
        <v>136.804</v>
      </c>
      <c r="L317">
        <v>135.255</v>
      </c>
      <c r="M317">
        <v>133.79599999999999</v>
      </c>
      <c r="N317">
        <v>136.48599999999999</v>
      </c>
      <c r="O317">
        <v>139.911</v>
      </c>
      <c r="P317">
        <v>140.63499999999999</v>
      </c>
      <c r="Q317">
        <v>137.459</v>
      </c>
      <c r="R317">
        <v>143.35300000000001</v>
      </c>
      <c r="S317">
        <v>148.80000000000001</v>
      </c>
      <c r="T317">
        <v>148.80000000000001</v>
      </c>
      <c r="U317">
        <v>153.41300000000001</v>
      </c>
      <c r="V317">
        <v>154.48699999999999</v>
      </c>
      <c r="W317">
        <v>152.01499999999999</v>
      </c>
      <c r="X317">
        <v>155.05500000000001</v>
      </c>
      <c r="Y317">
        <v>158.31100000000001</v>
      </c>
      <c r="Z317">
        <v>162.989</v>
      </c>
      <c r="AA317">
        <v>170.262</v>
      </c>
      <c r="AB317">
        <v>177.17099999999999</v>
      </c>
      <c r="AC317">
        <v>182.61699999999999</v>
      </c>
      <c r="AD317">
        <v>189.86199999999999</v>
      </c>
      <c r="AE317">
        <v>196.95699999999999</v>
      </c>
      <c r="AF317">
        <v>203.18600000000001</v>
      </c>
      <c r="AG317">
        <v>216.673</v>
      </c>
      <c r="AH317">
        <v>227.404</v>
      </c>
      <c r="AI317">
        <v>229.43</v>
      </c>
      <c r="AJ317">
        <v>242.77199999999999</v>
      </c>
      <c r="AK317">
        <v>251.36</v>
      </c>
      <c r="AL317">
        <v>250.24299999999999</v>
      </c>
      <c r="AM317">
        <v>239.245</v>
      </c>
      <c r="AN317">
        <v>226.21</v>
      </c>
      <c r="AO317">
        <v>206.15899999999999</v>
      </c>
      <c r="AP317">
        <v>192.61</v>
      </c>
      <c r="AQ317">
        <v>185.108</v>
      </c>
      <c r="AR317">
        <v>186.541</v>
      </c>
      <c r="AS317">
        <v>182.31200000000001</v>
      </c>
      <c r="AT317">
        <v>179.94800000000001</v>
      </c>
      <c r="AU317">
        <v>184.80600000000001</v>
      </c>
      <c r="AV317">
        <v>190.58</v>
      </c>
      <c r="AW317">
        <v>195.959</v>
      </c>
      <c r="AX317">
        <v>200.70500000000001</v>
      </c>
      <c r="AY317">
        <v>2014</v>
      </c>
    </row>
    <row r="318" spans="1:51" x14ac:dyDescent="0.25">
      <c r="A318">
        <v>174</v>
      </c>
      <c r="B318" t="s">
        <v>494</v>
      </c>
      <c r="C318" t="s">
        <v>286</v>
      </c>
      <c r="D318" t="s">
        <v>108</v>
      </c>
      <c r="E318" t="s">
        <v>287</v>
      </c>
      <c r="F318" t="s">
        <v>288</v>
      </c>
      <c r="G318" t="s">
        <v>282</v>
      </c>
      <c r="H318" t="s">
        <v>283</v>
      </c>
      <c r="I318" t="s">
        <v>495</v>
      </c>
      <c r="J318">
        <v>7.1360000000000001</v>
      </c>
      <c r="K318">
        <v>8.5429999999999993</v>
      </c>
      <c r="L318">
        <v>10.744999999999999</v>
      </c>
      <c r="M318">
        <v>12.82</v>
      </c>
      <c r="N318">
        <v>15.944000000000001</v>
      </c>
      <c r="O318">
        <v>19.452999999999999</v>
      </c>
      <c r="P318">
        <v>23.245999999999999</v>
      </c>
      <c r="Q318">
        <v>26.187000000000001</v>
      </c>
      <c r="R318">
        <v>31.864999999999998</v>
      </c>
      <c r="S318">
        <v>37.871000000000002</v>
      </c>
      <c r="T318">
        <v>45.707000000000001</v>
      </c>
      <c r="U318">
        <v>56.448</v>
      </c>
      <c r="V318">
        <v>65.256</v>
      </c>
      <c r="W318">
        <v>73.477000000000004</v>
      </c>
      <c r="X318">
        <v>83.326999999999998</v>
      </c>
      <c r="Y318">
        <v>93.406999999999996</v>
      </c>
      <c r="Z318">
        <v>103.529</v>
      </c>
      <c r="AA318">
        <v>114.83499999999999</v>
      </c>
      <c r="AB318">
        <v>125.688</v>
      </c>
      <c r="AC318">
        <v>134.21799999999999</v>
      </c>
      <c r="AD318">
        <v>141.732</v>
      </c>
      <c r="AE318">
        <v>151.98699999999999</v>
      </c>
      <c r="AF318">
        <v>162.274</v>
      </c>
      <c r="AG318">
        <v>178.571</v>
      </c>
      <c r="AH318">
        <v>193.01300000000001</v>
      </c>
      <c r="AI318">
        <v>199.15299999999999</v>
      </c>
      <c r="AJ318">
        <v>217.83099999999999</v>
      </c>
      <c r="AK318">
        <v>232.83099999999999</v>
      </c>
      <c r="AL318">
        <v>242.096</v>
      </c>
      <c r="AM318">
        <v>237.43100000000001</v>
      </c>
      <c r="AN318">
        <v>226.21</v>
      </c>
      <c r="AO318">
        <v>207.75200000000001</v>
      </c>
      <c r="AP318">
        <v>194.20400000000001</v>
      </c>
      <c r="AQ318">
        <v>182.43799999999999</v>
      </c>
      <c r="AR318">
        <v>179.08099999999999</v>
      </c>
      <c r="AS318">
        <v>173.452</v>
      </c>
      <c r="AT318">
        <v>172.214</v>
      </c>
      <c r="AU318">
        <v>178.13</v>
      </c>
      <c r="AV318">
        <v>185.58199999999999</v>
      </c>
      <c r="AW318">
        <v>193.22300000000001</v>
      </c>
      <c r="AX318">
        <v>200.87100000000001</v>
      </c>
      <c r="AY318">
        <v>2014</v>
      </c>
    </row>
    <row r="319" spans="1:51" x14ac:dyDescent="0.25">
      <c r="A319">
        <v>174</v>
      </c>
      <c r="B319" t="s">
        <v>494</v>
      </c>
      <c r="C319" t="s">
        <v>289</v>
      </c>
      <c r="D319" t="s">
        <v>108</v>
      </c>
      <c r="E319" t="s">
        <v>287</v>
      </c>
      <c r="F319" t="s">
        <v>290</v>
      </c>
      <c r="G319" t="s">
        <v>291</v>
      </c>
      <c r="H319" t="s">
        <v>283</v>
      </c>
      <c r="I319" t="s">
        <v>292</v>
      </c>
      <c r="J319">
        <v>56.779000000000003</v>
      </c>
      <c r="K319">
        <v>52.451999999999998</v>
      </c>
      <c r="L319">
        <v>55.002000000000002</v>
      </c>
      <c r="M319">
        <v>49.816000000000003</v>
      </c>
      <c r="N319">
        <v>48.515000000000001</v>
      </c>
      <c r="O319">
        <v>48.140999999999998</v>
      </c>
      <c r="P319">
        <v>56.643000000000001</v>
      </c>
      <c r="Q319">
        <v>65.903000000000006</v>
      </c>
      <c r="R319">
        <v>76.747</v>
      </c>
      <c r="S319">
        <v>79.534999999999997</v>
      </c>
      <c r="T319">
        <v>98.340999999999994</v>
      </c>
      <c r="U319">
        <v>106.032</v>
      </c>
      <c r="V319">
        <v>117.053</v>
      </c>
      <c r="W319">
        <v>109.41200000000001</v>
      </c>
      <c r="X319">
        <v>116.96899999999999</v>
      </c>
      <c r="Y319">
        <v>137.47200000000001</v>
      </c>
      <c r="Z319">
        <v>146.571</v>
      </c>
      <c r="AA319">
        <v>143.49700000000001</v>
      </c>
      <c r="AB319">
        <v>145.13499999999999</v>
      </c>
      <c r="AC319">
        <v>149.517</v>
      </c>
      <c r="AD319">
        <v>132.65100000000001</v>
      </c>
      <c r="AE319">
        <v>136.12299999999999</v>
      </c>
      <c r="AF319">
        <v>153.255</v>
      </c>
      <c r="AG319">
        <v>201.93299999999999</v>
      </c>
      <c r="AH319">
        <v>239.97399999999999</v>
      </c>
      <c r="AI319">
        <v>248.095</v>
      </c>
      <c r="AJ319">
        <v>273.51900000000001</v>
      </c>
      <c r="AK319">
        <v>319.12700000000001</v>
      </c>
      <c r="AL319">
        <v>356.29599999999999</v>
      </c>
      <c r="AM319">
        <v>330.69299999999998</v>
      </c>
      <c r="AN319">
        <v>300.15600000000001</v>
      </c>
      <c r="AO319">
        <v>289.06799999999998</v>
      </c>
      <c r="AP319">
        <v>249.66300000000001</v>
      </c>
      <c r="AQ319">
        <v>242.30600000000001</v>
      </c>
      <c r="AR319">
        <v>237.97</v>
      </c>
      <c r="AS319">
        <v>192.98</v>
      </c>
      <c r="AT319">
        <v>192.51499999999999</v>
      </c>
      <c r="AU319">
        <v>201.33600000000001</v>
      </c>
      <c r="AV319">
        <v>211.9</v>
      </c>
      <c r="AW319">
        <v>222.36099999999999</v>
      </c>
      <c r="AX319">
        <v>234.57900000000001</v>
      </c>
      <c r="AY319">
        <v>2014</v>
      </c>
    </row>
    <row r="320" spans="1:51" x14ac:dyDescent="0.25">
      <c r="A320">
        <v>174</v>
      </c>
      <c r="B320" t="s">
        <v>494</v>
      </c>
      <c r="C320" t="s">
        <v>293</v>
      </c>
      <c r="D320" t="s">
        <v>108</v>
      </c>
      <c r="E320" t="s">
        <v>294</v>
      </c>
      <c r="F320" t="s">
        <v>295</v>
      </c>
      <c r="G320" t="s">
        <v>296</v>
      </c>
      <c r="I320" t="s">
        <v>297</v>
      </c>
      <c r="J320">
        <v>5.1349999999999998</v>
      </c>
      <c r="K320">
        <v>6.2450000000000001</v>
      </c>
      <c r="L320">
        <v>7.944</v>
      </c>
      <c r="M320">
        <v>9.5809999999999995</v>
      </c>
      <c r="N320">
        <v>11.680999999999999</v>
      </c>
      <c r="O320">
        <v>13.904</v>
      </c>
      <c r="P320">
        <v>16.529</v>
      </c>
      <c r="Q320">
        <v>19.050999999999998</v>
      </c>
      <c r="R320">
        <v>22.228000000000002</v>
      </c>
      <c r="S320">
        <v>25.451000000000001</v>
      </c>
      <c r="T320">
        <v>30.716999999999999</v>
      </c>
      <c r="U320">
        <v>36.795000000000002</v>
      </c>
      <c r="V320">
        <v>42.24</v>
      </c>
      <c r="W320">
        <v>48.335000000000001</v>
      </c>
      <c r="X320">
        <v>53.74</v>
      </c>
      <c r="Y320">
        <v>59.002000000000002</v>
      </c>
      <c r="Z320">
        <v>63.518999999999998</v>
      </c>
      <c r="AA320">
        <v>67.445999999999998</v>
      </c>
      <c r="AB320">
        <v>70.941000000000003</v>
      </c>
      <c r="AC320">
        <v>73.497</v>
      </c>
      <c r="AD320">
        <v>74.650000000000006</v>
      </c>
      <c r="AE320">
        <v>77.168000000000006</v>
      </c>
      <c r="AF320">
        <v>79.864999999999995</v>
      </c>
      <c r="AG320">
        <v>82.415000000000006</v>
      </c>
      <c r="AH320">
        <v>84.876999999999995</v>
      </c>
      <c r="AI320">
        <v>86.802999999999997</v>
      </c>
      <c r="AJ320">
        <v>89.727000000000004</v>
      </c>
      <c r="AK320">
        <v>92.629000000000005</v>
      </c>
      <c r="AL320">
        <v>96.744</v>
      </c>
      <c r="AM320">
        <v>99.242000000000004</v>
      </c>
      <c r="AN320">
        <v>100</v>
      </c>
      <c r="AO320">
        <v>100.773</v>
      </c>
      <c r="AP320">
        <v>100.827</v>
      </c>
      <c r="AQ320">
        <v>98.558000000000007</v>
      </c>
      <c r="AR320">
        <v>96.001000000000005</v>
      </c>
      <c r="AS320">
        <v>95.141000000000005</v>
      </c>
      <c r="AT320">
        <v>95.701999999999998</v>
      </c>
      <c r="AU320">
        <v>96.387</v>
      </c>
      <c r="AV320">
        <v>97.376999999999995</v>
      </c>
      <c r="AW320">
        <v>98.602999999999994</v>
      </c>
      <c r="AX320">
        <v>100.08199999999999</v>
      </c>
      <c r="AY320">
        <v>2014</v>
      </c>
    </row>
    <row r="321" spans="1:51" x14ac:dyDescent="0.25">
      <c r="A321">
        <v>174</v>
      </c>
      <c r="B321" t="s">
        <v>494</v>
      </c>
      <c r="C321" t="s">
        <v>298</v>
      </c>
      <c r="D321" t="s">
        <v>108</v>
      </c>
      <c r="E321" t="s">
        <v>299</v>
      </c>
      <c r="F321" t="s">
        <v>300</v>
      </c>
      <c r="G321" t="s">
        <v>282</v>
      </c>
      <c r="H321" t="s">
        <v>283</v>
      </c>
      <c r="I321" t="s">
        <v>496</v>
      </c>
      <c r="J321">
        <v>1.85</v>
      </c>
      <c r="K321">
        <v>2.5369999999999999</v>
      </c>
      <c r="L321">
        <v>3.2610000000000001</v>
      </c>
      <c r="M321">
        <v>4.0999999999999996</v>
      </c>
      <c r="N321">
        <v>5.3869999999999996</v>
      </c>
      <c r="O321">
        <v>7.0430000000000001</v>
      </c>
      <c r="P321">
        <v>8.3010000000000002</v>
      </c>
      <c r="Q321">
        <v>9.4239999999999995</v>
      </c>
      <c r="R321">
        <v>11.396000000000001</v>
      </c>
      <c r="S321">
        <v>13.930999999999999</v>
      </c>
      <c r="T321">
        <v>18.609000000000002</v>
      </c>
      <c r="U321">
        <v>21.007000000000001</v>
      </c>
      <c r="V321">
        <v>25.466000000000001</v>
      </c>
      <c r="W321">
        <v>30.01</v>
      </c>
      <c r="X321">
        <v>32.533999999999999</v>
      </c>
      <c r="Y321">
        <v>46.073</v>
      </c>
      <c r="Z321">
        <v>48.369</v>
      </c>
      <c r="AA321">
        <v>53.81</v>
      </c>
      <c r="AB321">
        <v>54.070999999999998</v>
      </c>
      <c r="AC321">
        <v>58.68</v>
      </c>
      <c r="AD321">
        <v>64.474000000000004</v>
      </c>
      <c r="AE321">
        <v>66.457999999999998</v>
      </c>
      <c r="AF321">
        <v>70.691000000000003</v>
      </c>
      <c r="AG321">
        <v>77.144999999999996</v>
      </c>
      <c r="AH321">
        <v>84.343000000000004</v>
      </c>
      <c r="AI321">
        <v>86.103999999999999</v>
      </c>
      <c r="AJ321">
        <v>97.715999999999994</v>
      </c>
      <c r="AK321">
        <v>109.288</v>
      </c>
      <c r="AL321">
        <v>122.395</v>
      </c>
      <c r="AM321">
        <v>128.30000000000001</v>
      </c>
      <c r="AN321">
        <v>118.03100000000001</v>
      </c>
      <c r="AO321">
        <v>112.212</v>
      </c>
      <c r="AP321">
        <v>99.911000000000001</v>
      </c>
      <c r="AQ321">
        <v>88.748999999999995</v>
      </c>
      <c r="AR321">
        <v>88.370999999999995</v>
      </c>
      <c r="AS321">
        <v>86.819000000000003</v>
      </c>
      <c r="AT321">
        <v>82.299000000000007</v>
      </c>
      <c r="AU321">
        <v>81.983999999999995</v>
      </c>
      <c r="AV321">
        <v>80.587999999999994</v>
      </c>
      <c r="AW321">
        <v>81.057000000000002</v>
      </c>
      <c r="AX321">
        <v>83.311999999999998</v>
      </c>
      <c r="AY321">
        <v>2014</v>
      </c>
    </row>
    <row r="322" spans="1:51" x14ac:dyDescent="0.25">
      <c r="A322">
        <v>328</v>
      </c>
      <c r="B322" t="s">
        <v>497</v>
      </c>
      <c r="C322" t="s">
        <v>279</v>
      </c>
      <c r="D322" t="s">
        <v>109</v>
      </c>
      <c r="E322" t="s">
        <v>280</v>
      </c>
      <c r="F322" t="s">
        <v>281</v>
      </c>
      <c r="G322" t="s">
        <v>282</v>
      </c>
      <c r="H322" t="s">
        <v>283</v>
      </c>
      <c r="I322" t="s">
        <v>498</v>
      </c>
      <c r="J322">
        <v>0.61899999999999999</v>
      </c>
      <c r="K322">
        <v>0.624</v>
      </c>
      <c r="L322">
        <v>0.65200000000000002</v>
      </c>
      <c r="M322">
        <v>0.67</v>
      </c>
      <c r="N322">
        <v>0.70299999999999996</v>
      </c>
      <c r="O322">
        <v>0.75700000000000001</v>
      </c>
      <c r="P322">
        <v>0.82099999999999995</v>
      </c>
      <c r="Q322">
        <v>0.91</v>
      </c>
      <c r="R322">
        <v>0.93899999999999995</v>
      </c>
      <c r="S322">
        <v>0.996</v>
      </c>
      <c r="T322">
        <v>1.0469999999999999</v>
      </c>
      <c r="U322">
        <v>1.0740000000000001</v>
      </c>
      <c r="V322">
        <v>1.0740000000000001</v>
      </c>
      <c r="W322">
        <v>1.0489999999999999</v>
      </c>
      <c r="X322">
        <v>1.08</v>
      </c>
      <c r="Y322">
        <v>1.1100000000000001</v>
      </c>
      <c r="Z322">
        <v>1.161</v>
      </c>
      <c r="AA322">
        <v>1.2210000000000001</v>
      </c>
      <c r="AB322">
        <v>1.377</v>
      </c>
      <c r="AC322">
        <v>1.482</v>
      </c>
      <c r="AD322">
        <v>1.5740000000000001</v>
      </c>
      <c r="AE322">
        <v>1.542</v>
      </c>
      <c r="AF322">
        <v>1.595</v>
      </c>
      <c r="AG322">
        <v>1.746</v>
      </c>
      <c r="AH322">
        <v>1.7350000000000001</v>
      </c>
      <c r="AI322">
        <v>1.9650000000000001</v>
      </c>
      <c r="AJ322">
        <v>1.8859999999999999</v>
      </c>
      <c r="AK322">
        <v>2.0019999999999998</v>
      </c>
      <c r="AL322">
        <v>2.0209999999999999</v>
      </c>
      <c r="AM322">
        <v>1.887</v>
      </c>
      <c r="AN322">
        <v>1.8779999999999999</v>
      </c>
      <c r="AO322">
        <v>1.8919999999999999</v>
      </c>
      <c r="AP322">
        <v>1.87</v>
      </c>
      <c r="AQ322">
        <v>1.9139999999999999</v>
      </c>
      <c r="AR322">
        <v>2.0230000000000001</v>
      </c>
      <c r="AS322">
        <v>2.0920000000000001</v>
      </c>
      <c r="AT322">
        <v>2.1429999999999998</v>
      </c>
      <c r="AU322">
        <v>2.1949999999999998</v>
      </c>
      <c r="AV322">
        <v>2.2490000000000001</v>
      </c>
      <c r="AW322">
        <v>2.306</v>
      </c>
      <c r="AX322">
        <v>2.363</v>
      </c>
      <c r="AY322">
        <v>2014</v>
      </c>
    </row>
    <row r="323" spans="1:51" x14ac:dyDescent="0.25">
      <c r="A323">
        <v>328</v>
      </c>
      <c r="B323" t="s">
        <v>497</v>
      </c>
      <c r="C323" t="s">
        <v>286</v>
      </c>
      <c r="D323" t="s">
        <v>109</v>
      </c>
      <c r="E323" t="s">
        <v>287</v>
      </c>
      <c r="F323" t="s">
        <v>288</v>
      </c>
      <c r="G323" t="s">
        <v>282</v>
      </c>
      <c r="H323" t="s">
        <v>283</v>
      </c>
      <c r="I323" t="s">
        <v>498</v>
      </c>
      <c r="J323">
        <v>0.27300000000000002</v>
      </c>
      <c r="K323">
        <v>0.28699999999999998</v>
      </c>
      <c r="L323">
        <v>0.311</v>
      </c>
      <c r="M323">
        <v>0.33100000000000002</v>
      </c>
      <c r="N323">
        <v>0.36</v>
      </c>
      <c r="O323">
        <v>0.41899999999999998</v>
      </c>
      <c r="P323">
        <v>0.47099999999999997</v>
      </c>
      <c r="Q323">
        <v>0.54700000000000004</v>
      </c>
      <c r="R323">
        <v>0.60299999999999998</v>
      </c>
      <c r="S323">
        <v>0.69599999999999995</v>
      </c>
      <c r="T323">
        <v>0.72299999999999998</v>
      </c>
      <c r="U323">
        <v>0.79</v>
      </c>
      <c r="V323">
        <v>0.82</v>
      </c>
      <c r="W323">
        <v>0.81699999999999995</v>
      </c>
      <c r="X323">
        <v>0.86</v>
      </c>
      <c r="Y323">
        <v>0.90600000000000003</v>
      </c>
      <c r="Z323">
        <v>0.97499999999999998</v>
      </c>
      <c r="AA323">
        <v>1.0489999999999999</v>
      </c>
      <c r="AB323">
        <v>1.2010000000000001</v>
      </c>
      <c r="AC323">
        <v>1.3</v>
      </c>
      <c r="AD323">
        <v>1.4039999999999999</v>
      </c>
      <c r="AE323">
        <v>1.405</v>
      </c>
      <c r="AF323">
        <v>1.4590000000000001</v>
      </c>
      <c r="AG323">
        <v>1.5960000000000001</v>
      </c>
      <c r="AH323">
        <v>1.6180000000000001</v>
      </c>
      <c r="AI323">
        <v>1.877</v>
      </c>
      <c r="AJ323">
        <v>1.8859999999999999</v>
      </c>
      <c r="AK323">
        <v>2.048</v>
      </c>
      <c r="AL323">
        <v>2.23</v>
      </c>
      <c r="AM323">
        <v>2.0819999999999999</v>
      </c>
      <c r="AN323">
        <v>2.0819999999999999</v>
      </c>
      <c r="AO323">
        <v>2.1019999999999999</v>
      </c>
      <c r="AP323">
        <v>2.16</v>
      </c>
      <c r="AQ323">
        <v>2.2749999999999999</v>
      </c>
      <c r="AR323">
        <v>2.4620000000000002</v>
      </c>
      <c r="AS323">
        <v>2.5840000000000001</v>
      </c>
      <c r="AT323">
        <v>2.7130000000000001</v>
      </c>
      <c r="AU323">
        <v>2.8479999999999999</v>
      </c>
      <c r="AV323">
        <v>2.992</v>
      </c>
      <c r="AW323">
        <v>3.1440000000000001</v>
      </c>
      <c r="AX323">
        <v>3.3029999999999999</v>
      </c>
      <c r="AY323">
        <v>2014</v>
      </c>
    </row>
    <row r="324" spans="1:51" x14ac:dyDescent="0.25">
      <c r="A324">
        <v>328</v>
      </c>
      <c r="B324" t="s">
        <v>497</v>
      </c>
      <c r="C324" t="s">
        <v>289</v>
      </c>
      <c r="D324" t="s">
        <v>109</v>
      </c>
      <c r="E324" t="s">
        <v>287</v>
      </c>
      <c r="F324" t="s">
        <v>290</v>
      </c>
      <c r="G324" t="s">
        <v>291</v>
      </c>
      <c r="H324" t="s">
        <v>283</v>
      </c>
      <c r="I324" t="s">
        <v>292</v>
      </c>
      <c r="J324">
        <v>0.10100000000000001</v>
      </c>
      <c r="K324">
        <v>0.106</v>
      </c>
      <c r="L324">
        <v>0.115</v>
      </c>
      <c r="M324">
        <v>0.123</v>
      </c>
      <c r="N324">
        <v>0.13300000000000001</v>
      </c>
      <c r="O324">
        <v>0.155</v>
      </c>
      <c r="P324">
        <v>0.17399999999999999</v>
      </c>
      <c r="Q324">
        <v>0.20200000000000001</v>
      </c>
      <c r="R324">
        <v>0.223</v>
      </c>
      <c r="S324">
        <v>0.25800000000000001</v>
      </c>
      <c r="T324">
        <v>0.26800000000000002</v>
      </c>
      <c r="U324">
        <v>0.29199999999999998</v>
      </c>
      <c r="V324">
        <v>0.30399999999999999</v>
      </c>
      <c r="W324">
        <v>0.30299999999999999</v>
      </c>
      <c r="X324">
        <v>0.318</v>
      </c>
      <c r="Y324">
        <v>0.33500000000000002</v>
      </c>
      <c r="Z324">
        <v>0.36099999999999999</v>
      </c>
      <c r="AA324">
        <v>0.38900000000000001</v>
      </c>
      <c r="AB324">
        <v>0.44500000000000001</v>
      </c>
      <c r="AC324">
        <v>0.48199999999999998</v>
      </c>
      <c r="AD324">
        <v>0.52</v>
      </c>
      <c r="AE324">
        <v>0.52</v>
      </c>
      <c r="AF324">
        <v>0.54</v>
      </c>
      <c r="AG324">
        <v>0.59099999999999997</v>
      </c>
      <c r="AH324">
        <v>0.59899999999999998</v>
      </c>
      <c r="AI324">
        <v>0.69499999999999995</v>
      </c>
      <c r="AJ324">
        <v>0.69899999999999995</v>
      </c>
      <c r="AK324">
        <v>0.75900000000000001</v>
      </c>
      <c r="AL324">
        <v>0.82599999999999996</v>
      </c>
      <c r="AM324">
        <v>0.77100000000000002</v>
      </c>
      <c r="AN324">
        <v>0.77100000000000002</v>
      </c>
      <c r="AO324">
        <v>0.77900000000000003</v>
      </c>
      <c r="AP324">
        <v>0.8</v>
      </c>
      <c r="AQ324">
        <v>0.84199999999999997</v>
      </c>
      <c r="AR324">
        <v>0.91200000000000003</v>
      </c>
      <c r="AS324">
        <v>0.95699999999999996</v>
      </c>
      <c r="AT324">
        <v>1.0049999999999999</v>
      </c>
      <c r="AU324">
        <v>1.0549999999999999</v>
      </c>
      <c r="AV324">
        <v>1.1080000000000001</v>
      </c>
      <c r="AW324">
        <v>1.1639999999999999</v>
      </c>
      <c r="AX324">
        <v>1.2230000000000001</v>
      </c>
      <c r="AY324">
        <v>2014</v>
      </c>
    </row>
    <row r="325" spans="1:51" x14ac:dyDescent="0.25">
      <c r="A325">
        <v>328</v>
      </c>
      <c r="B325" t="s">
        <v>497</v>
      </c>
      <c r="C325" t="s">
        <v>293</v>
      </c>
      <c r="D325" t="s">
        <v>109</v>
      </c>
      <c r="E325" t="s">
        <v>294</v>
      </c>
      <c r="F325" t="s">
        <v>295</v>
      </c>
      <c r="G325" t="s">
        <v>296</v>
      </c>
      <c r="I325" t="s">
        <v>297</v>
      </c>
      <c r="J325">
        <v>44.177</v>
      </c>
      <c r="K325">
        <v>46.030999999999999</v>
      </c>
      <c r="L325">
        <v>47.704999999999998</v>
      </c>
      <c r="M325">
        <v>49.389000000000003</v>
      </c>
      <c r="N325">
        <v>51.225000000000001</v>
      </c>
      <c r="O325">
        <v>55.390999999999998</v>
      </c>
      <c r="P325">
        <v>57.305</v>
      </c>
      <c r="Q325">
        <v>60.075000000000003</v>
      </c>
      <c r="R325">
        <v>64.227000000000004</v>
      </c>
      <c r="S325">
        <v>69.950999999999993</v>
      </c>
      <c r="T325">
        <v>68.986999999999995</v>
      </c>
      <c r="U325">
        <v>73.495999999999995</v>
      </c>
      <c r="V325">
        <v>76.347999999999999</v>
      </c>
      <c r="W325">
        <v>77.917000000000002</v>
      </c>
      <c r="X325">
        <v>79.563999999999993</v>
      </c>
      <c r="Y325">
        <v>81.603999999999999</v>
      </c>
      <c r="Z325">
        <v>83.983999999999995</v>
      </c>
      <c r="AA325">
        <v>85.975999999999999</v>
      </c>
      <c r="AB325">
        <v>87.216999999999999</v>
      </c>
      <c r="AC325">
        <v>87.745000000000005</v>
      </c>
      <c r="AD325">
        <v>89.212999999999994</v>
      </c>
      <c r="AE325">
        <v>91.126000000000005</v>
      </c>
      <c r="AF325">
        <v>91.465000000000003</v>
      </c>
      <c r="AG325">
        <v>91.394000000000005</v>
      </c>
      <c r="AH325">
        <v>93.251000000000005</v>
      </c>
      <c r="AI325">
        <v>95.55</v>
      </c>
      <c r="AJ325">
        <v>100</v>
      </c>
      <c r="AK325">
        <v>102.319</v>
      </c>
      <c r="AL325">
        <v>110.349</v>
      </c>
      <c r="AM325">
        <v>110.33799999999999</v>
      </c>
      <c r="AN325">
        <v>110.86799999999999</v>
      </c>
      <c r="AO325">
        <v>111.11499999999999</v>
      </c>
      <c r="AP325">
        <v>115.48</v>
      </c>
      <c r="AQ325">
        <v>118.84699999999999</v>
      </c>
      <c r="AR325">
        <v>121.694</v>
      </c>
      <c r="AS325">
        <v>123.52</v>
      </c>
      <c r="AT325">
        <v>126.608</v>
      </c>
      <c r="AU325">
        <v>129.773</v>
      </c>
      <c r="AV325">
        <v>133.017</v>
      </c>
      <c r="AW325">
        <v>136.34299999999999</v>
      </c>
      <c r="AX325">
        <v>139.751</v>
      </c>
      <c r="AY325">
        <v>2014</v>
      </c>
    </row>
    <row r="326" spans="1:51" x14ac:dyDescent="0.25">
      <c r="A326">
        <v>328</v>
      </c>
      <c r="B326" t="s">
        <v>497</v>
      </c>
      <c r="C326" t="s">
        <v>298</v>
      </c>
      <c r="D326" t="s">
        <v>109</v>
      </c>
      <c r="E326" t="s">
        <v>299</v>
      </c>
      <c r="F326" t="s">
        <v>300</v>
      </c>
      <c r="G326" t="s">
        <v>282</v>
      </c>
      <c r="H326" t="s">
        <v>283</v>
      </c>
      <c r="I326" t="s">
        <v>499</v>
      </c>
      <c r="J326" t="s">
        <v>285</v>
      </c>
      <c r="K326" t="s">
        <v>285</v>
      </c>
      <c r="L326" t="s">
        <v>285</v>
      </c>
      <c r="M326" t="s">
        <v>285</v>
      </c>
      <c r="N326" t="s">
        <v>285</v>
      </c>
      <c r="O326" t="s">
        <v>285</v>
      </c>
      <c r="P326" t="s">
        <v>285</v>
      </c>
      <c r="Q326" t="s">
        <v>285</v>
      </c>
      <c r="R326" t="s">
        <v>285</v>
      </c>
      <c r="S326" t="s">
        <v>285</v>
      </c>
      <c r="T326">
        <v>0.218</v>
      </c>
      <c r="U326">
        <v>0.218</v>
      </c>
      <c r="V326">
        <v>0.183</v>
      </c>
      <c r="W326">
        <v>0.193</v>
      </c>
      <c r="X326">
        <v>0.217</v>
      </c>
      <c r="Y326">
        <v>0.215</v>
      </c>
      <c r="Z326">
        <v>0.26</v>
      </c>
      <c r="AA326">
        <v>0.28100000000000003</v>
      </c>
      <c r="AB326">
        <v>0.30499999999999999</v>
      </c>
      <c r="AC326">
        <v>0.32300000000000001</v>
      </c>
      <c r="AD326">
        <v>0.36599999999999999</v>
      </c>
      <c r="AE326">
        <v>0.42099999999999999</v>
      </c>
      <c r="AF326">
        <v>0.53</v>
      </c>
      <c r="AG326">
        <v>0.47099999999999997</v>
      </c>
      <c r="AH326">
        <v>0.40699999999999997</v>
      </c>
      <c r="AI326">
        <v>0.50900000000000001</v>
      </c>
      <c r="AJ326">
        <v>0.61799999999999999</v>
      </c>
      <c r="AK326">
        <v>0.57599999999999996</v>
      </c>
      <c r="AL326">
        <v>0.63200000000000001</v>
      </c>
      <c r="AM326">
        <v>0.58299999999999996</v>
      </c>
      <c r="AN326">
        <v>0.58799999999999997</v>
      </c>
      <c r="AO326">
        <v>0.60499999999999998</v>
      </c>
      <c r="AP326">
        <v>0.57599999999999996</v>
      </c>
      <c r="AQ326">
        <v>0.64</v>
      </c>
      <c r="AR326">
        <v>0.71799999999999997</v>
      </c>
      <c r="AS326">
        <v>0.65</v>
      </c>
      <c r="AT326">
        <v>0.61899999999999999</v>
      </c>
      <c r="AU326">
        <v>0.66800000000000004</v>
      </c>
      <c r="AV326">
        <v>0.68799999999999994</v>
      </c>
      <c r="AW326">
        <v>0.72</v>
      </c>
      <c r="AX326">
        <v>0.75</v>
      </c>
      <c r="AY326">
        <v>2014</v>
      </c>
    </row>
    <row r="327" spans="1:51" x14ac:dyDescent="0.25">
      <c r="A327">
        <v>258</v>
      </c>
      <c r="B327" t="s">
        <v>500</v>
      </c>
      <c r="C327" t="s">
        <v>279</v>
      </c>
      <c r="D327" t="s">
        <v>110</v>
      </c>
      <c r="E327" t="s">
        <v>280</v>
      </c>
      <c r="F327" t="s">
        <v>281</v>
      </c>
      <c r="G327" t="s">
        <v>282</v>
      </c>
      <c r="H327" t="s">
        <v>283</v>
      </c>
      <c r="I327" t="s">
        <v>501</v>
      </c>
      <c r="J327">
        <v>91.831000000000003</v>
      </c>
      <c r="K327">
        <v>92.423000000000002</v>
      </c>
      <c r="L327">
        <v>89.149000000000001</v>
      </c>
      <c r="M327">
        <v>86.896000000000001</v>
      </c>
      <c r="N327">
        <v>87.34</v>
      </c>
      <c r="O327">
        <v>86.816000000000003</v>
      </c>
      <c r="P327">
        <v>86.902000000000001</v>
      </c>
      <c r="Q327">
        <v>90.012</v>
      </c>
      <c r="R327">
        <v>93.515000000000001</v>
      </c>
      <c r="S327">
        <v>97.203000000000003</v>
      </c>
      <c r="T327">
        <v>100.217</v>
      </c>
      <c r="U327">
        <v>103.224</v>
      </c>
      <c r="V327">
        <v>107.97199999999999</v>
      </c>
      <c r="W327">
        <v>111.643</v>
      </c>
      <c r="X327">
        <v>115.551</v>
      </c>
      <c r="Y327">
        <v>120.63500000000001</v>
      </c>
      <c r="Z327">
        <v>124.01300000000001</v>
      </c>
      <c r="AA327">
        <v>129.09700000000001</v>
      </c>
      <c r="AB327">
        <v>135.036</v>
      </c>
      <c r="AC327">
        <v>140.03200000000001</v>
      </c>
      <c r="AD327">
        <v>143.53299999999999</v>
      </c>
      <c r="AE327">
        <v>146.97800000000001</v>
      </c>
      <c r="AF327">
        <v>152.661</v>
      </c>
      <c r="AG327">
        <v>156.524</v>
      </c>
      <c r="AH327">
        <v>161.458</v>
      </c>
      <c r="AI327">
        <v>166.72200000000001</v>
      </c>
      <c r="AJ327">
        <v>175.691</v>
      </c>
      <c r="AK327">
        <v>186.767</v>
      </c>
      <c r="AL327">
        <v>192.89500000000001</v>
      </c>
      <c r="AM327">
        <v>193.91</v>
      </c>
      <c r="AN327">
        <v>199.47399999999999</v>
      </c>
      <c r="AO327">
        <v>207.77600000000001</v>
      </c>
      <c r="AP327">
        <v>213.947</v>
      </c>
      <c r="AQ327">
        <v>221.858</v>
      </c>
      <c r="AR327">
        <v>231.268</v>
      </c>
      <c r="AS327">
        <v>240.05600000000001</v>
      </c>
      <c r="AT327">
        <v>248.93799999999999</v>
      </c>
      <c r="AU327">
        <v>257.89999999999998</v>
      </c>
      <c r="AV327">
        <v>266.92599999999999</v>
      </c>
      <c r="AW327">
        <v>276.26900000000001</v>
      </c>
      <c r="AX327">
        <v>285.93799999999999</v>
      </c>
      <c r="AY327">
        <v>2014</v>
      </c>
    </row>
    <row r="328" spans="1:51" x14ac:dyDescent="0.25">
      <c r="A328">
        <v>258</v>
      </c>
      <c r="B328" t="s">
        <v>500</v>
      </c>
      <c r="C328" t="s">
        <v>286</v>
      </c>
      <c r="D328" t="s">
        <v>110</v>
      </c>
      <c r="E328" t="s">
        <v>287</v>
      </c>
      <c r="F328" t="s">
        <v>288</v>
      </c>
      <c r="G328" t="s">
        <v>282</v>
      </c>
      <c r="H328" t="s">
        <v>283</v>
      </c>
      <c r="I328" t="s">
        <v>501</v>
      </c>
      <c r="J328">
        <v>7.319</v>
      </c>
      <c r="K328">
        <v>7.9950000000000001</v>
      </c>
      <c r="L328">
        <v>8.0980000000000008</v>
      </c>
      <c r="M328">
        <v>8.4060000000000006</v>
      </c>
      <c r="N328">
        <v>8.7959999999999994</v>
      </c>
      <c r="O328">
        <v>10.385</v>
      </c>
      <c r="P328">
        <v>14.711</v>
      </c>
      <c r="Q328">
        <v>16.451000000000001</v>
      </c>
      <c r="R328">
        <v>19.082999999999998</v>
      </c>
      <c r="S328">
        <v>22</v>
      </c>
      <c r="T328">
        <v>31.875</v>
      </c>
      <c r="U328">
        <v>43.686999999999998</v>
      </c>
      <c r="V328">
        <v>49.767000000000003</v>
      </c>
      <c r="W328">
        <v>58.954999999999998</v>
      </c>
      <c r="X328">
        <v>68.180999999999997</v>
      </c>
      <c r="Y328">
        <v>77.361999999999995</v>
      </c>
      <c r="Z328">
        <v>86.602999999999994</v>
      </c>
      <c r="AA328">
        <v>97.643000000000001</v>
      </c>
      <c r="AB328">
        <v>111.82299999999999</v>
      </c>
      <c r="AC328">
        <v>121.79600000000001</v>
      </c>
      <c r="AD328">
        <v>133.42699999999999</v>
      </c>
      <c r="AE328">
        <v>146.97800000000001</v>
      </c>
      <c r="AF328">
        <v>162.50700000000001</v>
      </c>
      <c r="AG328">
        <v>174.04400000000001</v>
      </c>
      <c r="AH328">
        <v>190.44</v>
      </c>
      <c r="AI328">
        <v>207.72900000000001</v>
      </c>
      <c r="AJ328">
        <v>229.83600000000001</v>
      </c>
      <c r="AK328">
        <v>261.76</v>
      </c>
      <c r="AL328">
        <v>295.87200000000001</v>
      </c>
      <c r="AM328">
        <v>307.96699999999998</v>
      </c>
      <c r="AN328">
        <v>333.09300000000002</v>
      </c>
      <c r="AO328">
        <v>371.012</v>
      </c>
      <c r="AP328">
        <v>394.72300000000001</v>
      </c>
      <c r="AQ328">
        <v>423.09800000000001</v>
      </c>
      <c r="AR328">
        <v>454.09800000000001</v>
      </c>
      <c r="AS328">
        <v>484.59199999999998</v>
      </c>
      <c r="AT328">
        <v>515.72400000000005</v>
      </c>
      <c r="AU328">
        <v>553.1</v>
      </c>
      <c r="AV328">
        <v>596.54100000000005</v>
      </c>
      <c r="AW328">
        <v>643.28800000000001</v>
      </c>
      <c r="AX328">
        <v>694.69899999999996</v>
      </c>
      <c r="AY328">
        <v>2014</v>
      </c>
    </row>
    <row r="329" spans="1:51" x14ac:dyDescent="0.25">
      <c r="A329">
        <v>258</v>
      </c>
      <c r="B329" t="s">
        <v>500</v>
      </c>
      <c r="C329" t="s">
        <v>289</v>
      </c>
      <c r="D329" t="s">
        <v>110</v>
      </c>
      <c r="E329" t="s">
        <v>287</v>
      </c>
      <c r="F329" t="s">
        <v>290</v>
      </c>
      <c r="G329" t="s">
        <v>291</v>
      </c>
      <c r="H329" t="s">
        <v>283</v>
      </c>
      <c r="I329" t="s">
        <v>292</v>
      </c>
      <c r="J329">
        <v>7.319</v>
      </c>
      <c r="K329">
        <v>7.9950000000000001</v>
      </c>
      <c r="L329">
        <v>8.0980000000000008</v>
      </c>
      <c r="M329">
        <v>8.4060000000000006</v>
      </c>
      <c r="N329">
        <v>8.7959999999999994</v>
      </c>
      <c r="O329">
        <v>10.385</v>
      </c>
      <c r="P329">
        <v>5.6150000000000002</v>
      </c>
      <c r="Q329">
        <v>6.5019999999999998</v>
      </c>
      <c r="R329">
        <v>7.0419999999999998</v>
      </c>
      <c r="S329">
        <v>8.1180000000000003</v>
      </c>
      <c r="T329">
        <v>7.1059999999999999</v>
      </c>
      <c r="U329">
        <v>8.6869999999999994</v>
      </c>
      <c r="V329">
        <v>9.625</v>
      </c>
      <c r="W329">
        <v>10.462</v>
      </c>
      <c r="X329">
        <v>11.855</v>
      </c>
      <c r="Y329">
        <v>13.314</v>
      </c>
      <c r="Z329">
        <v>14.218</v>
      </c>
      <c r="AA329">
        <v>16.103000000000002</v>
      </c>
      <c r="AB329">
        <v>17.488</v>
      </c>
      <c r="AC329">
        <v>16.492000000000001</v>
      </c>
      <c r="AD329">
        <v>17.187000000000001</v>
      </c>
      <c r="AE329">
        <v>18.702999999999999</v>
      </c>
      <c r="AF329">
        <v>20.777000000000001</v>
      </c>
      <c r="AG329">
        <v>21.917999999999999</v>
      </c>
      <c r="AH329">
        <v>23.965</v>
      </c>
      <c r="AI329">
        <v>27.210999999999999</v>
      </c>
      <c r="AJ329">
        <v>30.231000000000002</v>
      </c>
      <c r="AK329">
        <v>34.113</v>
      </c>
      <c r="AL329">
        <v>39.137</v>
      </c>
      <c r="AM329">
        <v>37.734000000000002</v>
      </c>
      <c r="AN329">
        <v>41.338000000000001</v>
      </c>
      <c r="AO329">
        <v>47.655000000000001</v>
      </c>
      <c r="AP329">
        <v>50.387999999999998</v>
      </c>
      <c r="AQ329">
        <v>53.850999999999999</v>
      </c>
      <c r="AR329">
        <v>58.728000000000002</v>
      </c>
      <c r="AS329">
        <v>63.218000000000004</v>
      </c>
      <c r="AT329">
        <v>66.400999999999996</v>
      </c>
      <c r="AU329">
        <v>70.525000000000006</v>
      </c>
      <c r="AV329">
        <v>75.129000000000005</v>
      </c>
      <c r="AW329">
        <v>79.959999999999994</v>
      </c>
      <c r="AX329">
        <v>85.227999999999994</v>
      </c>
      <c r="AY329">
        <v>2014</v>
      </c>
    </row>
    <row r="330" spans="1:51" x14ac:dyDescent="0.25">
      <c r="A330">
        <v>258</v>
      </c>
      <c r="B330" t="s">
        <v>500</v>
      </c>
      <c r="C330" t="s">
        <v>293</v>
      </c>
      <c r="D330" t="s">
        <v>110</v>
      </c>
      <c r="E330" t="s">
        <v>294</v>
      </c>
      <c r="F330" t="s">
        <v>295</v>
      </c>
      <c r="G330" t="s">
        <v>296</v>
      </c>
      <c r="I330" t="s">
        <v>297</v>
      </c>
      <c r="J330">
        <v>7.97</v>
      </c>
      <c r="K330">
        <v>8.6509999999999998</v>
      </c>
      <c r="L330">
        <v>9.0830000000000002</v>
      </c>
      <c r="M330">
        <v>9.6739999999999995</v>
      </c>
      <c r="N330">
        <v>10.071</v>
      </c>
      <c r="O330">
        <v>11.962</v>
      </c>
      <c r="P330">
        <v>16.928000000000001</v>
      </c>
      <c r="Q330">
        <v>18.276</v>
      </c>
      <c r="R330">
        <v>20.405999999999999</v>
      </c>
      <c r="S330">
        <v>22.632999999999999</v>
      </c>
      <c r="T330">
        <v>31.806000000000001</v>
      </c>
      <c r="U330">
        <v>42.323</v>
      </c>
      <c r="V330">
        <v>46.091999999999999</v>
      </c>
      <c r="W330">
        <v>52.805999999999997</v>
      </c>
      <c r="X330">
        <v>59.005000000000003</v>
      </c>
      <c r="Y330">
        <v>64.129000000000005</v>
      </c>
      <c r="Z330">
        <v>69.834000000000003</v>
      </c>
      <c r="AA330">
        <v>75.635000000000005</v>
      </c>
      <c r="AB330">
        <v>82.81</v>
      </c>
      <c r="AC330">
        <v>86.977000000000004</v>
      </c>
      <c r="AD330">
        <v>92.959000000000003</v>
      </c>
      <c r="AE330">
        <v>100</v>
      </c>
      <c r="AF330">
        <v>106.449</v>
      </c>
      <c r="AG330">
        <v>111.193</v>
      </c>
      <c r="AH330">
        <v>117.95</v>
      </c>
      <c r="AI330">
        <v>124.596</v>
      </c>
      <c r="AJ330">
        <v>130.81800000000001</v>
      </c>
      <c r="AK330">
        <v>140.15299999999999</v>
      </c>
      <c r="AL330">
        <v>153.38499999999999</v>
      </c>
      <c r="AM330">
        <v>158.82</v>
      </c>
      <c r="AN330">
        <v>166.98599999999999</v>
      </c>
      <c r="AO330">
        <v>178.56299999999999</v>
      </c>
      <c r="AP330">
        <v>184.49600000000001</v>
      </c>
      <c r="AQ330">
        <v>190.70699999999999</v>
      </c>
      <c r="AR330">
        <v>196.352</v>
      </c>
      <c r="AS330">
        <v>201.86600000000001</v>
      </c>
      <c r="AT330">
        <v>207.17</v>
      </c>
      <c r="AU330">
        <v>214.46299999999999</v>
      </c>
      <c r="AV330">
        <v>223.48500000000001</v>
      </c>
      <c r="AW330">
        <v>232.84899999999999</v>
      </c>
      <c r="AX330">
        <v>242.95400000000001</v>
      </c>
      <c r="AY330">
        <v>2014</v>
      </c>
    </row>
    <row r="331" spans="1:51" x14ac:dyDescent="0.25">
      <c r="A331">
        <v>258</v>
      </c>
      <c r="B331" t="s">
        <v>500</v>
      </c>
      <c r="C331" t="s">
        <v>298</v>
      </c>
      <c r="D331" t="s">
        <v>110</v>
      </c>
      <c r="E331" t="s">
        <v>299</v>
      </c>
      <c r="F331" t="s">
        <v>300</v>
      </c>
      <c r="G331" t="s">
        <v>282</v>
      </c>
      <c r="H331" t="s">
        <v>283</v>
      </c>
      <c r="I331" t="s">
        <v>502</v>
      </c>
      <c r="J331" t="s">
        <v>285</v>
      </c>
      <c r="K331" t="s">
        <v>285</v>
      </c>
      <c r="L331" t="s">
        <v>285</v>
      </c>
      <c r="M331" t="s">
        <v>285</v>
      </c>
      <c r="N331" t="s">
        <v>285</v>
      </c>
      <c r="O331" t="s">
        <v>285</v>
      </c>
      <c r="P331" t="s">
        <v>285</v>
      </c>
      <c r="Q331" t="s">
        <v>285</v>
      </c>
      <c r="R331" t="s">
        <v>285</v>
      </c>
      <c r="S331" t="s">
        <v>285</v>
      </c>
      <c r="T331" t="s">
        <v>285</v>
      </c>
      <c r="U331" t="s">
        <v>285</v>
      </c>
      <c r="V331" t="s">
        <v>285</v>
      </c>
      <c r="W331" t="s">
        <v>285</v>
      </c>
      <c r="X331" t="s">
        <v>285</v>
      </c>
      <c r="Y331">
        <v>7.9740000000000002</v>
      </c>
      <c r="Z331">
        <v>8.9969999999999999</v>
      </c>
      <c r="AA331">
        <v>11.518000000000001</v>
      </c>
      <c r="AB331">
        <v>15.516999999999999</v>
      </c>
      <c r="AC331">
        <v>18.728000000000002</v>
      </c>
      <c r="AD331">
        <v>19.11</v>
      </c>
      <c r="AE331">
        <v>21.327000000000002</v>
      </c>
      <c r="AF331">
        <v>22.541</v>
      </c>
      <c r="AG331">
        <v>26.332999999999998</v>
      </c>
      <c r="AH331">
        <v>25.542000000000002</v>
      </c>
      <c r="AI331">
        <v>28.5</v>
      </c>
      <c r="AJ331">
        <v>33.720999999999997</v>
      </c>
      <c r="AK331">
        <v>37.381999999999998</v>
      </c>
      <c r="AL331">
        <v>40.354999999999997</v>
      </c>
      <c r="AM331">
        <v>43.709000000000003</v>
      </c>
      <c r="AN331">
        <v>48.384999999999998</v>
      </c>
      <c r="AO331">
        <v>53.511000000000003</v>
      </c>
      <c r="AP331">
        <v>55.32</v>
      </c>
      <c r="AQ331">
        <v>58.268999999999998</v>
      </c>
      <c r="AR331">
        <v>60.819000000000003</v>
      </c>
      <c r="AS331">
        <v>61.750999999999998</v>
      </c>
      <c r="AT331">
        <v>68.873999999999995</v>
      </c>
      <c r="AU331">
        <v>75.263000000000005</v>
      </c>
      <c r="AV331">
        <v>81.944999999999993</v>
      </c>
      <c r="AW331">
        <v>89.177999999999997</v>
      </c>
      <c r="AX331">
        <v>96.760999999999996</v>
      </c>
      <c r="AY331">
        <v>2014</v>
      </c>
    </row>
    <row r="332" spans="1:51" x14ac:dyDescent="0.25">
      <c r="A332">
        <v>656</v>
      </c>
      <c r="B332" t="s">
        <v>503</v>
      </c>
      <c r="C332" t="s">
        <v>279</v>
      </c>
      <c r="D332" t="s">
        <v>111</v>
      </c>
      <c r="E332" t="s">
        <v>280</v>
      </c>
      <c r="F332" t="s">
        <v>281</v>
      </c>
      <c r="G332" t="s">
        <v>282</v>
      </c>
      <c r="H332" t="s">
        <v>283</v>
      </c>
      <c r="I332" t="s">
        <v>504</v>
      </c>
      <c r="J332" s="21">
        <v>3145.1390000000001</v>
      </c>
      <c r="K332" s="21">
        <v>3164.3159999999998</v>
      </c>
      <c r="L332" s="21">
        <v>3221.2739999999999</v>
      </c>
      <c r="M332" s="21">
        <v>3263.1509999999998</v>
      </c>
      <c r="N332" s="21">
        <v>3308.835</v>
      </c>
      <c r="O332" s="21">
        <v>3474.2750000000001</v>
      </c>
      <c r="P332" s="21">
        <v>3582.4650000000001</v>
      </c>
      <c r="Q332" s="21">
        <v>3700.6840000000002</v>
      </c>
      <c r="R332" s="21">
        <v>3934.1280000000002</v>
      </c>
      <c r="S332" s="21">
        <v>4091.63</v>
      </c>
      <c r="T332" s="21">
        <v>4268.5540000000001</v>
      </c>
      <c r="U332" s="21">
        <v>4330.6540000000005</v>
      </c>
      <c r="V332" s="21">
        <v>4472.375</v>
      </c>
      <c r="W332" s="21">
        <v>4698.1629999999996</v>
      </c>
      <c r="X332" s="21">
        <v>4886.12</v>
      </c>
      <c r="Y332" s="21">
        <v>5114.7929999999997</v>
      </c>
      <c r="Z332" s="21">
        <v>5342.9930000000004</v>
      </c>
      <c r="AA332" s="21">
        <v>5619.8459999999995</v>
      </c>
      <c r="AB332" s="21">
        <v>5824.64</v>
      </c>
      <c r="AC332" s="21">
        <v>6046.6750000000002</v>
      </c>
      <c r="AD332" s="21">
        <v>6198.027</v>
      </c>
      <c r="AE332" s="21">
        <v>6424.7730000000001</v>
      </c>
      <c r="AF332" s="21">
        <v>6756.5870000000004</v>
      </c>
      <c r="AG332" s="21">
        <v>6840.95</v>
      </c>
      <c r="AH332" s="21">
        <v>7001.0360000000001</v>
      </c>
      <c r="AI332" s="21">
        <v>7210.8760000000002</v>
      </c>
      <c r="AJ332" s="21">
        <v>7390.9120000000003</v>
      </c>
      <c r="AK332" s="21">
        <v>7520.8209999999999</v>
      </c>
      <c r="AL332" s="21">
        <v>7892.1189999999997</v>
      </c>
      <c r="AM332" s="21">
        <v>7870.0060000000003</v>
      </c>
      <c r="AN332" s="21">
        <v>8022.3860000000004</v>
      </c>
      <c r="AO332" s="21">
        <v>8335.9619999999995</v>
      </c>
      <c r="AP332" s="21">
        <v>8653.8700000000008</v>
      </c>
      <c r="AQ332" s="21">
        <v>8853.3279999999995</v>
      </c>
      <c r="AR332" s="21">
        <v>8947.3269999999993</v>
      </c>
      <c r="AS332" s="21">
        <v>8947.1710000000003</v>
      </c>
      <c r="AT332" s="21">
        <v>9384.8960000000006</v>
      </c>
      <c r="AU332" s="21">
        <v>9937.9269999999997</v>
      </c>
      <c r="AV332" s="21">
        <v>10461.448</v>
      </c>
      <c r="AW332" s="21">
        <v>10891.48</v>
      </c>
      <c r="AX332" s="21">
        <v>11707.142</v>
      </c>
      <c r="AY332">
        <v>2009</v>
      </c>
    </row>
    <row r="333" spans="1:51" x14ac:dyDescent="0.25">
      <c r="A333">
        <v>656</v>
      </c>
      <c r="B333" t="s">
        <v>503</v>
      </c>
      <c r="C333" t="s">
        <v>286</v>
      </c>
      <c r="D333" t="s">
        <v>111</v>
      </c>
      <c r="E333" t="s">
        <v>287</v>
      </c>
      <c r="F333" t="s">
        <v>288</v>
      </c>
      <c r="G333" t="s">
        <v>282</v>
      </c>
      <c r="H333" t="s">
        <v>283</v>
      </c>
      <c r="I333" t="s">
        <v>504</v>
      </c>
      <c r="J333">
        <v>126.779</v>
      </c>
      <c r="K333">
        <v>138.56899999999999</v>
      </c>
      <c r="L333">
        <v>182.911</v>
      </c>
      <c r="M333">
        <v>239.613</v>
      </c>
      <c r="N333">
        <v>304.30900000000003</v>
      </c>
      <c r="O333">
        <v>380.23399999999998</v>
      </c>
      <c r="P333">
        <v>665.19799999999998</v>
      </c>
      <c r="Q333">
        <v>874.46600000000001</v>
      </c>
      <c r="R333" s="21">
        <v>1130.9269999999999</v>
      </c>
      <c r="S333" s="21">
        <v>1438.68</v>
      </c>
      <c r="T333" s="21">
        <v>1760.231</v>
      </c>
      <c r="U333" s="21">
        <v>2272.578</v>
      </c>
      <c r="V333" s="21">
        <v>2962.279</v>
      </c>
      <c r="W333" s="21">
        <v>3132.6660000000002</v>
      </c>
      <c r="X333" s="21">
        <v>3303.5459999999998</v>
      </c>
      <c r="Y333" s="21">
        <v>3661.4270000000001</v>
      </c>
      <c r="Z333" s="21">
        <v>3884.0369999999998</v>
      </c>
      <c r="AA333" s="21">
        <v>4143.8609999999999</v>
      </c>
      <c r="AB333" s="21">
        <v>4438.2759999999998</v>
      </c>
      <c r="AC333" s="21">
        <v>4802.1130000000003</v>
      </c>
      <c r="AD333" s="21">
        <v>5232.5060000000003</v>
      </c>
      <c r="AE333" s="21">
        <v>5518.98</v>
      </c>
      <c r="AF333" s="21">
        <v>5829.1319999999996</v>
      </c>
      <c r="AG333" s="21">
        <v>6840.95</v>
      </c>
      <c r="AH333" s="21">
        <v>8157.7179999999998</v>
      </c>
      <c r="AI333" s="21">
        <v>10703.668</v>
      </c>
      <c r="AJ333" s="21">
        <v>15094.205</v>
      </c>
      <c r="AK333" s="21">
        <v>17354.234</v>
      </c>
      <c r="AL333" s="21">
        <v>20780.43</v>
      </c>
      <c r="AM333" s="21">
        <v>22132.627</v>
      </c>
      <c r="AN333" s="21">
        <v>27118.422999999999</v>
      </c>
      <c r="AO333" s="21">
        <v>33739.491999999998</v>
      </c>
      <c r="AP333" s="21">
        <v>39590.739000000001</v>
      </c>
      <c r="AQ333" s="21">
        <v>43048.165000000001</v>
      </c>
      <c r="AR333" s="21">
        <v>47729.406000000003</v>
      </c>
      <c r="AS333" s="21">
        <v>50921.866000000002</v>
      </c>
      <c r="AT333" s="21">
        <v>57689.523999999998</v>
      </c>
      <c r="AU333" s="21">
        <v>65431.347000000002</v>
      </c>
      <c r="AV333" s="21">
        <v>73095.11</v>
      </c>
      <c r="AW333" s="21">
        <v>80278.192999999999</v>
      </c>
      <c r="AX333" s="21">
        <v>97914.010999999999</v>
      </c>
      <c r="AY333">
        <v>2009</v>
      </c>
    </row>
    <row r="334" spans="1:51" x14ac:dyDescent="0.25">
      <c r="A334">
        <v>656</v>
      </c>
      <c r="B334" t="s">
        <v>503</v>
      </c>
      <c r="C334" t="s">
        <v>289</v>
      </c>
      <c r="D334" t="s">
        <v>111</v>
      </c>
      <c r="E334" t="s">
        <v>287</v>
      </c>
      <c r="F334" t="s">
        <v>290</v>
      </c>
      <c r="G334" t="s">
        <v>291</v>
      </c>
      <c r="H334" t="s">
        <v>283</v>
      </c>
      <c r="I334" t="s">
        <v>292</v>
      </c>
      <c r="J334">
        <v>1.724</v>
      </c>
      <c r="K334">
        <v>1.7110000000000001</v>
      </c>
      <c r="L334">
        <v>1.6779999999999999</v>
      </c>
      <c r="M334">
        <v>1.641</v>
      </c>
      <c r="N334">
        <v>1.6719999999999999</v>
      </c>
      <c r="O334">
        <v>1.7769999999999999</v>
      </c>
      <c r="P334">
        <v>1.9219999999999999</v>
      </c>
      <c r="Q334">
        <v>2.0409999999999999</v>
      </c>
      <c r="R334">
        <v>2.3839999999999999</v>
      </c>
      <c r="S334">
        <v>2.4319999999999999</v>
      </c>
      <c r="T334">
        <v>2.6659999999999999</v>
      </c>
      <c r="U334">
        <v>3.0150000000000001</v>
      </c>
      <c r="V334">
        <v>3.2839999999999998</v>
      </c>
      <c r="W334">
        <v>3.2789999999999999</v>
      </c>
      <c r="X334">
        <v>3.383</v>
      </c>
      <c r="Y334">
        <v>3.6930000000000001</v>
      </c>
      <c r="Z334">
        <v>3.8679999999999999</v>
      </c>
      <c r="AA334">
        <v>3.7829999999999999</v>
      </c>
      <c r="AB334">
        <v>3.5880000000000001</v>
      </c>
      <c r="AC334">
        <v>3.4609999999999999</v>
      </c>
      <c r="AD334">
        <v>2.9950000000000001</v>
      </c>
      <c r="AE334">
        <v>2.8290000000000002</v>
      </c>
      <c r="AF334">
        <v>2.95</v>
      </c>
      <c r="AG334">
        <v>3.4460000000000002</v>
      </c>
      <c r="AH334">
        <v>3.6659999999999999</v>
      </c>
      <c r="AI334">
        <v>2.9369999999999998</v>
      </c>
      <c r="AJ334">
        <v>2.903</v>
      </c>
      <c r="AK334">
        <v>4.157</v>
      </c>
      <c r="AL334">
        <v>4.5170000000000003</v>
      </c>
      <c r="AM334">
        <v>4.6349999999999998</v>
      </c>
      <c r="AN334">
        <v>4.9290000000000003</v>
      </c>
      <c r="AO334">
        <v>5.1239999999999997</v>
      </c>
      <c r="AP334">
        <v>5.6319999999999997</v>
      </c>
      <c r="AQ334">
        <v>6.16</v>
      </c>
      <c r="AR334">
        <v>6.7069999999999999</v>
      </c>
      <c r="AS334">
        <v>6.7329999999999997</v>
      </c>
      <c r="AT334">
        <v>7.0670000000000002</v>
      </c>
      <c r="AU334">
        <v>7.5869999999999997</v>
      </c>
      <c r="AV334">
        <v>8.1649999999999991</v>
      </c>
      <c r="AW334">
        <v>8.7100000000000009</v>
      </c>
      <c r="AX334">
        <v>10.326000000000001</v>
      </c>
      <c r="AY334">
        <v>2009</v>
      </c>
    </row>
    <row r="335" spans="1:51" x14ac:dyDescent="0.25">
      <c r="A335">
        <v>656</v>
      </c>
      <c r="B335" t="s">
        <v>503</v>
      </c>
      <c r="C335" t="s">
        <v>293</v>
      </c>
      <c r="D335" t="s">
        <v>111</v>
      </c>
      <c r="E335" t="s">
        <v>294</v>
      </c>
      <c r="F335" t="s">
        <v>295</v>
      </c>
      <c r="G335" t="s">
        <v>296</v>
      </c>
      <c r="I335" t="s">
        <v>297</v>
      </c>
      <c r="J335">
        <v>4.0309999999999997</v>
      </c>
      <c r="K335">
        <v>4.3789999999999996</v>
      </c>
      <c r="L335">
        <v>5.6779999999999999</v>
      </c>
      <c r="M335">
        <v>7.343</v>
      </c>
      <c r="N335">
        <v>9.1969999999999992</v>
      </c>
      <c r="O335">
        <v>10.944000000000001</v>
      </c>
      <c r="P335">
        <v>18.568000000000001</v>
      </c>
      <c r="Q335">
        <v>23.63</v>
      </c>
      <c r="R335">
        <v>28.747</v>
      </c>
      <c r="S335">
        <v>35.161999999999999</v>
      </c>
      <c r="T335">
        <v>41.237000000000002</v>
      </c>
      <c r="U335">
        <v>52.476999999999997</v>
      </c>
      <c r="V335">
        <v>66.234999999999999</v>
      </c>
      <c r="W335">
        <v>66.679000000000002</v>
      </c>
      <c r="X335">
        <v>67.611000000000004</v>
      </c>
      <c r="Y335">
        <v>71.584999999999994</v>
      </c>
      <c r="Z335">
        <v>72.694000000000003</v>
      </c>
      <c r="AA335">
        <v>73.736000000000004</v>
      </c>
      <c r="AB335">
        <v>76.197999999999993</v>
      </c>
      <c r="AC335">
        <v>79.417000000000002</v>
      </c>
      <c r="AD335">
        <v>84.421999999999997</v>
      </c>
      <c r="AE335">
        <v>85.902000000000001</v>
      </c>
      <c r="AF335">
        <v>86.272999999999996</v>
      </c>
      <c r="AG335">
        <v>100</v>
      </c>
      <c r="AH335">
        <v>116.52200000000001</v>
      </c>
      <c r="AI335">
        <v>148.43799999999999</v>
      </c>
      <c r="AJ335">
        <v>204.227</v>
      </c>
      <c r="AK335">
        <v>230.749</v>
      </c>
      <c r="AL335">
        <v>263.30599999999998</v>
      </c>
      <c r="AM335">
        <v>281.22800000000001</v>
      </c>
      <c r="AN335">
        <v>338.03399999999999</v>
      </c>
      <c r="AO335">
        <v>404.74599999999998</v>
      </c>
      <c r="AP335">
        <v>457.49200000000002</v>
      </c>
      <c r="AQ335">
        <v>486.23700000000002</v>
      </c>
      <c r="AR335">
        <v>533.44899999999996</v>
      </c>
      <c r="AS335">
        <v>569.13900000000001</v>
      </c>
      <c r="AT335">
        <v>614.70600000000002</v>
      </c>
      <c r="AU335">
        <v>658.4</v>
      </c>
      <c r="AV335">
        <v>698.70899999999995</v>
      </c>
      <c r="AW335">
        <v>737.07299999999998</v>
      </c>
      <c r="AX335">
        <v>836.36099999999999</v>
      </c>
      <c r="AY335">
        <v>2009</v>
      </c>
    </row>
    <row r="336" spans="1:51" x14ac:dyDescent="0.25">
      <c r="A336">
        <v>656</v>
      </c>
      <c r="B336" t="s">
        <v>503</v>
      </c>
      <c r="C336" t="s">
        <v>298</v>
      </c>
      <c r="D336" t="s">
        <v>111</v>
      </c>
      <c r="E336" t="s">
        <v>299</v>
      </c>
      <c r="F336" t="s">
        <v>300</v>
      </c>
      <c r="G336" t="s">
        <v>282</v>
      </c>
      <c r="H336" t="s">
        <v>283</v>
      </c>
      <c r="I336" t="s">
        <v>505</v>
      </c>
      <c r="J336" t="s">
        <v>285</v>
      </c>
      <c r="K336" t="s">
        <v>285</v>
      </c>
      <c r="L336" t="s">
        <v>285</v>
      </c>
      <c r="M336" t="s">
        <v>285</v>
      </c>
      <c r="N336" t="s">
        <v>285</v>
      </c>
      <c r="O336" t="s">
        <v>285</v>
      </c>
      <c r="P336" t="s">
        <v>285</v>
      </c>
      <c r="Q336" t="s">
        <v>285</v>
      </c>
      <c r="R336" t="s">
        <v>285</v>
      </c>
      <c r="S336" t="s">
        <v>285</v>
      </c>
      <c r="T336">
        <v>458.46899999999999</v>
      </c>
      <c r="U336">
        <v>515.20899999999995</v>
      </c>
      <c r="V336">
        <v>571.55100000000004</v>
      </c>
      <c r="W336">
        <v>579.61599999999999</v>
      </c>
      <c r="X336">
        <v>580.529</v>
      </c>
      <c r="Y336">
        <v>646.92499999999995</v>
      </c>
      <c r="Z336">
        <v>639.35699999999997</v>
      </c>
      <c r="AA336">
        <v>726.38099999999997</v>
      </c>
      <c r="AB336">
        <v>655.56700000000001</v>
      </c>
      <c r="AC336">
        <v>773.61</v>
      </c>
      <c r="AD336">
        <v>893</v>
      </c>
      <c r="AE336" s="21">
        <v>1113.83</v>
      </c>
      <c r="AF336" s="21">
        <v>1157.3510000000001</v>
      </c>
      <c r="AG336" s="21">
        <v>1395.299</v>
      </c>
      <c r="AH336" s="21">
        <v>1464.15</v>
      </c>
      <c r="AI336" s="21">
        <v>1807.88</v>
      </c>
      <c r="AJ336" s="21">
        <v>2871.41</v>
      </c>
      <c r="AK336" s="21">
        <v>2287.1999999999998</v>
      </c>
      <c r="AL336" s="21">
        <v>3231.8820000000001</v>
      </c>
      <c r="AM336" s="21">
        <v>5240.25</v>
      </c>
      <c r="AN336" s="21">
        <v>8049.1</v>
      </c>
      <c r="AO336" s="21">
        <v>7246.9</v>
      </c>
      <c r="AP336" s="21">
        <v>10342.15</v>
      </c>
      <c r="AQ336" s="21">
        <v>10785.383</v>
      </c>
      <c r="AR336" s="21">
        <v>12442.55</v>
      </c>
      <c r="AS336" s="21">
        <v>15284.295</v>
      </c>
      <c r="AT336" s="21">
        <v>15428.009</v>
      </c>
      <c r="AU336" s="21">
        <v>16918.062999999998</v>
      </c>
      <c r="AV336" s="21">
        <v>18721.870999999999</v>
      </c>
      <c r="AW336" s="21">
        <v>20528.148000000001</v>
      </c>
      <c r="AX336" s="21">
        <v>22297.472000000002</v>
      </c>
      <c r="AY336">
        <v>2014</v>
      </c>
    </row>
    <row r="337" spans="1:51" x14ac:dyDescent="0.25">
      <c r="A337">
        <v>654</v>
      </c>
      <c r="B337" t="s">
        <v>506</v>
      </c>
      <c r="C337" t="s">
        <v>279</v>
      </c>
      <c r="D337" t="s">
        <v>112</v>
      </c>
      <c r="E337" t="s">
        <v>280</v>
      </c>
      <c r="F337" t="s">
        <v>281</v>
      </c>
      <c r="G337" t="s">
        <v>282</v>
      </c>
      <c r="H337" t="s">
        <v>283</v>
      </c>
      <c r="I337" t="s">
        <v>507</v>
      </c>
      <c r="J337">
        <v>182.80500000000001</v>
      </c>
      <c r="K337">
        <v>181.89500000000001</v>
      </c>
      <c r="L337">
        <v>189.535</v>
      </c>
      <c r="M337">
        <v>183.09100000000001</v>
      </c>
      <c r="N337">
        <v>193.161</v>
      </c>
      <c r="O337">
        <v>201.46700000000001</v>
      </c>
      <c r="P337">
        <v>199.452</v>
      </c>
      <c r="Q337">
        <v>210.62100000000001</v>
      </c>
      <c r="R337">
        <v>214.74600000000001</v>
      </c>
      <c r="S337">
        <v>221.02799999999999</v>
      </c>
      <c r="T337">
        <v>231.15100000000001</v>
      </c>
      <c r="U337">
        <v>248.036</v>
      </c>
      <c r="V337">
        <v>255.714</v>
      </c>
      <c r="W337">
        <v>261.53399999999999</v>
      </c>
      <c r="X337">
        <v>269.28199999999998</v>
      </c>
      <c r="Y337">
        <v>280.096</v>
      </c>
      <c r="Z337">
        <v>290.58999999999997</v>
      </c>
      <c r="AA337">
        <v>308.00799999999998</v>
      </c>
      <c r="AB337">
        <v>244.90799999999999</v>
      </c>
      <c r="AC337">
        <v>284.45299999999997</v>
      </c>
      <c r="AD337">
        <v>283.88600000000002</v>
      </c>
      <c r="AE337">
        <v>290.10000000000002</v>
      </c>
      <c r="AF337">
        <v>287.24200000000002</v>
      </c>
      <c r="AG337">
        <v>288.875</v>
      </c>
      <c r="AH337">
        <v>296.85199999999998</v>
      </c>
      <c r="AI337">
        <v>309.51400000000001</v>
      </c>
      <c r="AJ337">
        <v>316.66300000000001</v>
      </c>
      <c r="AK337">
        <v>326.81099999999998</v>
      </c>
      <c r="AL337">
        <v>337.29500000000002</v>
      </c>
      <c r="AM337">
        <v>348.47399999999999</v>
      </c>
      <c r="AN337">
        <v>363.83699999999999</v>
      </c>
      <c r="AO337">
        <v>397.87599999999998</v>
      </c>
      <c r="AP337">
        <v>390.72199999999998</v>
      </c>
      <c r="AQ337">
        <v>393.92700000000002</v>
      </c>
      <c r="AR337">
        <v>403.93700000000001</v>
      </c>
      <c r="AS337">
        <v>422.92200000000003</v>
      </c>
      <c r="AT337">
        <v>443.22199999999998</v>
      </c>
      <c r="AU337">
        <v>465.38299999999998</v>
      </c>
      <c r="AV337">
        <v>488.65199999999999</v>
      </c>
      <c r="AW337">
        <v>513.08500000000004</v>
      </c>
      <c r="AX337">
        <v>538.73900000000003</v>
      </c>
      <c r="AY337">
        <v>2011</v>
      </c>
    </row>
    <row r="338" spans="1:51" x14ac:dyDescent="0.25">
      <c r="A338">
        <v>654</v>
      </c>
      <c r="B338" t="s">
        <v>506</v>
      </c>
      <c r="C338" t="s">
        <v>286</v>
      </c>
      <c r="D338" t="s">
        <v>112</v>
      </c>
      <c r="E338" t="s">
        <v>287</v>
      </c>
      <c r="F338" t="s">
        <v>288</v>
      </c>
      <c r="G338" t="s">
        <v>282</v>
      </c>
      <c r="H338" t="s">
        <v>283</v>
      </c>
      <c r="I338" t="s">
        <v>507</v>
      </c>
      <c r="J338">
        <v>36.125999999999998</v>
      </c>
      <c r="K338">
        <v>59.420999999999999</v>
      </c>
      <c r="L338">
        <v>81.731999999999999</v>
      </c>
      <c r="M338">
        <v>106.908</v>
      </c>
      <c r="N338">
        <v>85.253</v>
      </c>
      <c r="O338">
        <v>128.77000000000001</v>
      </c>
      <c r="P338">
        <v>96.924999999999997</v>
      </c>
      <c r="Q338">
        <v>71.177999999999997</v>
      </c>
      <c r="R338">
        <v>65.658000000000001</v>
      </c>
      <c r="S338">
        <v>84.606999999999999</v>
      </c>
      <c r="T338">
        <v>87.778999999999996</v>
      </c>
      <c r="U338">
        <v>128.44800000000001</v>
      </c>
      <c r="V338">
        <v>129.065</v>
      </c>
      <c r="W338">
        <v>107.88800000000001</v>
      </c>
      <c r="X338">
        <v>118.32899999999999</v>
      </c>
      <c r="Y338">
        <v>227.22800000000001</v>
      </c>
      <c r="Z338">
        <v>222.15199999999999</v>
      </c>
      <c r="AA338">
        <v>245.977</v>
      </c>
      <c r="AB338">
        <v>220.36199999999999</v>
      </c>
      <c r="AC338">
        <v>254.899</v>
      </c>
      <c r="AD338">
        <v>263.55500000000001</v>
      </c>
      <c r="AE338">
        <v>287.55500000000001</v>
      </c>
      <c r="AF338">
        <v>289.83800000000002</v>
      </c>
      <c r="AG338">
        <v>276.87700000000001</v>
      </c>
      <c r="AH338">
        <v>280.577</v>
      </c>
      <c r="AI338">
        <v>309.51400000000001</v>
      </c>
      <c r="AJ338">
        <v>309.46199999999999</v>
      </c>
      <c r="AK338">
        <v>333.38099999999997</v>
      </c>
      <c r="AL338">
        <v>386.96499999999997</v>
      </c>
      <c r="AM338">
        <v>389.94499999999999</v>
      </c>
      <c r="AN338">
        <v>419.16899999999998</v>
      </c>
      <c r="AO338">
        <v>521.64700000000005</v>
      </c>
      <c r="AP338">
        <v>508.27199999999999</v>
      </c>
      <c r="AQ338">
        <v>507.21300000000002</v>
      </c>
      <c r="AR338">
        <v>548.29899999999998</v>
      </c>
      <c r="AS338">
        <v>610.10900000000004</v>
      </c>
      <c r="AT338">
        <v>654.67600000000004</v>
      </c>
      <c r="AU338">
        <v>701.19399999999996</v>
      </c>
      <c r="AV338">
        <v>754.08399999999995</v>
      </c>
      <c r="AW338">
        <v>813.04700000000003</v>
      </c>
      <c r="AX338">
        <v>877.77200000000005</v>
      </c>
      <c r="AY338">
        <v>2011</v>
      </c>
    </row>
    <row r="339" spans="1:51" x14ac:dyDescent="0.25">
      <c r="A339">
        <v>654</v>
      </c>
      <c r="B339" t="s">
        <v>506</v>
      </c>
      <c r="C339" t="s">
        <v>289</v>
      </c>
      <c r="D339" t="s">
        <v>112</v>
      </c>
      <c r="E339" t="s">
        <v>287</v>
      </c>
      <c r="F339" t="s">
        <v>290</v>
      </c>
      <c r="G339" t="s">
        <v>291</v>
      </c>
      <c r="H339" t="s">
        <v>283</v>
      </c>
      <c r="I339" t="s">
        <v>292</v>
      </c>
      <c r="J339">
        <v>0.17100000000000001</v>
      </c>
      <c r="K339">
        <v>0.219</v>
      </c>
      <c r="L339">
        <v>0.249</v>
      </c>
      <c r="M339">
        <v>0.28100000000000003</v>
      </c>
      <c r="N339">
        <v>0.19500000000000001</v>
      </c>
      <c r="O339">
        <v>0.28699999999999998</v>
      </c>
      <c r="P339">
        <v>0.28000000000000003</v>
      </c>
      <c r="Q339">
        <v>0.23699999999999999</v>
      </c>
      <c r="R339">
        <v>0.221</v>
      </c>
      <c r="S339">
        <v>0.26600000000000001</v>
      </c>
      <c r="T339">
        <v>0.32300000000000001</v>
      </c>
      <c r="U339">
        <v>0.45700000000000002</v>
      </c>
      <c r="V339">
        <v>0.48899999999999999</v>
      </c>
      <c r="W339">
        <v>0.38100000000000001</v>
      </c>
      <c r="X339">
        <v>0.42899999999999999</v>
      </c>
      <c r="Y339">
        <v>0.45300000000000001</v>
      </c>
      <c r="Z339">
        <v>0.43</v>
      </c>
      <c r="AA339">
        <v>0.42499999999999999</v>
      </c>
      <c r="AB339">
        <v>0.376</v>
      </c>
      <c r="AC339">
        <v>0.41499999999999998</v>
      </c>
      <c r="AD339">
        <v>0.371</v>
      </c>
      <c r="AE339">
        <v>0.39300000000000002</v>
      </c>
      <c r="AF339">
        <v>0.41699999999999998</v>
      </c>
      <c r="AG339">
        <v>0.47699999999999998</v>
      </c>
      <c r="AH339">
        <v>0.53200000000000003</v>
      </c>
      <c r="AI339">
        <v>0.58799999999999997</v>
      </c>
      <c r="AJ339">
        <v>0.59199999999999997</v>
      </c>
      <c r="AK339">
        <v>0.69699999999999995</v>
      </c>
      <c r="AL339">
        <v>0.86799999999999999</v>
      </c>
      <c r="AM339">
        <v>0.82799999999999996</v>
      </c>
      <c r="AN339">
        <v>0.84799999999999998</v>
      </c>
      <c r="AO339">
        <v>1.107</v>
      </c>
      <c r="AP339">
        <v>0.996</v>
      </c>
      <c r="AQ339">
        <v>1.0269999999999999</v>
      </c>
      <c r="AR339">
        <v>1.111</v>
      </c>
      <c r="AS339">
        <v>1.0349999999999999</v>
      </c>
      <c r="AT339">
        <v>1.1160000000000001</v>
      </c>
      <c r="AU339">
        <v>1.208</v>
      </c>
      <c r="AV339">
        <v>1.3129999999999999</v>
      </c>
      <c r="AW339">
        <v>1.4259999999999999</v>
      </c>
      <c r="AX339">
        <v>1.5629999999999999</v>
      </c>
      <c r="AY339">
        <v>2011</v>
      </c>
    </row>
    <row r="340" spans="1:51" x14ac:dyDescent="0.25">
      <c r="A340">
        <v>654</v>
      </c>
      <c r="B340" t="s">
        <v>506</v>
      </c>
      <c r="C340" t="s">
        <v>293</v>
      </c>
      <c r="D340" t="s">
        <v>112</v>
      </c>
      <c r="E340" t="s">
        <v>294</v>
      </c>
      <c r="F340" t="s">
        <v>295</v>
      </c>
      <c r="G340" t="s">
        <v>296</v>
      </c>
      <c r="I340" t="s">
        <v>297</v>
      </c>
      <c r="J340">
        <v>19.762</v>
      </c>
      <c r="K340">
        <v>32.667999999999999</v>
      </c>
      <c r="L340">
        <v>43.122</v>
      </c>
      <c r="M340">
        <v>58.390999999999998</v>
      </c>
      <c r="N340">
        <v>44.136000000000003</v>
      </c>
      <c r="O340">
        <v>63.915999999999997</v>
      </c>
      <c r="P340">
        <v>48.595999999999997</v>
      </c>
      <c r="Q340">
        <v>33.793999999999997</v>
      </c>
      <c r="R340">
        <v>30.574999999999999</v>
      </c>
      <c r="S340">
        <v>38.279000000000003</v>
      </c>
      <c r="T340">
        <v>37.975000000000001</v>
      </c>
      <c r="U340">
        <v>51.786000000000001</v>
      </c>
      <c r="V340">
        <v>50.472000000000001</v>
      </c>
      <c r="W340">
        <v>41.252000000000002</v>
      </c>
      <c r="X340">
        <v>43.942</v>
      </c>
      <c r="Y340">
        <v>81.125</v>
      </c>
      <c r="Z340">
        <v>76.447999999999993</v>
      </c>
      <c r="AA340">
        <v>79.861000000000004</v>
      </c>
      <c r="AB340">
        <v>89.977999999999994</v>
      </c>
      <c r="AC340">
        <v>89.61</v>
      </c>
      <c r="AD340">
        <v>92.837999999999994</v>
      </c>
      <c r="AE340">
        <v>99.123000000000005</v>
      </c>
      <c r="AF340">
        <v>100.904</v>
      </c>
      <c r="AG340">
        <v>95.846999999999994</v>
      </c>
      <c r="AH340">
        <v>94.518000000000001</v>
      </c>
      <c r="AI340">
        <v>100</v>
      </c>
      <c r="AJ340">
        <v>97.725999999999999</v>
      </c>
      <c r="AK340">
        <v>102.01</v>
      </c>
      <c r="AL340">
        <v>114.726</v>
      </c>
      <c r="AM340">
        <v>111.901</v>
      </c>
      <c r="AN340">
        <v>115.208</v>
      </c>
      <c r="AO340">
        <v>131.108</v>
      </c>
      <c r="AP340">
        <v>130.08500000000001</v>
      </c>
      <c r="AQ340">
        <v>128.75800000000001</v>
      </c>
      <c r="AR340">
        <v>135.739</v>
      </c>
      <c r="AS340">
        <v>144.26</v>
      </c>
      <c r="AT340">
        <v>147.708</v>
      </c>
      <c r="AU340">
        <v>150.66999999999999</v>
      </c>
      <c r="AV340">
        <v>154.31899999999999</v>
      </c>
      <c r="AW340">
        <v>158.46199999999999</v>
      </c>
      <c r="AX340">
        <v>162.93100000000001</v>
      </c>
      <c r="AY340">
        <v>2011</v>
      </c>
    </row>
    <row r="341" spans="1:51" x14ac:dyDescent="0.25">
      <c r="A341">
        <v>654</v>
      </c>
      <c r="B341" t="s">
        <v>506</v>
      </c>
      <c r="C341" t="s">
        <v>298</v>
      </c>
      <c r="D341" t="s">
        <v>112</v>
      </c>
      <c r="E341" t="s">
        <v>299</v>
      </c>
      <c r="F341" t="s">
        <v>300</v>
      </c>
      <c r="G341" t="s">
        <v>282</v>
      </c>
      <c r="H341" t="s">
        <v>283</v>
      </c>
      <c r="I341" t="s">
        <v>508</v>
      </c>
      <c r="J341" t="s">
        <v>285</v>
      </c>
      <c r="K341" t="s">
        <v>285</v>
      </c>
      <c r="L341" t="s">
        <v>285</v>
      </c>
      <c r="M341" t="s">
        <v>285</v>
      </c>
      <c r="N341" t="s">
        <v>285</v>
      </c>
      <c r="O341" t="s">
        <v>285</v>
      </c>
      <c r="P341" t="s">
        <v>285</v>
      </c>
      <c r="Q341" t="s">
        <v>285</v>
      </c>
      <c r="R341" t="s">
        <v>285</v>
      </c>
      <c r="S341" t="s">
        <v>285</v>
      </c>
      <c r="T341" t="s">
        <v>285</v>
      </c>
      <c r="U341">
        <v>19.972000000000001</v>
      </c>
      <c r="V341">
        <v>22.166</v>
      </c>
      <c r="W341">
        <v>23.925000000000001</v>
      </c>
      <c r="X341">
        <v>36.948</v>
      </c>
      <c r="Y341">
        <v>31.295000000000002</v>
      </c>
      <c r="Z341">
        <v>33.564999999999998</v>
      </c>
      <c r="AA341">
        <v>51.9</v>
      </c>
      <c r="AB341">
        <v>30.4</v>
      </c>
      <c r="AC341">
        <v>43.3</v>
      </c>
      <c r="AD341">
        <v>65.355000000000004</v>
      </c>
      <c r="AE341">
        <v>57.642000000000003</v>
      </c>
      <c r="AF341">
        <v>41.625</v>
      </c>
      <c r="AG341">
        <v>51.759</v>
      </c>
      <c r="AH341">
        <v>68.084999999999994</v>
      </c>
      <c r="AI341">
        <v>63.716999999999999</v>
      </c>
      <c r="AJ341">
        <v>63.337000000000003</v>
      </c>
      <c r="AK341">
        <v>76.760000000000005</v>
      </c>
      <c r="AL341">
        <v>86.497</v>
      </c>
      <c r="AM341">
        <v>81.391000000000005</v>
      </c>
      <c r="AN341">
        <v>78.552000000000007</v>
      </c>
      <c r="AO341">
        <v>91.204999999999998</v>
      </c>
      <c r="AP341">
        <v>69.512</v>
      </c>
      <c r="AQ341">
        <v>68.046999999999997</v>
      </c>
      <c r="AR341">
        <v>122.836</v>
      </c>
      <c r="AS341">
        <v>119.425</v>
      </c>
      <c r="AT341">
        <v>144.97399999999999</v>
      </c>
      <c r="AU341">
        <v>153.65899999999999</v>
      </c>
      <c r="AV341">
        <v>160.333</v>
      </c>
      <c r="AW341">
        <v>172.864</v>
      </c>
      <c r="AX341">
        <v>186.44800000000001</v>
      </c>
      <c r="AY341">
        <v>2011</v>
      </c>
    </row>
    <row r="342" spans="1:51" x14ac:dyDescent="0.25">
      <c r="A342">
        <v>336</v>
      </c>
      <c r="B342" t="s">
        <v>509</v>
      </c>
      <c r="C342" t="s">
        <v>279</v>
      </c>
      <c r="D342" t="s">
        <v>113</v>
      </c>
      <c r="E342" t="s">
        <v>280</v>
      </c>
      <c r="F342" t="s">
        <v>281</v>
      </c>
      <c r="G342" t="s">
        <v>282</v>
      </c>
      <c r="H342" t="s">
        <v>283</v>
      </c>
      <c r="I342" t="s">
        <v>510</v>
      </c>
      <c r="J342">
        <v>211.01300000000001</v>
      </c>
      <c r="K342">
        <v>212.19900000000001</v>
      </c>
      <c r="L342">
        <v>193.34800000000001</v>
      </c>
      <c r="M342">
        <v>171.12</v>
      </c>
      <c r="N342">
        <v>174.77099999999999</v>
      </c>
      <c r="O342">
        <v>175.41</v>
      </c>
      <c r="P342">
        <v>174.999</v>
      </c>
      <c r="Q342">
        <v>174.77099999999999</v>
      </c>
      <c r="R342">
        <v>164.31899999999999</v>
      </c>
      <c r="S342">
        <v>156.19399999999999</v>
      </c>
      <c r="T342">
        <v>151.49299999999999</v>
      </c>
      <c r="U342">
        <v>160.62100000000001</v>
      </c>
      <c r="V342">
        <v>173.08199999999999</v>
      </c>
      <c r="W342">
        <v>187.27799999999999</v>
      </c>
      <c r="X342">
        <v>203.16200000000001</v>
      </c>
      <c r="Y342">
        <v>213.43199999999999</v>
      </c>
      <c r="Z342">
        <v>230.411</v>
      </c>
      <c r="AA342">
        <v>244.661</v>
      </c>
      <c r="AB342">
        <v>240.48500000000001</v>
      </c>
      <c r="AC342">
        <v>247.66499999999999</v>
      </c>
      <c r="AD342">
        <v>244.333</v>
      </c>
      <c r="AE342">
        <v>249.85599999999999</v>
      </c>
      <c r="AF342">
        <v>252.72800000000001</v>
      </c>
      <c r="AG342">
        <v>251.08</v>
      </c>
      <c r="AH342">
        <v>255.012</v>
      </c>
      <c r="AI342">
        <v>250.06</v>
      </c>
      <c r="AJ342">
        <v>262.88</v>
      </c>
      <c r="AK342">
        <v>281.33499999999998</v>
      </c>
      <c r="AL342">
        <v>286.89600000000002</v>
      </c>
      <c r="AM342">
        <v>296.41699999999997</v>
      </c>
      <c r="AN342">
        <v>309.37299999999999</v>
      </c>
      <c r="AO342">
        <v>326.19400000000002</v>
      </c>
      <c r="AP342">
        <v>341.90499999999997</v>
      </c>
      <c r="AQ342">
        <v>359.75799999999998</v>
      </c>
      <c r="AR342">
        <v>373.53100000000001</v>
      </c>
      <c r="AS342">
        <v>385.65100000000001</v>
      </c>
      <c r="AT342">
        <v>404.678</v>
      </c>
      <c r="AU342">
        <v>421.15899999999999</v>
      </c>
      <c r="AV342">
        <v>437.95800000000003</v>
      </c>
      <c r="AW342">
        <v>451.86399999999998</v>
      </c>
      <c r="AX342">
        <v>466.25099999999998</v>
      </c>
      <c r="AY342">
        <v>2012</v>
      </c>
    </row>
    <row r="343" spans="1:51" x14ac:dyDescent="0.25">
      <c r="A343">
        <v>336</v>
      </c>
      <c r="B343" t="s">
        <v>509</v>
      </c>
      <c r="C343" t="s">
        <v>286</v>
      </c>
      <c r="D343" t="s">
        <v>113</v>
      </c>
      <c r="E343" t="s">
        <v>287</v>
      </c>
      <c r="F343" t="s">
        <v>288</v>
      </c>
      <c r="G343" t="s">
        <v>282</v>
      </c>
      <c r="H343" t="s">
        <v>283</v>
      </c>
      <c r="I343" t="s">
        <v>510</v>
      </c>
      <c r="J343">
        <v>1.4239999999999999</v>
      </c>
      <c r="K343">
        <v>1.508</v>
      </c>
      <c r="L343">
        <v>1.3779999999999999</v>
      </c>
      <c r="M343">
        <v>1.399</v>
      </c>
      <c r="N343">
        <v>1.6619999999999999</v>
      </c>
      <c r="O343">
        <v>1.968</v>
      </c>
      <c r="P343">
        <v>2.2360000000000002</v>
      </c>
      <c r="Q343">
        <v>4.7169999999999996</v>
      </c>
      <c r="R343">
        <v>6.1449999999999996</v>
      </c>
      <c r="S343">
        <v>16.745000000000001</v>
      </c>
      <c r="T343">
        <v>25.431999999999999</v>
      </c>
      <c r="U343">
        <v>61.414000000000001</v>
      </c>
      <c r="V343">
        <v>74.629000000000005</v>
      </c>
      <c r="W343">
        <v>92.602999999999994</v>
      </c>
      <c r="X343">
        <v>119.447</v>
      </c>
      <c r="Y343">
        <v>140.53800000000001</v>
      </c>
      <c r="Z343">
        <v>157.19499999999999</v>
      </c>
      <c r="AA343">
        <v>169.422</v>
      </c>
      <c r="AB343">
        <v>170.53800000000001</v>
      </c>
      <c r="AC343">
        <v>196.54400000000001</v>
      </c>
      <c r="AD343">
        <v>205.12700000000001</v>
      </c>
      <c r="AE343">
        <v>210.977</v>
      </c>
      <c r="AF343">
        <v>221.11699999999999</v>
      </c>
      <c r="AG343">
        <v>231.08500000000001</v>
      </c>
      <c r="AH343">
        <v>248.14099999999999</v>
      </c>
      <c r="AI343">
        <v>262.25</v>
      </c>
      <c r="AJ343">
        <v>291.964</v>
      </c>
      <c r="AK343">
        <v>352.15100000000001</v>
      </c>
      <c r="AL343">
        <v>391.50599999999997</v>
      </c>
      <c r="AM343">
        <v>413.11399999999998</v>
      </c>
      <c r="AN343">
        <v>460.072</v>
      </c>
      <c r="AO343">
        <v>525.67100000000005</v>
      </c>
      <c r="AP343">
        <v>582.65599999999995</v>
      </c>
      <c r="AQ343">
        <v>612.49300000000005</v>
      </c>
      <c r="AR343">
        <v>639.32100000000003</v>
      </c>
      <c r="AS343">
        <v>681.43</v>
      </c>
      <c r="AT343">
        <v>733.09199999999998</v>
      </c>
      <c r="AU343">
        <v>782.15899999999999</v>
      </c>
      <c r="AV343">
        <v>833.798</v>
      </c>
      <c r="AW343">
        <v>888.67399999999998</v>
      </c>
      <c r="AX343">
        <v>945.00199999999995</v>
      </c>
      <c r="AY343">
        <v>2012</v>
      </c>
    </row>
    <row r="344" spans="1:51" x14ac:dyDescent="0.25">
      <c r="A344">
        <v>336</v>
      </c>
      <c r="B344" t="s">
        <v>509</v>
      </c>
      <c r="C344" t="s">
        <v>289</v>
      </c>
      <c r="D344" t="s">
        <v>113</v>
      </c>
      <c r="E344" t="s">
        <v>287</v>
      </c>
      <c r="F344" t="s">
        <v>290</v>
      </c>
      <c r="G344" t="s">
        <v>291</v>
      </c>
      <c r="H344" t="s">
        <v>283</v>
      </c>
      <c r="I344" t="s">
        <v>292</v>
      </c>
      <c r="J344">
        <v>0.55900000000000005</v>
      </c>
      <c r="K344">
        <v>0.54400000000000004</v>
      </c>
      <c r="L344">
        <v>0.45900000000000002</v>
      </c>
      <c r="M344">
        <v>0.46600000000000003</v>
      </c>
      <c r="N344">
        <v>0.46500000000000002</v>
      </c>
      <c r="O344">
        <v>0.47399999999999998</v>
      </c>
      <c r="P344">
        <v>0.52300000000000002</v>
      </c>
      <c r="Q344">
        <v>0.65500000000000003</v>
      </c>
      <c r="R344">
        <v>0.61499999999999999</v>
      </c>
      <c r="S344">
        <v>0.77900000000000003</v>
      </c>
      <c r="T344">
        <v>0.65200000000000002</v>
      </c>
      <c r="U344">
        <v>0.73199999999999998</v>
      </c>
      <c r="V344">
        <v>0.6</v>
      </c>
      <c r="W344">
        <v>0.72099999999999997</v>
      </c>
      <c r="X344">
        <v>0.874</v>
      </c>
      <c r="Y344">
        <v>0.99299999999999999</v>
      </c>
      <c r="Z344">
        <v>1.1160000000000001</v>
      </c>
      <c r="AA344">
        <v>1.1879999999999999</v>
      </c>
      <c r="AB344">
        <v>1.103</v>
      </c>
      <c r="AC344">
        <v>1.137</v>
      </c>
      <c r="AD344">
        <v>1.123</v>
      </c>
      <c r="AE344">
        <v>1.127</v>
      </c>
      <c r="AF344">
        <v>1.1599999999999999</v>
      </c>
      <c r="AG344">
        <v>1.1970000000000001</v>
      </c>
      <c r="AH344">
        <v>1.26</v>
      </c>
      <c r="AI344">
        <v>1.3109999999999999</v>
      </c>
      <c r="AJ344">
        <v>1.4550000000000001</v>
      </c>
      <c r="AK344">
        <v>1.7410000000000001</v>
      </c>
      <c r="AL344">
        <v>1.9159999999999999</v>
      </c>
      <c r="AM344">
        <v>2.0230000000000001</v>
      </c>
      <c r="AN344">
        <v>2.262</v>
      </c>
      <c r="AO344">
        <v>2.5819999999999999</v>
      </c>
      <c r="AP344">
        <v>2.8540000000000001</v>
      </c>
      <c r="AQ344">
        <v>2.9820000000000002</v>
      </c>
      <c r="AR344">
        <v>3.0590000000000002</v>
      </c>
      <c r="AS344">
        <v>3.2029999999999998</v>
      </c>
      <c r="AT344">
        <v>3.411</v>
      </c>
      <c r="AU344">
        <v>3.6030000000000002</v>
      </c>
      <c r="AV344">
        <v>3.802</v>
      </c>
      <c r="AW344">
        <v>4.0119999999999996</v>
      </c>
      <c r="AX344">
        <v>4.2229999999999999</v>
      </c>
      <c r="AY344">
        <v>2012</v>
      </c>
    </row>
    <row r="345" spans="1:51" x14ac:dyDescent="0.25">
      <c r="A345">
        <v>336</v>
      </c>
      <c r="B345" t="s">
        <v>509</v>
      </c>
      <c r="C345" t="s">
        <v>293</v>
      </c>
      <c r="D345" t="s">
        <v>113</v>
      </c>
      <c r="E345" t="s">
        <v>294</v>
      </c>
      <c r="F345" t="s">
        <v>295</v>
      </c>
      <c r="G345" t="s">
        <v>296</v>
      </c>
      <c r="I345" t="s">
        <v>297</v>
      </c>
      <c r="J345">
        <v>0.67500000000000004</v>
      </c>
      <c r="K345">
        <v>0.71099999999999997</v>
      </c>
      <c r="L345">
        <v>0.71299999999999997</v>
      </c>
      <c r="M345">
        <v>0.81799999999999995</v>
      </c>
      <c r="N345">
        <v>0.95099999999999996</v>
      </c>
      <c r="O345">
        <v>1.1220000000000001</v>
      </c>
      <c r="P345">
        <v>1.278</v>
      </c>
      <c r="Q345">
        <v>2.6989999999999998</v>
      </c>
      <c r="R345">
        <v>3.74</v>
      </c>
      <c r="S345">
        <v>10.721</v>
      </c>
      <c r="T345">
        <v>16.788</v>
      </c>
      <c r="U345">
        <v>38.234999999999999</v>
      </c>
      <c r="V345">
        <v>43.116999999999997</v>
      </c>
      <c r="W345">
        <v>49.447000000000003</v>
      </c>
      <c r="X345">
        <v>58.793999999999997</v>
      </c>
      <c r="Y345">
        <v>65.846999999999994</v>
      </c>
      <c r="Z345">
        <v>68.224000000000004</v>
      </c>
      <c r="AA345">
        <v>69.248000000000005</v>
      </c>
      <c r="AB345">
        <v>70.914000000000001</v>
      </c>
      <c r="AC345">
        <v>79.358999999999995</v>
      </c>
      <c r="AD345">
        <v>83.953999999999994</v>
      </c>
      <c r="AE345">
        <v>84.438999999999993</v>
      </c>
      <c r="AF345">
        <v>87.492000000000004</v>
      </c>
      <c r="AG345">
        <v>92.036000000000001</v>
      </c>
      <c r="AH345">
        <v>97.305000000000007</v>
      </c>
      <c r="AI345">
        <v>104.875</v>
      </c>
      <c r="AJ345">
        <v>111.06399999999999</v>
      </c>
      <c r="AK345">
        <v>125.17100000000001</v>
      </c>
      <c r="AL345">
        <v>136.46299999999999</v>
      </c>
      <c r="AM345">
        <v>139.369</v>
      </c>
      <c r="AN345">
        <v>148.71100000000001</v>
      </c>
      <c r="AO345">
        <v>161.15299999999999</v>
      </c>
      <c r="AP345">
        <v>170.41499999999999</v>
      </c>
      <c r="AQ345">
        <v>170.251</v>
      </c>
      <c r="AR345">
        <v>171.15600000000001</v>
      </c>
      <c r="AS345">
        <v>176.696</v>
      </c>
      <c r="AT345">
        <v>181.155</v>
      </c>
      <c r="AU345">
        <v>185.71600000000001</v>
      </c>
      <c r="AV345">
        <v>190.38300000000001</v>
      </c>
      <c r="AW345">
        <v>196.66800000000001</v>
      </c>
      <c r="AX345">
        <v>202.68100000000001</v>
      </c>
      <c r="AY345">
        <v>2012</v>
      </c>
    </row>
    <row r="346" spans="1:51" x14ac:dyDescent="0.25">
      <c r="A346">
        <v>336</v>
      </c>
      <c r="B346" t="s">
        <v>509</v>
      </c>
      <c r="C346" t="s">
        <v>298</v>
      </c>
      <c r="D346" t="s">
        <v>113</v>
      </c>
      <c r="E346" t="s">
        <v>299</v>
      </c>
      <c r="F346" t="s">
        <v>300</v>
      </c>
      <c r="G346" t="s">
        <v>282</v>
      </c>
      <c r="H346" t="s">
        <v>283</v>
      </c>
      <c r="I346" t="s">
        <v>511</v>
      </c>
      <c r="J346" t="s">
        <v>285</v>
      </c>
      <c r="K346" t="s">
        <v>285</v>
      </c>
      <c r="L346" t="s">
        <v>285</v>
      </c>
      <c r="M346" t="s">
        <v>285</v>
      </c>
      <c r="N346" t="s">
        <v>285</v>
      </c>
      <c r="O346" t="s">
        <v>285</v>
      </c>
      <c r="P346" t="s">
        <v>285</v>
      </c>
      <c r="Q346" t="s">
        <v>285</v>
      </c>
      <c r="R346" t="s">
        <v>285</v>
      </c>
      <c r="S346" t="s">
        <v>285</v>
      </c>
      <c r="T346" t="s">
        <v>285</v>
      </c>
      <c r="U346" t="s">
        <v>285</v>
      </c>
      <c r="V346" t="s">
        <v>285</v>
      </c>
      <c r="W346" t="s">
        <v>285</v>
      </c>
      <c r="X346" t="s">
        <v>285</v>
      </c>
      <c r="Y346" t="s">
        <v>285</v>
      </c>
      <c r="Z346" t="s">
        <v>285</v>
      </c>
      <c r="AA346">
        <v>47.18</v>
      </c>
      <c r="AB346">
        <v>44.402000000000001</v>
      </c>
      <c r="AC346">
        <v>46.664000000000001</v>
      </c>
      <c r="AD346">
        <v>62.470999999999997</v>
      </c>
      <c r="AE346">
        <v>67.665000000000006</v>
      </c>
      <c r="AF346">
        <v>68.531999999999996</v>
      </c>
      <c r="AG346">
        <v>72.539000000000001</v>
      </c>
      <c r="AH346">
        <v>77.727999999999994</v>
      </c>
      <c r="AI346">
        <v>97.082999999999998</v>
      </c>
      <c r="AJ346">
        <v>110.215</v>
      </c>
      <c r="AK346">
        <v>114.64100000000001</v>
      </c>
      <c r="AL346">
        <v>120.82299999999999</v>
      </c>
      <c r="AM346">
        <v>134.19</v>
      </c>
      <c r="AN346">
        <v>140.68299999999999</v>
      </c>
      <c r="AO346">
        <v>159.64500000000001</v>
      </c>
      <c r="AP346">
        <v>181.376</v>
      </c>
      <c r="AQ346">
        <v>183.25700000000001</v>
      </c>
      <c r="AR346">
        <v>215.62100000000001</v>
      </c>
      <c r="AS346">
        <v>226.339</v>
      </c>
      <c r="AT346">
        <v>225.351</v>
      </c>
      <c r="AU346">
        <v>241.755</v>
      </c>
      <c r="AV346">
        <v>238.22800000000001</v>
      </c>
      <c r="AW346">
        <v>244.43100000000001</v>
      </c>
      <c r="AX346">
        <v>246.91499999999999</v>
      </c>
      <c r="AY346">
        <v>2012</v>
      </c>
    </row>
    <row r="347" spans="1:51" x14ac:dyDescent="0.25">
      <c r="A347">
        <v>263</v>
      </c>
      <c r="B347" t="s">
        <v>512</v>
      </c>
      <c r="C347" t="s">
        <v>279</v>
      </c>
      <c r="D347" t="s">
        <v>114</v>
      </c>
      <c r="E347" t="s">
        <v>280</v>
      </c>
      <c r="F347" t="s">
        <v>281</v>
      </c>
      <c r="G347" t="s">
        <v>282</v>
      </c>
      <c r="H347" t="s">
        <v>283</v>
      </c>
      <c r="I347" t="s">
        <v>513</v>
      </c>
      <c r="J347">
        <v>13.147</v>
      </c>
      <c r="K347">
        <v>13.286</v>
      </c>
      <c r="L347">
        <v>12.914</v>
      </c>
      <c r="M347">
        <v>12.72</v>
      </c>
      <c r="N347">
        <v>12.746</v>
      </c>
      <c r="O347">
        <v>12.842000000000001</v>
      </c>
      <c r="P347">
        <v>12.878</v>
      </c>
      <c r="Q347">
        <v>12.821999999999999</v>
      </c>
      <c r="R347">
        <v>12.894</v>
      </c>
      <c r="S347">
        <v>12.747999999999999</v>
      </c>
      <c r="T347">
        <v>12.692</v>
      </c>
      <c r="U347">
        <v>12.852</v>
      </c>
      <c r="V347">
        <v>12.561999999999999</v>
      </c>
      <c r="W347">
        <v>11.944000000000001</v>
      </c>
      <c r="X347">
        <v>10.558</v>
      </c>
      <c r="Y347">
        <v>11.603</v>
      </c>
      <c r="Z347">
        <v>12.083</v>
      </c>
      <c r="AA347">
        <v>12.41</v>
      </c>
      <c r="AB347">
        <v>12.680999999999999</v>
      </c>
      <c r="AC347">
        <v>13.025</v>
      </c>
      <c r="AD347">
        <v>13.138</v>
      </c>
      <c r="AE347">
        <v>13.000999999999999</v>
      </c>
      <c r="AF347">
        <v>12.968</v>
      </c>
      <c r="AG347">
        <v>13.015000000000001</v>
      </c>
      <c r="AH347">
        <v>12.557</v>
      </c>
      <c r="AI347">
        <v>12.782999999999999</v>
      </c>
      <c r="AJ347">
        <v>13.071</v>
      </c>
      <c r="AK347">
        <v>13.507999999999999</v>
      </c>
      <c r="AL347">
        <v>13.622</v>
      </c>
      <c r="AM347">
        <v>14.042</v>
      </c>
      <c r="AN347">
        <v>13.27</v>
      </c>
      <c r="AO347">
        <v>14.003</v>
      </c>
      <c r="AP347">
        <v>14.407</v>
      </c>
      <c r="AQ347">
        <v>15.019</v>
      </c>
      <c r="AR347">
        <v>15.432</v>
      </c>
      <c r="AS347">
        <v>15.818</v>
      </c>
      <c r="AT347">
        <v>16.332000000000001</v>
      </c>
      <c r="AU347">
        <v>16.943999999999999</v>
      </c>
      <c r="AV347">
        <v>17.579000000000001</v>
      </c>
      <c r="AW347">
        <v>18.239000000000001</v>
      </c>
      <c r="AX347">
        <v>18.876999999999999</v>
      </c>
      <c r="AY347">
        <v>2015</v>
      </c>
    </row>
    <row r="348" spans="1:51" x14ac:dyDescent="0.25">
      <c r="A348">
        <v>263</v>
      </c>
      <c r="B348" t="s">
        <v>512</v>
      </c>
      <c r="C348" t="s">
        <v>286</v>
      </c>
      <c r="D348" t="s">
        <v>114</v>
      </c>
      <c r="E348" t="s">
        <v>287</v>
      </c>
      <c r="F348" t="s">
        <v>288</v>
      </c>
      <c r="G348" t="s">
        <v>282</v>
      </c>
      <c r="H348" t="s">
        <v>283</v>
      </c>
      <c r="I348" t="s">
        <v>513</v>
      </c>
      <c r="J348">
        <v>7.7270000000000003</v>
      </c>
      <c r="K348">
        <v>8.5060000000000002</v>
      </c>
      <c r="L348">
        <v>8.8469999999999995</v>
      </c>
      <c r="M348">
        <v>9.4960000000000004</v>
      </c>
      <c r="N348">
        <v>10.522</v>
      </c>
      <c r="O348">
        <v>11.683999999999999</v>
      </c>
      <c r="P348">
        <v>12.981999999999999</v>
      </c>
      <c r="Q348">
        <v>6.3959999999999999</v>
      </c>
      <c r="R348">
        <v>4.2060000000000004</v>
      </c>
      <c r="S348">
        <v>3.8879999999999999</v>
      </c>
      <c r="T348">
        <v>4.9489999999999998</v>
      </c>
      <c r="U348">
        <v>5.335</v>
      </c>
      <c r="V348">
        <v>5.2080000000000002</v>
      </c>
      <c r="W348">
        <v>7.8769999999999998</v>
      </c>
      <c r="X348">
        <v>26.164000000000001</v>
      </c>
      <c r="Y348">
        <v>40.728999999999999</v>
      </c>
      <c r="Z348">
        <v>46.646999999999998</v>
      </c>
      <c r="AA348">
        <v>54.006</v>
      </c>
      <c r="AB348">
        <v>62.997</v>
      </c>
      <c r="AC348">
        <v>69.254000000000005</v>
      </c>
      <c r="AD348">
        <v>77.58</v>
      </c>
      <c r="AE348">
        <v>85.7</v>
      </c>
      <c r="AF348">
        <v>94.028000000000006</v>
      </c>
      <c r="AG348">
        <v>119.758</v>
      </c>
      <c r="AH348">
        <v>140.387</v>
      </c>
      <c r="AI348">
        <v>168.035</v>
      </c>
      <c r="AJ348">
        <v>197.13800000000001</v>
      </c>
      <c r="AK348">
        <v>220.11</v>
      </c>
      <c r="AL348">
        <v>250.59</v>
      </c>
      <c r="AM348">
        <v>267.88</v>
      </c>
      <c r="AN348">
        <v>266.952</v>
      </c>
      <c r="AO348">
        <v>302.85399999999998</v>
      </c>
      <c r="AP348">
        <v>328.06099999999998</v>
      </c>
      <c r="AQ348">
        <v>364.52600000000001</v>
      </c>
      <c r="AR348">
        <v>388.80900000000003</v>
      </c>
      <c r="AS348">
        <v>424.83199999999999</v>
      </c>
      <c r="AT348">
        <v>466.70699999999999</v>
      </c>
      <c r="AU348">
        <v>510.35899999999998</v>
      </c>
      <c r="AV348">
        <v>555.96</v>
      </c>
      <c r="AW348">
        <v>605.65300000000002</v>
      </c>
      <c r="AX348">
        <v>658.19899999999996</v>
      </c>
      <c r="AY348">
        <v>2015</v>
      </c>
    </row>
    <row r="349" spans="1:51" x14ac:dyDescent="0.25">
      <c r="A349">
        <v>263</v>
      </c>
      <c r="B349" t="s">
        <v>512</v>
      </c>
      <c r="C349" t="s">
        <v>289</v>
      </c>
      <c r="D349" t="s">
        <v>114</v>
      </c>
      <c r="E349" t="s">
        <v>287</v>
      </c>
      <c r="F349" t="s">
        <v>290</v>
      </c>
      <c r="G349" t="s">
        <v>291</v>
      </c>
      <c r="H349" t="s">
        <v>283</v>
      </c>
      <c r="I349" t="s">
        <v>292</v>
      </c>
      <c r="J349">
        <v>1.546</v>
      </c>
      <c r="K349">
        <v>1.702</v>
      </c>
      <c r="L349">
        <v>1.77</v>
      </c>
      <c r="M349">
        <v>1.9</v>
      </c>
      <c r="N349">
        <v>2.105</v>
      </c>
      <c r="O349">
        <v>2.3370000000000002</v>
      </c>
      <c r="P349">
        <v>2.597</v>
      </c>
      <c r="Q349">
        <v>1.2789999999999999</v>
      </c>
      <c r="R349">
        <v>0.84099999999999997</v>
      </c>
      <c r="S349">
        <v>0.77800000000000002</v>
      </c>
      <c r="T349">
        <v>0.99</v>
      </c>
      <c r="U349">
        <v>0.88800000000000001</v>
      </c>
      <c r="V349">
        <v>0.53300000000000003</v>
      </c>
      <c r="W349">
        <v>0.61</v>
      </c>
      <c r="X349">
        <v>1.7749999999999999</v>
      </c>
      <c r="Y349">
        <v>2.8130000000000002</v>
      </c>
      <c r="Z349">
        <v>2.9079999999999999</v>
      </c>
      <c r="AA349">
        <v>3.339</v>
      </c>
      <c r="AB349">
        <v>3.7240000000000002</v>
      </c>
      <c r="AC349">
        <v>4.1539999999999999</v>
      </c>
      <c r="AD349">
        <v>3.9540000000000002</v>
      </c>
      <c r="AE349">
        <v>3.5960000000000001</v>
      </c>
      <c r="AF349">
        <v>3.472</v>
      </c>
      <c r="AG349">
        <v>2.96</v>
      </c>
      <c r="AH349">
        <v>3.5379999999999998</v>
      </c>
      <c r="AI349">
        <v>4.3099999999999996</v>
      </c>
      <c r="AJ349">
        <v>4.7560000000000002</v>
      </c>
      <c r="AK349">
        <v>5.8849999999999998</v>
      </c>
      <c r="AL349">
        <v>6.55</v>
      </c>
      <c r="AM349">
        <v>6.5839999999999996</v>
      </c>
      <c r="AN349">
        <v>6.62</v>
      </c>
      <c r="AO349">
        <v>7.516</v>
      </c>
      <c r="AP349">
        <v>7.89</v>
      </c>
      <c r="AQ349">
        <v>8.4510000000000005</v>
      </c>
      <c r="AR349">
        <v>8.7110000000000003</v>
      </c>
      <c r="AS349">
        <v>8.7970000000000006</v>
      </c>
      <c r="AT349">
        <v>8.9239999999999995</v>
      </c>
      <c r="AU349">
        <v>9.3390000000000004</v>
      </c>
      <c r="AV349">
        <v>9.83</v>
      </c>
      <c r="AW349">
        <v>10.397</v>
      </c>
      <c r="AX349">
        <v>10.97</v>
      </c>
      <c r="AY349">
        <v>2015</v>
      </c>
    </row>
    <row r="350" spans="1:51" x14ac:dyDescent="0.25">
      <c r="A350">
        <v>263</v>
      </c>
      <c r="B350" t="s">
        <v>512</v>
      </c>
      <c r="C350" t="s">
        <v>293</v>
      </c>
      <c r="D350" t="s">
        <v>114</v>
      </c>
      <c r="E350" t="s">
        <v>294</v>
      </c>
      <c r="F350" t="s">
        <v>295</v>
      </c>
      <c r="G350" t="s">
        <v>296</v>
      </c>
      <c r="I350" t="s">
        <v>297</v>
      </c>
      <c r="J350">
        <v>58.774000000000001</v>
      </c>
      <c r="K350">
        <v>64.027000000000001</v>
      </c>
      <c r="L350">
        <v>68.507999999999996</v>
      </c>
      <c r="M350">
        <v>74.650999999999996</v>
      </c>
      <c r="N350">
        <v>82.552000000000007</v>
      </c>
      <c r="O350">
        <v>90.98</v>
      </c>
      <c r="P350">
        <v>100.813</v>
      </c>
      <c r="Q350">
        <v>49.884</v>
      </c>
      <c r="R350">
        <v>32.619</v>
      </c>
      <c r="S350">
        <v>30.498000000000001</v>
      </c>
      <c r="T350">
        <v>38.991</v>
      </c>
      <c r="U350">
        <v>41.509</v>
      </c>
      <c r="V350">
        <v>41.46</v>
      </c>
      <c r="W350">
        <v>65.947999999999993</v>
      </c>
      <c r="X350">
        <v>247.80600000000001</v>
      </c>
      <c r="Y350">
        <v>351.02699999999999</v>
      </c>
      <c r="Z350">
        <v>386.04</v>
      </c>
      <c r="AA350">
        <v>435.17200000000003</v>
      </c>
      <c r="AB350">
        <v>496.78100000000001</v>
      </c>
      <c r="AC350">
        <v>531.71100000000001</v>
      </c>
      <c r="AD350">
        <v>590.49800000000005</v>
      </c>
      <c r="AE350">
        <v>659.18799999999999</v>
      </c>
      <c r="AF350">
        <v>725.06799999999998</v>
      </c>
      <c r="AG350">
        <v>920.13</v>
      </c>
      <c r="AH350" s="21">
        <v>1118.0139999999999</v>
      </c>
      <c r="AI350" s="21">
        <v>1314.471</v>
      </c>
      <c r="AJ350" s="21">
        <v>1508.2090000000001</v>
      </c>
      <c r="AK350" s="21">
        <v>1629.479</v>
      </c>
      <c r="AL350" s="21">
        <v>1839.598</v>
      </c>
      <c r="AM350" s="21">
        <v>1907.7049999999999</v>
      </c>
      <c r="AN350" s="21">
        <v>2011.6959999999999</v>
      </c>
      <c r="AO350" s="21">
        <v>2162.779</v>
      </c>
      <c r="AP350" s="21">
        <v>2277.0940000000001</v>
      </c>
      <c r="AQ350" s="21">
        <v>2427.0990000000002</v>
      </c>
      <c r="AR350" s="21">
        <v>2519.498</v>
      </c>
      <c r="AS350" s="21">
        <v>2685.7849999999999</v>
      </c>
      <c r="AT350" s="21">
        <v>2857.6759999999999</v>
      </c>
      <c r="AU350" s="21">
        <v>3011.99</v>
      </c>
      <c r="AV350" s="21">
        <v>3162.59</v>
      </c>
      <c r="AW350" s="21">
        <v>3320.7190000000001</v>
      </c>
      <c r="AX350" s="21">
        <v>3486.7550000000001</v>
      </c>
      <c r="AY350">
        <v>2015</v>
      </c>
    </row>
    <row r="351" spans="1:51" x14ac:dyDescent="0.25">
      <c r="A351">
        <v>263</v>
      </c>
      <c r="B351" t="s">
        <v>512</v>
      </c>
      <c r="C351" t="s">
        <v>298</v>
      </c>
      <c r="D351" t="s">
        <v>114</v>
      </c>
      <c r="E351" t="s">
        <v>299</v>
      </c>
      <c r="F351" t="s">
        <v>300</v>
      </c>
      <c r="G351" t="s">
        <v>282</v>
      </c>
      <c r="H351" t="s">
        <v>283</v>
      </c>
      <c r="I351" t="s">
        <v>514</v>
      </c>
      <c r="J351" t="s">
        <v>285</v>
      </c>
      <c r="K351" t="s">
        <v>285</v>
      </c>
      <c r="L351" t="s">
        <v>285</v>
      </c>
      <c r="M351" t="s">
        <v>285</v>
      </c>
      <c r="N351" t="s">
        <v>285</v>
      </c>
      <c r="O351" t="s">
        <v>285</v>
      </c>
      <c r="P351" t="s">
        <v>285</v>
      </c>
      <c r="Q351" t="s">
        <v>285</v>
      </c>
      <c r="R351" t="s">
        <v>285</v>
      </c>
      <c r="S351" t="s">
        <v>285</v>
      </c>
      <c r="T351" t="s">
        <v>285</v>
      </c>
      <c r="U351" t="s">
        <v>285</v>
      </c>
      <c r="V351" t="s">
        <v>285</v>
      </c>
      <c r="W351" t="s">
        <v>285</v>
      </c>
      <c r="X351" t="s">
        <v>285</v>
      </c>
      <c r="Y351" t="s">
        <v>285</v>
      </c>
      <c r="Z351" t="s">
        <v>285</v>
      </c>
      <c r="AA351">
        <v>5.0209999999999999</v>
      </c>
      <c r="AB351">
        <v>5.758</v>
      </c>
      <c r="AC351">
        <v>6.6479999999999997</v>
      </c>
      <c r="AD351">
        <v>7.8250000000000002</v>
      </c>
      <c r="AE351">
        <v>8.7279999999999998</v>
      </c>
      <c r="AF351">
        <v>10.736000000000001</v>
      </c>
      <c r="AG351">
        <v>15.084</v>
      </c>
      <c r="AH351">
        <v>15.757</v>
      </c>
      <c r="AI351">
        <v>26.597000000000001</v>
      </c>
      <c r="AJ351">
        <v>29.896999999999998</v>
      </c>
      <c r="AK351">
        <v>34.258000000000003</v>
      </c>
      <c r="AL351">
        <v>44.951999999999998</v>
      </c>
      <c r="AM351">
        <v>60.033999999999999</v>
      </c>
      <c r="AN351">
        <v>60.914000000000001</v>
      </c>
      <c r="AO351">
        <v>77.352000000000004</v>
      </c>
      <c r="AP351">
        <v>92.424999999999997</v>
      </c>
      <c r="AQ351">
        <v>102.39400000000001</v>
      </c>
      <c r="AR351">
        <v>98.573999999999998</v>
      </c>
      <c r="AS351">
        <v>96.340999999999994</v>
      </c>
      <c r="AT351">
        <v>102.06399999999999</v>
      </c>
      <c r="AU351">
        <v>112.90300000000001</v>
      </c>
      <c r="AV351">
        <v>121.062</v>
      </c>
      <c r="AW351">
        <v>131.43899999999999</v>
      </c>
      <c r="AX351">
        <v>146.41399999999999</v>
      </c>
      <c r="AY351">
        <v>2015</v>
      </c>
    </row>
    <row r="352" spans="1:51" x14ac:dyDescent="0.25">
      <c r="A352">
        <v>268</v>
      </c>
      <c r="B352" t="s">
        <v>515</v>
      </c>
      <c r="C352" t="s">
        <v>279</v>
      </c>
      <c r="D352" t="s">
        <v>116</v>
      </c>
      <c r="E352" t="s">
        <v>280</v>
      </c>
      <c r="F352" t="s">
        <v>281</v>
      </c>
      <c r="G352" t="s">
        <v>282</v>
      </c>
      <c r="H352" t="s">
        <v>283</v>
      </c>
      <c r="I352" t="s">
        <v>516</v>
      </c>
      <c r="J352">
        <v>59.878999999999998</v>
      </c>
      <c r="K352">
        <v>61.396000000000001</v>
      </c>
      <c r="L352">
        <v>60.542000000000002</v>
      </c>
      <c r="M352">
        <v>59.981999999999999</v>
      </c>
      <c r="N352">
        <v>62.588999999999999</v>
      </c>
      <c r="O352">
        <v>65.209999999999994</v>
      </c>
      <c r="P352">
        <v>65.682000000000002</v>
      </c>
      <c r="Q352">
        <v>69.643000000000001</v>
      </c>
      <c r="R352">
        <v>72.853999999999999</v>
      </c>
      <c r="S352">
        <v>76.004999999999995</v>
      </c>
      <c r="T352">
        <v>76.078999999999994</v>
      </c>
      <c r="U352">
        <v>78.552999999999997</v>
      </c>
      <c r="V352">
        <v>82.971000000000004</v>
      </c>
      <c r="W352">
        <v>88.14</v>
      </c>
      <c r="X352">
        <v>86.991</v>
      </c>
      <c r="Y352">
        <v>90.540999999999997</v>
      </c>
      <c r="Z352">
        <v>93.781000000000006</v>
      </c>
      <c r="AA352">
        <v>98.463999999999999</v>
      </c>
      <c r="AB352">
        <v>101.321</v>
      </c>
      <c r="AC352">
        <v>99.406000000000006</v>
      </c>
      <c r="AD352">
        <v>106.654</v>
      </c>
      <c r="AE352">
        <v>109.559</v>
      </c>
      <c r="AF352">
        <v>113.672</v>
      </c>
      <c r="AG352">
        <v>118.84099999999999</v>
      </c>
      <c r="AH352">
        <v>126.247</v>
      </c>
      <c r="AI352">
        <v>133.886</v>
      </c>
      <c r="AJ352">
        <v>142.678</v>
      </c>
      <c r="AK352">
        <v>151.50800000000001</v>
      </c>
      <c r="AL352">
        <v>157.91900000000001</v>
      </c>
      <c r="AM352">
        <v>154.07900000000001</v>
      </c>
      <c r="AN352">
        <v>159.828</v>
      </c>
      <c r="AO352">
        <v>165.958</v>
      </c>
      <c r="AP352">
        <v>172.81</v>
      </c>
      <c r="AQ352">
        <v>177.63399999999999</v>
      </c>
      <c r="AR352">
        <v>183.11500000000001</v>
      </c>
      <c r="AS352">
        <v>189.524</v>
      </c>
      <c r="AT352">
        <v>196.34700000000001</v>
      </c>
      <c r="AU352">
        <v>203.61099999999999</v>
      </c>
      <c r="AV352">
        <v>211.34899999999999</v>
      </c>
      <c r="AW352">
        <v>219.803</v>
      </c>
      <c r="AX352">
        <v>228.595</v>
      </c>
      <c r="AY352">
        <v>2013</v>
      </c>
    </row>
    <row r="353" spans="1:51" x14ac:dyDescent="0.25">
      <c r="A353">
        <v>268</v>
      </c>
      <c r="B353" t="s">
        <v>515</v>
      </c>
      <c r="C353" t="s">
        <v>286</v>
      </c>
      <c r="D353" t="s">
        <v>116</v>
      </c>
      <c r="E353" t="s">
        <v>287</v>
      </c>
      <c r="F353" t="s">
        <v>288</v>
      </c>
      <c r="G353" t="s">
        <v>282</v>
      </c>
      <c r="H353" t="s">
        <v>283</v>
      </c>
      <c r="I353" t="s">
        <v>516</v>
      </c>
      <c r="J353">
        <v>7.0170000000000003</v>
      </c>
      <c r="K353">
        <v>7.71</v>
      </c>
      <c r="L353">
        <v>7.94</v>
      </c>
      <c r="M353">
        <v>8.4139999999999997</v>
      </c>
      <c r="N353">
        <v>9.0760000000000005</v>
      </c>
      <c r="O353">
        <v>9.952</v>
      </c>
      <c r="P353">
        <v>10.414</v>
      </c>
      <c r="Q353">
        <v>11.355</v>
      </c>
      <c r="R353">
        <v>12.648999999999999</v>
      </c>
      <c r="S353">
        <v>14.129</v>
      </c>
      <c r="T353">
        <v>17.140999999999998</v>
      </c>
      <c r="U353">
        <v>22.306000000000001</v>
      </c>
      <c r="V353">
        <v>25.704999999999998</v>
      </c>
      <c r="W353">
        <v>31.021999999999998</v>
      </c>
      <c r="X353">
        <v>39.462000000000003</v>
      </c>
      <c r="Y353">
        <v>51.281999999999996</v>
      </c>
      <c r="Z353">
        <v>61.746000000000002</v>
      </c>
      <c r="AA353">
        <v>75.442999999999998</v>
      </c>
      <c r="AB353">
        <v>86.2</v>
      </c>
      <c r="AC353">
        <v>92.048000000000002</v>
      </c>
      <c r="AD353">
        <v>106.654</v>
      </c>
      <c r="AE353">
        <v>118.416</v>
      </c>
      <c r="AF353">
        <v>129.167</v>
      </c>
      <c r="AG353">
        <v>142.81800000000001</v>
      </c>
      <c r="AH353">
        <v>161.50800000000001</v>
      </c>
      <c r="AI353">
        <v>183.74700000000001</v>
      </c>
      <c r="AJ353">
        <v>206.28800000000001</v>
      </c>
      <c r="AK353">
        <v>233.56700000000001</v>
      </c>
      <c r="AL353">
        <v>262.41699999999997</v>
      </c>
      <c r="AM353">
        <v>275.63200000000001</v>
      </c>
      <c r="AN353">
        <v>299.286</v>
      </c>
      <c r="AO353">
        <v>335.02800000000002</v>
      </c>
      <c r="AP353">
        <v>361.34800000000001</v>
      </c>
      <c r="AQ353">
        <v>376.54</v>
      </c>
      <c r="AR353">
        <v>409.61200000000002</v>
      </c>
      <c r="AS353">
        <v>439.702</v>
      </c>
      <c r="AT353">
        <v>473.64499999999998</v>
      </c>
      <c r="AU353">
        <v>510.50400000000002</v>
      </c>
      <c r="AV353">
        <v>552.53499999999997</v>
      </c>
      <c r="AW353">
        <v>599.21400000000006</v>
      </c>
      <c r="AX353">
        <v>650.12300000000005</v>
      </c>
      <c r="AY353">
        <v>2013</v>
      </c>
    </row>
    <row r="354" spans="1:51" x14ac:dyDescent="0.25">
      <c r="A354">
        <v>268</v>
      </c>
      <c r="B354" t="s">
        <v>515</v>
      </c>
      <c r="C354" t="s">
        <v>289</v>
      </c>
      <c r="D354" t="s">
        <v>116</v>
      </c>
      <c r="E354" t="s">
        <v>287</v>
      </c>
      <c r="F354" t="s">
        <v>290</v>
      </c>
      <c r="G354" t="s">
        <v>291</v>
      </c>
      <c r="H354" t="s">
        <v>283</v>
      </c>
      <c r="I354" t="s">
        <v>292</v>
      </c>
      <c r="J354">
        <v>3.508</v>
      </c>
      <c r="K354">
        <v>3.855</v>
      </c>
      <c r="L354">
        <v>3.97</v>
      </c>
      <c r="M354">
        <v>4.2069999999999999</v>
      </c>
      <c r="N354">
        <v>4.5380000000000003</v>
      </c>
      <c r="O354">
        <v>4.976</v>
      </c>
      <c r="P354">
        <v>5.2069999999999999</v>
      </c>
      <c r="Q354">
        <v>5.6779999999999999</v>
      </c>
      <c r="R354">
        <v>6.3239999999999998</v>
      </c>
      <c r="S354">
        <v>7.0650000000000004</v>
      </c>
      <c r="T354">
        <v>4.1689999999999996</v>
      </c>
      <c r="U354">
        <v>4.1950000000000003</v>
      </c>
      <c r="V354">
        <v>4.6749999999999998</v>
      </c>
      <c r="W354">
        <v>4.7939999999999996</v>
      </c>
      <c r="X354">
        <v>4.6929999999999996</v>
      </c>
      <c r="Y354">
        <v>5.415</v>
      </c>
      <c r="Z354">
        <v>5.2169999999999996</v>
      </c>
      <c r="AA354">
        <v>5.7359999999999998</v>
      </c>
      <c r="AB354">
        <v>6.3659999999999997</v>
      </c>
      <c r="AC354">
        <v>6.4169999999999998</v>
      </c>
      <c r="AD354">
        <v>7.1040000000000001</v>
      </c>
      <c r="AE354">
        <v>7.5659999999999998</v>
      </c>
      <c r="AF354">
        <v>7.7750000000000004</v>
      </c>
      <c r="AG354">
        <v>8.14</v>
      </c>
      <c r="AH354">
        <v>8.7720000000000002</v>
      </c>
      <c r="AI354">
        <v>9.6720000000000006</v>
      </c>
      <c r="AJ354">
        <v>10.842000000000001</v>
      </c>
      <c r="AK354">
        <v>12.275</v>
      </c>
      <c r="AL354">
        <v>13.79</v>
      </c>
      <c r="AM354">
        <v>14.486000000000001</v>
      </c>
      <c r="AN354">
        <v>15.73</v>
      </c>
      <c r="AO354">
        <v>17.649000000000001</v>
      </c>
      <c r="AP354">
        <v>18.513999999999999</v>
      </c>
      <c r="AQ354">
        <v>18.498999999999999</v>
      </c>
      <c r="AR354">
        <v>19.510999999999999</v>
      </c>
      <c r="AS354">
        <v>19.940999999999999</v>
      </c>
      <c r="AT354">
        <v>20.457000000000001</v>
      </c>
      <c r="AU354">
        <v>20.998999999999999</v>
      </c>
      <c r="AV354">
        <v>21.646000000000001</v>
      </c>
      <c r="AW354">
        <v>22.356999999999999</v>
      </c>
      <c r="AX354">
        <v>23.100999999999999</v>
      </c>
      <c r="AY354">
        <v>2013</v>
      </c>
    </row>
    <row r="355" spans="1:51" x14ac:dyDescent="0.25">
      <c r="A355">
        <v>268</v>
      </c>
      <c r="B355" t="s">
        <v>515</v>
      </c>
      <c r="C355" t="s">
        <v>293</v>
      </c>
      <c r="D355" t="s">
        <v>116</v>
      </c>
      <c r="E355" t="s">
        <v>294</v>
      </c>
      <c r="F355" t="s">
        <v>295</v>
      </c>
      <c r="G355" t="s">
        <v>296</v>
      </c>
      <c r="I355" t="s">
        <v>297</v>
      </c>
      <c r="J355">
        <v>11.718</v>
      </c>
      <c r="K355">
        <v>12.558</v>
      </c>
      <c r="L355">
        <v>13.114000000000001</v>
      </c>
      <c r="M355">
        <v>14.028</v>
      </c>
      <c r="N355">
        <v>14.500999999999999</v>
      </c>
      <c r="O355">
        <v>15.262</v>
      </c>
      <c r="P355">
        <v>15.856</v>
      </c>
      <c r="Q355">
        <v>16.305</v>
      </c>
      <c r="R355">
        <v>17.361999999999998</v>
      </c>
      <c r="S355">
        <v>18.59</v>
      </c>
      <c r="T355">
        <v>22.530999999999999</v>
      </c>
      <c r="U355">
        <v>28.396000000000001</v>
      </c>
      <c r="V355">
        <v>30.98</v>
      </c>
      <c r="W355">
        <v>35.195999999999998</v>
      </c>
      <c r="X355">
        <v>45.363</v>
      </c>
      <c r="Y355">
        <v>56.64</v>
      </c>
      <c r="Z355">
        <v>65.840999999999994</v>
      </c>
      <c r="AA355">
        <v>76.62</v>
      </c>
      <c r="AB355">
        <v>85.076999999999998</v>
      </c>
      <c r="AC355">
        <v>92.597999999999999</v>
      </c>
      <c r="AD355">
        <v>100</v>
      </c>
      <c r="AE355">
        <v>108.084</v>
      </c>
      <c r="AF355">
        <v>113.631</v>
      </c>
      <c r="AG355">
        <v>120.176</v>
      </c>
      <c r="AH355">
        <v>127.93</v>
      </c>
      <c r="AI355">
        <v>137.24100000000001</v>
      </c>
      <c r="AJ355">
        <v>144.583</v>
      </c>
      <c r="AK355">
        <v>154.16200000000001</v>
      </c>
      <c r="AL355">
        <v>166.17099999999999</v>
      </c>
      <c r="AM355">
        <v>178.89</v>
      </c>
      <c r="AN355">
        <v>187.255</v>
      </c>
      <c r="AO355">
        <v>201.875</v>
      </c>
      <c r="AP355">
        <v>209.101</v>
      </c>
      <c r="AQ355">
        <v>211.97499999999999</v>
      </c>
      <c r="AR355">
        <v>223.691</v>
      </c>
      <c r="AS355">
        <v>232.00399999999999</v>
      </c>
      <c r="AT355">
        <v>241.22900000000001</v>
      </c>
      <c r="AU355">
        <v>250.72499999999999</v>
      </c>
      <c r="AV355">
        <v>261.43299999999999</v>
      </c>
      <c r="AW355">
        <v>272.61500000000001</v>
      </c>
      <c r="AX355">
        <v>284.39999999999998</v>
      </c>
      <c r="AY355">
        <v>2013</v>
      </c>
    </row>
    <row r="356" spans="1:51" x14ac:dyDescent="0.25">
      <c r="A356">
        <v>268</v>
      </c>
      <c r="B356" t="s">
        <v>515</v>
      </c>
      <c r="C356" t="s">
        <v>298</v>
      </c>
      <c r="D356" t="s">
        <v>116</v>
      </c>
      <c r="E356" t="s">
        <v>299</v>
      </c>
      <c r="F356" t="s">
        <v>300</v>
      </c>
      <c r="G356" t="s">
        <v>282</v>
      </c>
      <c r="H356" t="s">
        <v>283</v>
      </c>
      <c r="I356" t="s">
        <v>517</v>
      </c>
      <c r="J356" t="s">
        <v>285</v>
      </c>
      <c r="K356" t="s">
        <v>285</v>
      </c>
      <c r="L356" t="s">
        <v>285</v>
      </c>
      <c r="M356" t="s">
        <v>285</v>
      </c>
      <c r="N356" t="s">
        <v>285</v>
      </c>
      <c r="O356" t="s">
        <v>285</v>
      </c>
      <c r="P356" t="s">
        <v>285</v>
      </c>
      <c r="Q356" t="s">
        <v>285</v>
      </c>
      <c r="R356" t="s">
        <v>285</v>
      </c>
      <c r="S356" t="s">
        <v>285</v>
      </c>
      <c r="T356">
        <v>3.54</v>
      </c>
      <c r="U356">
        <v>4.9379999999999997</v>
      </c>
      <c r="V356">
        <v>5.9290000000000003</v>
      </c>
      <c r="W356">
        <v>8.109</v>
      </c>
      <c r="X356">
        <v>8.0020000000000007</v>
      </c>
      <c r="Y356">
        <v>9.4060000000000006</v>
      </c>
      <c r="Z356">
        <v>12.282</v>
      </c>
      <c r="AA356">
        <v>15.590999999999999</v>
      </c>
      <c r="AB356">
        <v>17.838000000000001</v>
      </c>
      <c r="AC356">
        <v>22.875</v>
      </c>
      <c r="AD356">
        <v>25.116</v>
      </c>
      <c r="AE356">
        <v>31.629000000000001</v>
      </c>
      <c r="AF356">
        <v>36.9</v>
      </c>
      <c r="AG356">
        <v>40.241</v>
      </c>
      <c r="AH356">
        <v>43.962000000000003</v>
      </c>
      <c r="AI356">
        <v>46.228000000000002</v>
      </c>
      <c r="AJ356">
        <v>53.622999999999998</v>
      </c>
      <c r="AK356">
        <v>60.850999999999999</v>
      </c>
      <c r="AL356">
        <v>73.849000000000004</v>
      </c>
      <c r="AM356">
        <v>79.644999999999996</v>
      </c>
      <c r="AN356">
        <v>80.733999999999995</v>
      </c>
      <c r="AO356">
        <v>86.747</v>
      </c>
      <c r="AP356">
        <v>96.421000000000006</v>
      </c>
      <c r="AQ356">
        <v>115.033</v>
      </c>
      <c r="AR356">
        <v>117.491</v>
      </c>
      <c r="AS356">
        <v>124.223</v>
      </c>
      <c r="AT356">
        <v>132.93199999999999</v>
      </c>
      <c r="AU356">
        <v>144.18299999999999</v>
      </c>
      <c r="AV356">
        <v>154.84899999999999</v>
      </c>
      <c r="AW356">
        <v>166.185</v>
      </c>
      <c r="AX356">
        <v>181.19499999999999</v>
      </c>
      <c r="AY356">
        <v>2013</v>
      </c>
    </row>
    <row r="357" spans="1:51" x14ac:dyDescent="0.25">
      <c r="A357">
        <v>532</v>
      </c>
      <c r="B357" t="s">
        <v>518</v>
      </c>
      <c r="C357" t="s">
        <v>279</v>
      </c>
      <c r="D357" t="s">
        <v>519</v>
      </c>
      <c r="E357" t="s">
        <v>280</v>
      </c>
      <c r="F357" t="s">
        <v>281</v>
      </c>
      <c r="G357" t="s">
        <v>282</v>
      </c>
      <c r="H357" t="s">
        <v>283</v>
      </c>
      <c r="I357" t="s">
        <v>520</v>
      </c>
      <c r="J357">
        <v>462.697</v>
      </c>
      <c r="K357">
        <v>505.23200000000003</v>
      </c>
      <c r="L357">
        <v>519.81600000000003</v>
      </c>
      <c r="M357">
        <v>551.08000000000004</v>
      </c>
      <c r="N357">
        <v>606.20100000000002</v>
      </c>
      <c r="O357">
        <v>610.53399999999999</v>
      </c>
      <c r="P357">
        <v>678.327</v>
      </c>
      <c r="Q357">
        <v>769.19100000000003</v>
      </c>
      <c r="R357">
        <v>834.66200000000003</v>
      </c>
      <c r="S357">
        <v>853.66800000000001</v>
      </c>
      <c r="T357">
        <v>886.36699999999996</v>
      </c>
      <c r="U357">
        <v>936.90700000000004</v>
      </c>
      <c r="V357">
        <v>995.32299999999998</v>
      </c>
      <c r="W357" s="21">
        <v>1057.0440000000001</v>
      </c>
      <c r="X357" s="21">
        <v>1120.847</v>
      </c>
      <c r="Y357" s="21">
        <v>1147.454</v>
      </c>
      <c r="Z357" s="21">
        <v>1196.318</v>
      </c>
      <c r="AA357" s="21">
        <v>1257.326</v>
      </c>
      <c r="AB357" s="21">
        <v>1183.3620000000001</v>
      </c>
      <c r="AC357" s="21">
        <v>1213.0250000000001</v>
      </c>
      <c r="AD357" s="21">
        <v>1305.9849999999999</v>
      </c>
      <c r="AE357" s="21">
        <v>1313.309</v>
      </c>
      <c r="AF357" s="21">
        <v>1335.066</v>
      </c>
      <c r="AG357" s="21">
        <v>1375.87</v>
      </c>
      <c r="AH357" s="21">
        <v>1495.5719999999999</v>
      </c>
      <c r="AI357" s="21">
        <v>1606.067</v>
      </c>
      <c r="AJ357" s="21">
        <v>1719.0150000000001</v>
      </c>
      <c r="AK357" s="21">
        <v>1830.145</v>
      </c>
      <c r="AL357" s="21">
        <v>1869.088</v>
      </c>
      <c r="AM357" s="21">
        <v>1823.125</v>
      </c>
      <c r="AN357" s="21">
        <v>1946.5070000000001</v>
      </c>
      <c r="AO357" s="21">
        <v>2040.2249999999999</v>
      </c>
      <c r="AP357" s="21">
        <v>2074.915</v>
      </c>
      <c r="AQ357" s="21">
        <v>2138.66</v>
      </c>
      <c r="AR357" s="21">
        <v>2192.1529999999998</v>
      </c>
      <c r="AS357" s="21">
        <v>2247.4090000000001</v>
      </c>
      <c r="AT357" s="21">
        <v>2307.8020000000001</v>
      </c>
      <c r="AU357" s="21">
        <v>2371.38</v>
      </c>
      <c r="AV357" s="21">
        <v>2439.549</v>
      </c>
      <c r="AW357" s="21">
        <v>2515.6840000000002</v>
      </c>
      <c r="AX357" s="21">
        <v>2598.4879999999998</v>
      </c>
      <c r="AY357">
        <v>2014</v>
      </c>
    </row>
    <row r="358" spans="1:51" x14ac:dyDescent="0.25">
      <c r="A358">
        <v>532</v>
      </c>
      <c r="B358" t="s">
        <v>518</v>
      </c>
      <c r="C358" t="s">
        <v>286</v>
      </c>
      <c r="D358" t="s">
        <v>519</v>
      </c>
      <c r="E358" t="s">
        <v>287</v>
      </c>
      <c r="F358" t="s">
        <v>288</v>
      </c>
      <c r="G358" t="s">
        <v>282</v>
      </c>
      <c r="H358" t="s">
        <v>283</v>
      </c>
      <c r="I358" t="s">
        <v>520</v>
      </c>
      <c r="J358">
        <v>143.62</v>
      </c>
      <c r="K358">
        <v>173.577</v>
      </c>
      <c r="L358">
        <v>196.005</v>
      </c>
      <c r="M358">
        <v>217.28200000000001</v>
      </c>
      <c r="N358">
        <v>261.99200000000002</v>
      </c>
      <c r="O358">
        <v>278.12700000000001</v>
      </c>
      <c r="P358">
        <v>320.52600000000001</v>
      </c>
      <c r="Q358">
        <v>394.77100000000002</v>
      </c>
      <c r="R358">
        <v>466.077</v>
      </c>
      <c r="S358">
        <v>536.55899999999997</v>
      </c>
      <c r="T358">
        <v>599.25800000000004</v>
      </c>
      <c r="U358">
        <v>691.32299999999998</v>
      </c>
      <c r="V358">
        <v>807.12800000000004</v>
      </c>
      <c r="W358">
        <v>931.00800000000004</v>
      </c>
      <c r="X358" s="21">
        <v>1049.6099999999999</v>
      </c>
      <c r="Y358" s="21">
        <v>1119.0060000000001</v>
      </c>
      <c r="Z358" s="21">
        <v>1235.3009999999999</v>
      </c>
      <c r="AA358" s="21">
        <v>1373.0830000000001</v>
      </c>
      <c r="AB358" s="21">
        <v>1308.0740000000001</v>
      </c>
      <c r="AC358" s="21">
        <v>1285.9459999999999</v>
      </c>
      <c r="AD358" s="21">
        <v>1337.501</v>
      </c>
      <c r="AE358" s="21">
        <v>1321.1420000000001</v>
      </c>
      <c r="AF358" s="21">
        <v>1297.3399999999999</v>
      </c>
      <c r="AG358" s="21">
        <v>1256.6690000000001</v>
      </c>
      <c r="AH358" s="21">
        <v>1316.9490000000001</v>
      </c>
      <c r="AI358" s="21">
        <v>1412.125</v>
      </c>
      <c r="AJ358" s="21">
        <v>1503.3520000000001</v>
      </c>
      <c r="AK358" s="21">
        <v>1650.7560000000001</v>
      </c>
      <c r="AL358" s="21">
        <v>1707.4880000000001</v>
      </c>
      <c r="AM358" s="21">
        <v>1659.2449999999999</v>
      </c>
      <c r="AN358" s="21">
        <v>1776.3320000000001</v>
      </c>
      <c r="AO358" s="21">
        <v>1934.43</v>
      </c>
      <c r="AP358" s="21">
        <v>2037.059</v>
      </c>
      <c r="AQ358" s="21">
        <v>2138.66</v>
      </c>
      <c r="AR358" s="21">
        <v>2255.6350000000002</v>
      </c>
      <c r="AS358" s="21">
        <v>2386.384</v>
      </c>
      <c r="AT358" s="21">
        <v>2500.5650000000001</v>
      </c>
      <c r="AU358" s="21">
        <v>2619.54</v>
      </c>
      <c r="AV358" s="21">
        <v>2749.5169999999998</v>
      </c>
      <c r="AW358" s="21">
        <v>2896.4639999999999</v>
      </c>
      <c r="AX358" s="21">
        <v>3056.4250000000002</v>
      </c>
      <c r="AY358">
        <v>2014</v>
      </c>
    </row>
    <row r="359" spans="1:51" x14ac:dyDescent="0.25">
      <c r="A359">
        <v>532</v>
      </c>
      <c r="B359" t="s">
        <v>518</v>
      </c>
      <c r="C359" t="s">
        <v>289</v>
      </c>
      <c r="D359" t="s">
        <v>519</v>
      </c>
      <c r="E359" t="s">
        <v>287</v>
      </c>
      <c r="F359" t="s">
        <v>290</v>
      </c>
      <c r="G359" t="s">
        <v>291</v>
      </c>
      <c r="H359" t="s">
        <v>283</v>
      </c>
      <c r="I359" t="s">
        <v>292</v>
      </c>
      <c r="J359">
        <v>28.861999999999998</v>
      </c>
      <c r="K359">
        <v>31.055</v>
      </c>
      <c r="L359">
        <v>32.290999999999997</v>
      </c>
      <c r="M359">
        <v>29.907</v>
      </c>
      <c r="N359">
        <v>33.511000000000003</v>
      </c>
      <c r="O359">
        <v>35.700000000000003</v>
      </c>
      <c r="P359">
        <v>41.076000000000001</v>
      </c>
      <c r="Q359">
        <v>50.622999999999998</v>
      </c>
      <c r="R359">
        <v>59.707999999999998</v>
      </c>
      <c r="S359">
        <v>68.790000000000006</v>
      </c>
      <c r="T359">
        <v>76.929000000000002</v>
      </c>
      <c r="U359">
        <v>88.96</v>
      </c>
      <c r="V359">
        <v>104.27200000000001</v>
      </c>
      <c r="W359">
        <v>120.354</v>
      </c>
      <c r="X359">
        <v>135.80699999999999</v>
      </c>
      <c r="Y359">
        <v>144.65299999999999</v>
      </c>
      <c r="Z359">
        <v>159.71799999999999</v>
      </c>
      <c r="AA359">
        <v>177.35300000000001</v>
      </c>
      <c r="AB359">
        <v>168.88</v>
      </c>
      <c r="AC359">
        <v>165.76900000000001</v>
      </c>
      <c r="AD359">
        <v>171.66900000000001</v>
      </c>
      <c r="AE359">
        <v>169.404</v>
      </c>
      <c r="AF359">
        <v>166.32599999999999</v>
      </c>
      <c r="AG359">
        <v>161.35499999999999</v>
      </c>
      <c r="AH359">
        <v>169.096</v>
      </c>
      <c r="AI359">
        <v>181.57</v>
      </c>
      <c r="AJ359">
        <v>193.53399999999999</v>
      </c>
      <c r="AK359">
        <v>211.59899999999999</v>
      </c>
      <c r="AL359">
        <v>219.28</v>
      </c>
      <c r="AM359">
        <v>214.04599999999999</v>
      </c>
      <c r="AN359">
        <v>228.637</v>
      </c>
      <c r="AO359">
        <v>248.51400000000001</v>
      </c>
      <c r="AP359">
        <v>262.62900000000002</v>
      </c>
      <c r="AQ359">
        <v>275.74299999999999</v>
      </c>
      <c r="AR359">
        <v>290.89600000000002</v>
      </c>
      <c r="AS359">
        <v>307.79000000000002</v>
      </c>
      <c r="AT359">
        <v>322.166</v>
      </c>
      <c r="AU359">
        <v>339.37799999999999</v>
      </c>
      <c r="AV359">
        <v>358.66500000000002</v>
      </c>
      <c r="AW359">
        <v>379.77600000000001</v>
      </c>
      <c r="AX359">
        <v>405.78100000000001</v>
      </c>
      <c r="AY359">
        <v>2014</v>
      </c>
    </row>
    <row r="360" spans="1:51" x14ac:dyDescent="0.25">
      <c r="A360">
        <v>532</v>
      </c>
      <c r="B360" t="s">
        <v>518</v>
      </c>
      <c r="C360" t="s">
        <v>293</v>
      </c>
      <c r="D360" t="s">
        <v>519</v>
      </c>
      <c r="E360" t="s">
        <v>294</v>
      </c>
      <c r="F360" t="s">
        <v>295</v>
      </c>
      <c r="G360" t="s">
        <v>296</v>
      </c>
      <c r="I360" t="s">
        <v>297</v>
      </c>
      <c r="J360">
        <v>31.04</v>
      </c>
      <c r="K360">
        <v>34.356000000000002</v>
      </c>
      <c r="L360">
        <v>37.707000000000001</v>
      </c>
      <c r="M360">
        <v>39.427999999999997</v>
      </c>
      <c r="N360">
        <v>43.219000000000001</v>
      </c>
      <c r="O360">
        <v>45.555</v>
      </c>
      <c r="P360">
        <v>47.252000000000002</v>
      </c>
      <c r="Q360">
        <v>51.323</v>
      </c>
      <c r="R360">
        <v>55.84</v>
      </c>
      <c r="S360">
        <v>62.853000000000002</v>
      </c>
      <c r="T360">
        <v>67.608000000000004</v>
      </c>
      <c r="U360">
        <v>73.787999999999997</v>
      </c>
      <c r="V360">
        <v>81.091999999999999</v>
      </c>
      <c r="W360">
        <v>88.076999999999998</v>
      </c>
      <c r="X360">
        <v>93.644000000000005</v>
      </c>
      <c r="Y360">
        <v>97.521000000000001</v>
      </c>
      <c r="Z360">
        <v>103.259</v>
      </c>
      <c r="AA360">
        <v>109.20699999999999</v>
      </c>
      <c r="AB360">
        <v>110.539</v>
      </c>
      <c r="AC360">
        <v>106.012</v>
      </c>
      <c r="AD360">
        <v>102.413</v>
      </c>
      <c r="AE360">
        <v>100.596</v>
      </c>
      <c r="AF360">
        <v>97.174000000000007</v>
      </c>
      <c r="AG360">
        <v>91.335999999999999</v>
      </c>
      <c r="AH360">
        <v>88.057000000000002</v>
      </c>
      <c r="AI360">
        <v>87.924000000000007</v>
      </c>
      <c r="AJ360">
        <v>87.453999999999994</v>
      </c>
      <c r="AK360">
        <v>90.197999999999993</v>
      </c>
      <c r="AL360">
        <v>91.353999999999999</v>
      </c>
      <c r="AM360">
        <v>91.010999999999996</v>
      </c>
      <c r="AN360">
        <v>91.257000000000005</v>
      </c>
      <c r="AO360">
        <v>94.814999999999998</v>
      </c>
      <c r="AP360">
        <v>98.176000000000002</v>
      </c>
      <c r="AQ360">
        <v>100</v>
      </c>
      <c r="AR360">
        <v>102.896</v>
      </c>
      <c r="AS360">
        <v>106.184</v>
      </c>
      <c r="AT360">
        <v>108.35299999999999</v>
      </c>
      <c r="AU360">
        <v>110.465</v>
      </c>
      <c r="AV360">
        <v>112.706</v>
      </c>
      <c r="AW360">
        <v>115.136</v>
      </c>
      <c r="AX360">
        <v>117.623</v>
      </c>
      <c r="AY360">
        <v>2014</v>
      </c>
    </row>
    <row r="361" spans="1:51" x14ac:dyDescent="0.25">
      <c r="A361">
        <v>532</v>
      </c>
      <c r="B361" t="s">
        <v>518</v>
      </c>
      <c r="C361" t="s">
        <v>298</v>
      </c>
      <c r="D361" t="s">
        <v>519</v>
      </c>
      <c r="E361" t="s">
        <v>299</v>
      </c>
      <c r="F361" t="s">
        <v>300</v>
      </c>
      <c r="G361" t="s">
        <v>282</v>
      </c>
      <c r="H361" t="s">
        <v>283</v>
      </c>
      <c r="I361" t="s">
        <v>521</v>
      </c>
      <c r="J361" t="s">
        <v>285</v>
      </c>
      <c r="K361" t="s">
        <v>285</v>
      </c>
      <c r="L361" t="s">
        <v>285</v>
      </c>
      <c r="M361" t="s">
        <v>285</v>
      </c>
      <c r="N361">
        <v>36.087000000000003</v>
      </c>
      <c r="O361">
        <v>40.844999999999999</v>
      </c>
      <c r="P361">
        <v>42.704000000000001</v>
      </c>
      <c r="Q361">
        <v>48.375</v>
      </c>
      <c r="R361">
        <v>56.591999999999999</v>
      </c>
      <c r="S361">
        <v>71.367000000000004</v>
      </c>
      <c r="T361">
        <v>85.555999999999997</v>
      </c>
      <c r="U361">
        <v>92.191000000000003</v>
      </c>
      <c r="V361">
        <v>113.33199999999999</v>
      </c>
      <c r="W361">
        <v>147.4</v>
      </c>
      <c r="X361">
        <v>164.2</v>
      </c>
      <c r="Y361">
        <v>183.2</v>
      </c>
      <c r="Z361">
        <v>182.7</v>
      </c>
      <c r="AA361">
        <v>194.36</v>
      </c>
      <c r="AB361">
        <v>239.35599999999999</v>
      </c>
      <c r="AC361">
        <v>223.04300000000001</v>
      </c>
      <c r="AD361">
        <v>232.89400000000001</v>
      </c>
      <c r="AE361">
        <v>238.89</v>
      </c>
      <c r="AF361">
        <v>239.17699999999999</v>
      </c>
      <c r="AG361">
        <v>247.46600000000001</v>
      </c>
      <c r="AH361">
        <v>242.23500000000001</v>
      </c>
      <c r="AI361">
        <v>233.071</v>
      </c>
      <c r="AJ361">
        <v>229.41300000000001</v>
      </c>
      <c r="AK361">
        <v>234.81399999999999</v>
      </c>
      <c r="AL361">
        <v>315.11200000000002</v>
      </c>
      <c r="AM361">
        <v>292.52499999999998</v>
      </c>
      <c r="AN361">
        <v>301.36</v>
      </c>
      <c r="AO361">
        <v>364.03699999999998</v>
      </c>
      <c r="AP361">
        <v>377.32499999999999</v>
      </c>
      <c r="AQ361">
        <v>433.54300000000001</v>
      </c>
      <c r="AR361">
        <v>396.18299999999999</v>
      </c>
      <c r="AS361">
        <v>440.827</v>
      </c>
      <c r="AT361">
        <v>484.64800000000002</v>
      </c>
      <c r="AU361">
        <v>507.62099999999998</v>
      </c>
      <c r="AV361">
        <v>526.81100000000004</v>
      </c>
      <c r="AW361">
        <v>524.4</v>
      </c>
      <c r="AX361">
        <v>553.36099999999999</v>
      </c>
      <c r="AY361">
        <v>2015</v>
      </c>
    </row>
    <row r="362" spans="1:51" x14ac:dyDescent="0.25">
      <c r="A362">
        <v>944</v>
      </c>
      <c r="B362" t="s">
        <v>522</v>
      </c>
      <c r="C362" t="s">
        <v>279</v>
      </c>
      <c r="D362" t="s">
        <v>117</v>
      </c>
      <c r="E362" t="s">
        <v>280</v>
      </c>
      <c r="F362" t="s">
        <v>281</v>
      </c>
      <c r="G362" t="s">
        <v>282</v>
      </c>
      <c r="H362" t="s">
        <v>283</v>
      </c>
      <c r="I362" t="s">
        <v>523</v>
      </c>
      <c r="J362" s="21">
        <v>15608.593000000001</v>
      </c>
      <c r="K362" s="21">
        <v>16056.052</v>
      </c>
      <c r="L362" s="21">
        <v>16512.218000000001</v>
      </c>
      <c r="M362" s="21">
        <v>16631.596000000001</v>
      </c>
      <c r="N362" s="21">
        <v>17073.671999999999</v>
      </c>
      <c r="O362" s="21">
        <v>17030.464</v>
      </c>
      <c r="P362" s="21">
        <v>17291.873</v>
      </c>
      <c r="Q362" s="21">
        <v>17992.405999999999</v>
      </c>
      <c r="R362" s="21">
        <v>17980.664000000001</v>
      </c>
      <c r="S362" s="21">
        <v>18113.078000000001</v>
      </c>
      <c r="T362" s="21">
        <v>17479.724999999999</v>
      </c>
      <c r="U362" s="21">
        <v>15401.029</v>
      </c>
      <c r="V362" s="21">
        <v>14929.114</v>
      </c>
      <c r="W362" s="21">
        <v>14843.106</v>
      </c>
      <c r="X362" s="21">
        <v>15280.555</v>
      </c>
      <c r="Y362" s="21">
        <v>15668.862999999999</v>
      </c>
      <c r="Z362" s="21">
        <v>15674.178</v>
      </c>
      <c r="AA362" s="21">
        <v>16202.771000000001</v>
      </c>
      <c r="AB362" s="21">
        <v>16884.661</v>
      </c>
      <c r="AC362" s="21">
        <v>17431.406999999999</v>
      </c>
      <c r="AD362" s="21">
        <v>18170.569</v>
      </c>
      <c r="AE362" s="21">
        <v>18849.259999999998</v>
      </c>
      <c r="AF362" s="21">
        <v>19695.808000000001</v>
      </c>
      <c r="AG362" s="21">
        <v>20439.984</v>
      </c>
      <c r="AH362" s="21">
        <v>21418.927</v>
      </c>
      <c r="AI362" s="21">
        <v>22331.3</v>
      </c>
      <c r="AJ362" s="21">
        <v>23216.276999999998</v>
      </c>
      <c r="AK362" s="21">
        <v>23334.976999999999</v>
      </c>
      <c r="AL362" s="21">
        <v>23539.993999999999</v>
      </c>
      <c r="AM362" s="21">
        <v>21997.882000000001</v>
      </c>
      <c r="AN362" s="21">
        <v>22171.471000000001</v>
      </c>
      <c r="AO362" s="21">
        <v>22572.022000000001</v>
      </c>
      <c r="AP362" s="21">
        <v>22238.42</v>
      </c>
      <c r="AQ362" s="21">
        <v>22577.593000000001</v>
      </c>
      <c r="AR362" s="21">
        <v>23384.764999999999</v>
      </c>
      <c r="AS362" s="21">
        <v>24086.308000000001</v>
      </c>
      <c r="AT362" s="21">
        <v>24688.466</v>
      </c>
      <c r="AU362" s="21">
        <v>25256.3</v>
      </c>
      <c r="AV362" s="21">
        <v>25786.683000000001</v>
      </c>
      <c r="AW362" s="21">
        <v>26328.203000000001</v>
      </c>
      <c r="AX362" s="21">
        <v>26881.095000000001</v>
      </c>
      <c r="AY362">
        <v>2014</v>
      </c>
    </row>
    <row r="363" spans="1:51" x14ac:dyDescent="0.25">
      <c r="A363">
        <v>944</v>
      </c>
      <c r="B363" t="s">
        <v>522</v>
      </c>
      <c r="C363" t="s">
        <v>286</v>
      </c>
      <c r="D363" t="s">
        <v>117</v>
      </c>
      <c r="E363" t="s">
        <v>287</v>
      </c>
      <c r="F363" t="s">
        <v>288</v>
      </c>
      <c r="G363" t="s">
        <v>282</v>
      </c>
      <c r="H363" t="s">
        <v>283</v>
      </c>
      <c r="I363" t="s">
        <v>523</v>
      </c>
      <c r="J363">
        <v>745.41200000000003</v>
      </c>
      <c r="K363">
        <v>806.28399999999999</v>
      </c>
      <c r="L363">
        <v>876.54100000000005</v>
      </c>
      <c r="M363">
        <v>926.67700000000002</v>
      </c>
      <c r="N363" s="21">
        <v>1011.5410000000001</v>
      </c>
      <c r="O363" s="21">
        <v>1068.6099999999999</v>
      </c>
      <c r="P363" s="21">
        <v>1125.617</v>
      </c>
      <c r="Q363" s="21">
        <v>1267.838</v>
      </c>
      <c r="R363" s="21">
        <v>1489.068</v>
      </c>
      <c r="S363" s="21">
        <v>1781.0889999999999</v>
      </c>
      <c r="T363" s="21">
        <v>2159.9609999999998</v>
      </c>
      <c r="U363" s="21">
        <v>2582.797</v>
      </c>
      <c r="V363" s="21">
        <v>3042.1709999999998</v>
      </c>
      <c r="W363" s="21">
        <v>3668.2429999999999</v>
      </c>
      <c r="X363" s="21">
        <v>4512.4030000000002</v>
      </c>
      <c r="Y363" s="21">
        <v>5803.8729999999996</v>
      </c>
      <c r="Z363" s="21">
        <v>7090.2520000000004</v>
      </c>
      <c r="AA363" s="21">
        <v>8792.1990000000005</v>
      </c>
      <c r="AB363" s="21">
        <v>10408.873</v>
      </c>
      <c r="AC363" s="21">
        <v>11612.052</v>
      </c>
      <c r="AD363" s="21">
        <v>13293.578</v>
      </c>
      <c r="AE363" s="21">
        <v>15336.647999999999</v>
      </c>
      <c r="AF363" s="21">
        <v>17371.294999999998</v>
      </c>
      <c r="AG363" s="21">
        <v>19007.39</v>
      </c>
      <c r="AH363" s="21">
        <v>20914.615000000002</v>
      </c>
      <c r="AI363" s="21">
        <v>22331.3</v>
      </c>
      <c r="AJ363" s="21">
        <v>24034.627</v>
      </c>
      <c r="AK363" s="21">
        <v>25446.89</v>
      </c>
      <c r="AL363" s="21">
        <v>26949.315999999999</v>
      </c>
      <c r="AM363" s="21">
        <v>26174.885999999999</v>
      </c>
      <c r="AN363" s="21">
        <v>26946.03</v>
      </c>
      <c r="AO363" s="21">
        <v>28035.032999999999</v>
      </c>
      <c r="AP363" s="21">
        <v>28548.799999999999</v>
      </c>
      <c r="AQ363" s="21">
        <v>29846.258999999998</v>
      </c>
      <c r="AR363" s="21">
        <v>31863.969000000001</v>
      </c>
      <c r="AS363" s="21">
        <v>33706.025000000001</v>
      </c>
      <c r="AT363" s="21">
        <v>35481.49</v>
      </c>
      <c r="AU363" s="21">
        <v>37277.597999999998</v>
      </c>
      <c r="AV363" s="21">
        <v>39088.06</v>
      </c>
      <c r="AW363" s="21">
        <v>40986.449000000001</v>
      </c>
      <c r="AX363" s="21">
        <v>42977.038</v>
      </c>
      <c r="AY363">
        <v>2014</v>
      </c>
    </row>
    <row r="364" spans="1:51" x14ac:dyDescent="0.25">
      <c r="A364">
        <v>944</v>
      </c>
      <c r="B364" t="s">
        <v>522</v>
      </c>
      <c r="C364" t="s">
        <v>289</v>
      </c>
      <c r="D364" t="s">
        <v>117</v>
      </c>
      <c r="E364" t="s">
        <v>287</v>
      </c>
      <c r="F364" t="s">
        <v>290</v>
      </c>
      <c r="G364" t="s">
        <v>291</v>
      </c>
      <c r="H364" t="s">
        <v>283</v>
      </c>
      <c r="I364" t="s">
        <v>292</v>
      </c>
      <c r="J364">
        <v>22.913</v>
      </c>
      <c r="K364">
        <v>23.497</v>
      </c>
      <c r="L364">
        <v>23.928999999999998</v>
      </c>
      <c r="M364">
        <v>21.716999999999999</v>
      </c>
      <c r="N364">
        <v>21.055</v>
      </c>
      <c r="O364">
        <v>21.321000000000002</v>
      </c>
      <c r="P364">
        <v>24.56</v>
      </c>
      <c r="Q364">
        <v>26.992000000000001</v>
      </c>
      <c r="R364">
        <v>29.536999999999999</v>
      </c>
      <c r="S364">
        <v>30.154</v>
      </c>
      <c r="T364">
        <v>34.173000000000002</v>
      </c>
      <c r="U364">
        <v>34.558999999999997</v>
      </c>
      <c r="V364">
        <v>38.514000000000003</v>
      </c>
      <c r="W364">
        <v>39.901000000000003</v>
      </c>
      <c r="X364">
        <v>42.91</v>
      </c>
      <c r="Y364">
        <v>46.179000000000002</v>
      </c>
      <c r="Z364">
        <v>46.448999999999998</v>
      </c>
      <c r="AA364">
        <v>47.07</v>
      </c>
      <c r="AB364">
        <v>48.548000000000002</v>
      </c>
      <c r="AC364">
        <v>48.966000000000001</v>
      </c>
      <c r="AD364">
        <v>47.11</v>
      </c>
      <c r="AE364">
        <v>53.533000000000001</v>
      </c>
      <c r="AF364">
        <v>67.366</v>
      </c>
      <c r="AG364">
        <v>84.738</v>
      </c>
      <c r="AH364">
        <v>103.157</v>
      </c>
      <c r="AI364">
        <v>111.89</v>
      </c>
      <c r="AJ364">
        <v>114.238</v>
      </c>
      <c r="AK364">
        <v>138.58000000000001</v>
      </c>
      <c r="AL364">
        <v>156.57900000000001</v>
      </c>
      <c r="AM364">
        <v>129.36000000000001</v>
      </c>
      <c r="AN364">
        <v>129.58500000000001</v>
      </c>
      <c r="AO364">
        <v>139.447</v>
      </c>
      <c r="AP364">
        <v>126.825</v>
      </c>
      <c r="AQ364">
        <v>133.42400000000001</v>
      </c>
      <c r="AR364">
        <v>136.989</v>
      </c>
      <c r="AS364">
        <v>118.49</v>
      </c>
      <c r="AT364">
        <v>124.012</v>
      </c>
      <c r="AU364">
        <v>130.636</v>
      </c>
      <c r="AV364">
        <v>137.33500000000001</v>
      </c>
      <c r="AW364">
        <v>143.75899999999999</v>
      </c>
      <c r="AX364">
        <v>150.095</v>
      </c>
      <c r="AY364">
        <v>2014</v>
      </c>
    </row>
    <row r="365" spans="1:51" x14ac:dyDescent="0.25">
      <c r="A365">
        <v>944</v>
      </c>
      <c r="B365" t="s">
        <v>522</v>
      </c>
      <c r="C365" t="s">
        <v>293</v>
      </c>
      <c r="D365" t="s">
        <v>117</v>
      </c>
      <c r="E365" t="s">
        <v>294</v>
      </c>
      <c r="F365" t="s">
        <v>295</v>
      </c>
      <c r="G365" t="s">
        <v>296</v>
      </c>
      <c r="I365" t="s">
        <v>297</v>
      </c>
      <c r="J365">
        <v>4.7759999999999998</v>
      </c>
      <c r="K365">
        <v>5.0220000000000002</v>
      </c>
      <c r="L365">
        <v>5.3079999999999998</v>
      </c>
      <c r="M365">
        <v>5.5720000000000001</v>
      </c>
      <c r="N365">
        <v>5.9249999999999998</v>
      </c>
      <c r="O365">
        <v>6.2750000000000004</v>
      </c>
      <c r="P365">
        <v>6.51</v>
      </c>
      <c r="Q365">
        <v>7.0469999999999997</v>
      </c>
      <c r="R365">
        <v>8.2810000000000006</v>
      </c>
      <c r="S365">
        <v>9.8330000000000002</v>
      </c>
      <c r="T365">
        <v>12.356999999999999</v>
      </c>
      <c r="U365">
        <v>16.77</v>
      </c>
      <c r="V365">
        <v>20.376999999999999</v>
      </c>
      <c r="W365">
        <v>24.713000000000001</v>
      </c>
      <c r="X365">
        <v>29.53</v>
      </c>
      <c r="Y365">
        <v>37.040999999999997</v>
      </c>
      <c r="Z365">
        <v>45.234999999999999</v>
      </c>
      <c r="AA365">
        <v>54.264000000000003</v>
      </c>
      <c r="AB365">
        <v>61.646999999999998</v>
      </c>
      <c r="AC365">
        <v>66.616</v>
      </c>
      <c r="AD365">
        <v>73.16</v>
      </c>
      <c r="AE365">
        <v>81.364999999999995</v>
      </c>
      <c r="AF365">
        <v>88.197999999999993</v>
      </c>
      <c r="AG365">
        <v>92.991</v>
      </c>
      <c r="AH365">
        <v>97.644999999999996</v>
      </c>
      <c r="AI365">
        <v>100</v>
      </c>
      <c r="AJ365">
        <v>103.52500000000001</v>
      </c>
      <c r="AK365">
        <v>109.05</v>
      </c>
      <c r="AL365">
        <v>114.483</v>
      </c>
      <c r="AM365">
        <v>118.988</v>
      </c>
      <c r="AN365">
        <v>121.535</v>
      </c>
      <c r="AO365">
        <v>124.203</v>
      </c>
      <c r="AP365">
        <v>128.376</v>
      </c>
      <c r="AQ365">
        <v>132.19399999999999</v>
      </c>
      <c r="AR365">
        <v>136.26</v>
      </c>
      <c r="AS365">
        <v>139.93899999999999</v>
      </c>
      <c r="AT365">
        <v>143.71700000000001</v>
      </c>
      <c r="AU365">
        <v>147.59700000000001</v>
      </c>
      <c r="AV365">
        <v>151.58199999999999</v>
      </c>
      <c r="AW365">
        <v>155.67500000000001</v>
      </c>
      <c r="AX365">
        <v>159.87799999999999</v>
      </c>
      <c r="AY365">
        <v>2014</v>
      </c>
    </row>
    <row r="366" spans="1:51" x14ac:dyDescent="0.25">
      <c r="A366">
        <v>944</v>
      </c>
      <c r="B366" t="s">
        <v>522</v>
      </c>
      <c r="C366" t="s">
        <v>298</v>
      </c>
      <c r="D366" t="s">
        <v>117</v>
      </c>
      <c r="E366" t="s">
        <v>299</v>
      </c>
      <c r="F366" t="s">
        <v>300</v>
      </c>
      <c r="G366" t="s">
        <v>282</v>
      </c>
      <c r="H366" t="s">
        <v>283</v>
      </c>
      <c r="I366" t="s">
        <v>524</v>
      </c>
      <c r="J366" t="s">
        <v>285</v>
      </c>
      <c r="K366" t="s">
        <v>285</v>
      </c>
      <c r="L366" t="s">
        <v>285</v>
      </c>
      <c r="M366" t="s">
        <v>285</v>
      </c>
      <c r="N366" t="s">
        <v>285</v>
      </c>
      <c r="O366" t="s">
        <v>285</v>
      </c>
      <c r="P366" t="s">
        <v>285</v>
      </c>
      <c r="Q366" t="s">
        <v>285</v>
      </c>
      <c r="R366" t="s">
        <v>285</v>
      </c>
      <c r="S366" t="s">
        <v>285</v>
      </c>
      <c r="T366" t="s">
        <v>285</v>
      </c>
      <c r="U366" t="s">
        <v>285</v>
      </c>
      <c r="V366" t="s">
        <v>285</v>
      </c>
      <c r="W366" t="s">
        <v>285</v>
      </c>
      <c r="X366" t="s">
        <v>285</v>
      </c>
      <c r="Y366" s="21">
        <v>3199.2049999999999</v>
      </c>
      <c r="Z366" s="21">
        <v>3598.558</v>
      </c>
      <c r="AA366" s="21">
        <v>4340.1930000000002</v>
      </c>
      <c r="AB366" s="21">
        <v>5270.47</v>
      </c>
      <c r="AC366" s="21">
        <v>5640.6549999999997</v>
      </c>
      <c r="AD366" s="21">
        <v>6283.4</v>
      </c>
      <c r="AE366" s="21">
        <v>7262.7</v>
      </c>
      <c r="AF366" s="21">
        <v>8870.6</v>
      </c>
      <c r="AG366" s="21">
        <v>9366.7000000000007</v>
      </c>
      <c r="AH366" s="21">
        <v>10218.700000000001</v>
      </c>
      <c r="AI366" s="21">
        <v>11129.7</v>
      </c>
      <c r="AJ366" s="21">
        <v>12469.5</v>
      </c>
      <c r="AK366" s="21">
        <v>12785.9</v>
      </c>
      <c r="AL366" s="21">
        <v>13180.1</v>
      </c>
      <c r="AM366" s="21">
        <v>13298.4</v>
      </c>
      <c r="AN366" s="21">
        <v>13405.9</v>
      </c>
      <c r="AO366" s="21">
        <v>13996.7</v>
      </c>
      <c r="AP366" s="21">
        <v>13907.8</v>
      </c>
      <c r="AQ366" s="21">
        <v>14859.2</v>
      </c>
      <c r="AR366" s="21">
        <v>15920.3</v>
      </c>
      <c r="AS366" s="21">
        <v>16540.830999999998</v>
      </c>
      <c r="AT366" s="21">
        <v>16499.085999999999</v>
      </c>
      <c r="AU366" s="21">
        <v>17544.155999999999</v>
      </c>
      <c r="AV366" s="21">
        <v>18599.759999999998</v>
      </c>
      <c r="AW366" s="21">
        <v>19776.011999999999</v>
      </c>
      <c r="AX366" s="21">
        <v>21082.803</v>
      </c>
      <c r="AY366">
        <v>2014</v>
      </c>
    </row>
    <row r="367" spans="1:51" x14ac:dyDescent="0.25">
      <c r="A367">
        <v>176</v>
      </c>
      <c r="B367" t="s">
        <v>525</v>
      </c>
      <c r="C367" t="s">
        <v>279</v>
      </c>
      <c r="D367" t="s">
        <v>118</v>
      </c>
      <c r="E367" t="s">
        <v>280</v>
      </c>
      <c r="F367" t="s">
        <v>281</v>
      </c>
      <c r="G367" t="s">
        <v>282</v>
      </c>
      <c r="H367" t="s">
        <v>283</v>
      </c>
      <c r="I367" t="s">
        <v>526</v>
      </c>
      <c r="J367">
        <v>508.233</v>
      </c>
      <c r="K367">
        <v>529.90899999999999</v>
      </c>
      <c r="L367">
        <v>541.32600000000002</v>
      </c>
      <c r="M367">
        <v>529.68100000000004</v>
      </c>
      <c r="N367">
        <v>551.553</v>
      </c>
      <c r="O367">
        <v>569.71500000000003</v>
      </c>
      <c r="P367">
        <v>605.43799999999999</v>
      </c>
      <c r="Q367">
        <v>657.17899999999997</v>
      </c>
      <c r="R367">
        <v>656.58900000000006</v>
      </c>
      <c r="S367">
        <v>658.28599999999994</v>
      </c>
      <c r="T367">
        <v>665.98500000000001</v>
      </c>
      <c r="U367">
        <v>664.49400000000003</v>
      </c>
      <c r="V367">
        <v>642.07500000000005</v>
      </c>
      <c r="W367">
        <v>650.50800000000004</v>
      </c>
      <c r="X367">
        <v>673.98299999999995</v>
      </c>
      <c r="Y367">
        <v>674.77</v>
      </c>
      <c r="Z367">
        <v>707.05799999999999</v>
      </c>
      <c r="AA367">
        <v>739.33</v>
      </c>
      <c r="AB367">
        <v>787.49400000000003</v>
      </c>
      <c r="AC367">
        <v>820.27800000000002</v>
      </c>
      <c r="AD367">
        <v>859.02499999999998</v>
      </c>
      <c r="AE367">
        <v>891.34699999999998</v>
      </c>
      <c r="AF367">
        <v>895.38900000000001</v>
      </c>
      <c r="AG367">
        <v>919.93799999999999</v>
      </c>
      <c r="AH367">
        <v>995.56100000000004</v>
      </c>
      <c r="AI367" s="21">
        <v>1054.9000000000001</v>
      </c>
      <c r="AJ367" s="21">
        <v>1099.2739999999999</v>
      </c>
      <c r="AK367" s="21">
        <v>1203.626</v>
      </c>
      <c r="AL367" s="21">
        <v>1221.425</v>
      </c>
      <c r="AM367" s="21">
        <v>1164.248</v>
      </c>
      <c r="AN367" s="21">
        <v>1122.4670000000001</v>
      </c>
      <c r="AO367" s="21">
        <v>1144.7829999999999</v>
      </c>
      <c r="AP367" s="21">
        <v>1158.325</v>
      </c>
      <c r="AQ367" s="21">
        <v>1203.454</v>
      </c>
      <c r="AR367" s="21">
        <v>1225.4369999999999</v>
      </c>
      <c r="AS367" s="21">
        <v>1284.328</v>
      </c>
      <c r="AT367" s="21">
        <v>1332.3820000000001</v>
      </c>
      <c r="AU367" s="21">
        <v>1372.595</v>
      </c>
      <c r="AV367" s="21">
        <v>1412.115</v>
      </c>
      <c r="AW367" s="21">
        <v>1449.308</v>
      </c>
      <c r="AX367" s="21">
        <v>1483.662</v>
      </c>
      <c r="AY367">
        <v>2014</v>
      </c>
    </row>
    <row r="368" spans="1:51" x14ac:dyDescent="0.25">
      <c r="A368">
        <v>176</v>
      </c>
      <c r="B368" t="s">
        <v>525</v>
      </c>
      <c r="C368" t="s">
        <v>286</v>
      </c>
      <c r="D368" t="s">
        <v>118</v>
      </c>
      <c r="E368" t="s">
        <v>287</v>
      </c>
      <c r="F368" t="s">
        <v>288</v>
      </c>
      <c r="G368" t="s">
        <v>282</v>
      </c>
      <c r="H368" t="s">
        <v>283</v>
      </c>
      <c r="I368" t="s">
        <v>526</v>
      </c>
      <c r="J368">
        <v>16.536999999999999</v>
      </c>
      <c r="K368">
        <v>25.704999999999998</v>
      </c>
      <c r="L368">
        <v>40.341000000000001</v>
      </c>
      <c r="M368">
        <v>69.745999999999995</v>
      </c>
      <c r="N368">
        <v>92.156999999999996</v>
      </c>
      <c r="O368">
        <v>125.63</v>
      </c>
      <c r="P368">
        <v>165.96</v>
      </c>
      <c r="Q368">
        <v>216.38</v>
      </c>
      <c r="R368">
        <v>265.89499999999998</v>
      </c>
      <c r="S368">
        <v>327.149</v>
      </c>
      <c r="T368">
        <v>381.43599999999998</v>
      </c>
      <c r="U368">
        <v>412.55099999999999</v>
      </c>
      <c r="V368">
        <v>411.61200000000002</v>
      </c>
      <c r="W368">
        <v>423.68200000000002</v>
      </c>
      <c r="X368">
        <v>450.13799999999998</v>
      </c>
      <c r="Y368">
        <v>464.03100000000001</v>
      </c>
      <c r="Z368">
        <v>500.10500000000002</v>
      </c>
      <c r="AA368">
        <v>538.59799999999996</v>
      </c>
      <c r="AB368">
        <v>600.9</v>
      </c>
      <c r="AC368">
        <v>645.82399999999996</v>
      </c>
      <c r="AD368">
        <v>701.62800000000004</v>
      </c>
      <c r="AE368">
        <v>791.68700000000001</v>
      </c>
      <c r="AF368">
        <v>839.78599999999994</v>
      </c>
      <c r="AG368">
        <v>866.58299999999997</v>
      </c>
      <c r="AH368">
        <v>961.93799999999999</v>
      </c>
      <c r="AI368" s="21">
        <v>1054.8989999999999</v>
      </c>
      <c r="AJ368" s="21">
        <v>1195.9590000000001</v>
      </c>
      <c r="AK368" s="21">
        <v>1363.9760000000001</v>
      </c>
      <c r="AL368" s="21">
        <v>1541.7840000000001</v>
      </c>
      <c r="AM368" s="21">
        <v>1589.405</v>
      </c>
      <c r="AN368" s="21">
        <v>1618.1020000000001</v>
      </c>
      <c r="AO368" s="21">
        <v>1700.5070000000001</v>
      </c>
      <c r="AP368" s="21">
        <v>1775.49</v>
      </c>
      <c r="AQ368" s="21">
        <v>1878.6990000000001</v>
      </c>
      <c r="AR368" s="21">
        <v>1989.259</v>
      </c>
      <c r="AS368" s="21">
        <v>2190.67</v>
      </c>
      <c r="AT368" s="21">
        <v>2347.2710000000002</v>
      </c>
      <c r="AU368" s="21">
        <v>2509.9749999999999</v>
      </c>
      <c r="AV368" s="21">
        <v>2658.4279999999999</v>
      </c>
      <c r="AW368" s="21">
        <v>2790.86</v>
      </c>
      <c r="AX368" s="21">
        <v>2925.4009999999998</v>
      </c>
      <c r="AY368">
        <v>2014</v>
      </c>
    </row>
    <row r="369" spans="1:51" x14ac:dyDescent="0.25">
      <c r="A369">
        <v>176</v>
      </c>
      <c r="B369" t="s">
        <v>525</v>
      </c>
      <c r="C369" t="s">
        <v>289</v>
      </c>
      <c r="D369" t="s">
        <v>118</v>
      </c>
      <c r="E369" t="s">
        <v>287</v>
      </c>
      <c r="F369" t="s">
        <v>290</v>
      </c>
      <c r="G369" t="s">
        <v>291</v>
      </c>
      <c r="H369" t="s">
        <v>283</v>
      </c>
      <c r="I369" t="s">
        <v>292</v>
      </c>
      <c r="J369">
        <v>3.4470000000000001</v>
      </c>
      <c r="K369">
        <v>3.5579999999999998</v>
      </c>
      <c r="L369">
        <v>3.27</v>
      </c>
      <c r="M369">
        <v>2.8069999999999999</v>
      </c>
      <c r="N369">
        <v>2.9039999999999999</v>
      </c>
      <c r="O369">
        <v>3.028</v>
      </c>
      <c r="P369">
        <v>4.0380000000000003</v>
      </c>
      <c r="Q369">
        <v>5.5949999999999998</v>
      </c>
      <c r="R369">
        <v>6.1820000000000004</v>
      </c>
      <c r="S369">
        <v>5.7350000000000003</v>
      </c>
      <c r="T369">
        <v>6.5439999999999996</v>
      </c>
      <c r="U369">
        <v>6.9930000000000003</v>
      </c>
      <c r="V369">
        <v>7.1529999999999996</v>
      </c>
      <c r="W369">
        <v>6.2709999999999999</v>
      </c>
      <c r="X369">
        <v>6.4370000000000003</v>
      </c>
      <c r="Y369">
        <v>7.173</v>
      </c>
      <c r="Z369">
        <v>7.5190000000000001</v>
      </c>
      <c r="AA369">
        <v>7.5960000000000001</v>
      </c>
      <c r="AB369">
        <v>8.468</v>
      </c>
      <c r="AC369">
        <v>8.9280000000000008</v>
      </c>
      <c r="AD369">
        <v>8.9250000000000007</v>
      </c>
      <c r="AE369">
        <v>8.125</v>
      </c>
      <c r="AF369">
        <v>9.1620000000000008</v>
      </c>
      <c r="AG369">
        <v>11.297000000000001</v>
      </c>
      <c r="AH369">
        <v>13.71</v>
      </c>
      <c r="AI369">
        <v>16.748999999999999</v>
      </c>
      <c r="AJ369">
        <v>17.041</v>
      </c>
      <c r="AK369">
        <v>21.294</v>
      </c>
      <c r="AL369">
        <v>17.530999999999999</v>
      </c>
      <c r="AM369">
        <v>12.855</v>
      </c>
      <c r="AN369">
        <v>13.237</v>
      </c>
      <c r="AO369">
        <v>14.664999999999999</v>
      </c>
      <c r="AP369">
        <v>14.195</v>
      </c>
      <c r="AQ369">
        <v>15.377000000000001</v>
      </c>
      <c r="AR369">
        <v>17.036000000000001</v>
      </c>
      <c r="AS369">
        <v>16.738</v>
      </c>
      <c r="AT369">
        <v>17.774999999999999</v>
      </c>
      <c r="AU369">
        <v>18.588000000000001</v>
      </c>
      <c r="AV369">
        <v>19.266999999999999</v>
      </c>
      <c r="AW369">
        <v>19.757000000000001</v>
      </c>
      <c r="AX369">
        <v>19.991</v>
      </c>
      <c r="AY369">
        <v>2014</v>
      </c>
    </row>
    <row r="370" spans="1:51" x14ac:dyDescent="0.25">
      <c r="A370">
        <v>176</v>
      </c>
      <c r="B370" t="s">
        <v>525</v>
      </c>
      <c r="C370" t="s">
        <v>293</v>
      </c>
      <c r="D370" t="s">
        <v>118</v>
      </c>
      <c r="E370" t="s">
        <v>294</v>
      </c>
      <c r="F370" t="s">
        <v>295</v>
      </c>
      <c r="G370" t="s">
        <v>296</v>
      </c>
      <c r="I370" t="s">
        <v>297</v>
      </c>
      <c r="J370">
        <v>3.254</v>
      </c>
      <c r="K370">
        <v>4.851</v>
      </c>
      <c r="L370">
        <v>7.452</v>
      </c>
      <c r="M370">
        <v>13.167999999999999</v>
      </c>
      <c r="N370">
        <v>16.709</v>
      </c>
      <c r="O370">
        <v>22.050999999999998</v>
      </c>
      <c r="P370">
        <v>27.411999999999999</v>
      </c>
      <c r="Q370">
        <v>32.924999999999997</v>
      </c>
      <c r="R370">
        <v>40.496000000000002</v>
      </c>
      <c r="S370">
        <v>49.697000000000003</v>
      </c>
      <c r="T370">
        <v>57.274000000000001</v>
      </c>
      <c r="U370">
        <v>62.085000000000001</v>
      </c>
      <c r="V370">
        <v>64.106999999999999</v>
      </c>
      <c r="W370">
        <v>65.131</v>
      </c>
      <c r="X370">
        <v>66.787999999999997</v>
      </c>
      <c r="Y370">
        <v>68.769000000000005</v>
      </c>
      <c r="Z370">
        <v>70.73</v>
      </c>
      <c r="AA370">
        <v>72.849000000000004</v>
      </c>
      <c r="AB370">
        <v>76.305000000000007</v>
      </c>
      <c r="AC370">
        <v>78.731999999999999</v>
      </c>
      <c r="AD370">
        <v>81.677000000000007</v>
      </c>
      <c r="AE370">
        <v>88.819000000000003</v>
      </c>
      <c r="AF370">
        <v>93.79</v>
      </c>
      <c r="AG370">
        <v>94.2</v>
      </c>
      <c r="AH370">
        <v>96.623000000000005</v>
      </c>
      <c r="AI370">
        <v>100</v>
      </c>
      <c r="AJ370">
        <v>108.795</v>
      </c>
      <c r="AK370">
        <v>113.322</v>
      </c>
      <c r="AL370">
        <v>126.22799999999999</v>
      </c>
      <c r="AM370">
        <v>136.518</v>
      </c>
      <c r="AN370">
        <v>144.15600000000001</v>
      </c>
      <c r="AO370">
        <v>148.54400000000001</v>
      </c>
      <c r="AP370">
        <v>153.28100000000001</v>
      </c>
      <c r="AQ370">
        <v>156.10900000000001</v>
      </c>
      <c r="AR370">
        <v>162.33099999999999</v>
      </c>
      <c r="AS370">
        <v>170.56899999999999</v>
      </c>
      <c r="AT370">
        <v>176.17099999999999</v>
      </c>
      <c r="AU370">
        <v>182.863</v>
      </c>
      <c r="AV370">
        <v>188.25899999999999</v>
      </c>
      <c r="AW370">
        <v>192.565</v>
      </c>
      <c r="AX370">
        <v>197.17400000000001</v>
      </c>
      <c r="AY370">
        <v>2014</v>
      </c>
    </row>
    <row r="371" spans="1:51" x14ac:dyDescent="0.25">
      <c r="A371">
        <v>176</v>
      </c>
      <c r="B371" t="s">
        <v>525</v>
      </c>
      <c r="C371" t="s">
        <v>298</v>
      </c>
      <c r="D371" t="s">
        <v>118</v>
      </c>
      <c r="E371" t="s">
        <v>299</v>
      </c>
      <c r="F371" t="s">
        <v>300</v>
      </c>
      <c r="G371" t="s">
        <v>282</v>
      </c>
      <c r="H371" t="s">
        <v>283</v>
      </c>
      <c r="I371" t="s">
        <v>527</v>
      </c>
      <c r="J371">
        <v>5.5439999999999996</v>
      </c>
      <c r="K371">
        <v>8.9659999999999993</v>
      </c>
      <c r="L371">
        <v>14.346</v>
      </c>
      <c r="M371">
        <v>26.018999999999998</v>
      </c>
      <c r="N371">
        <v>31.54</v>
      </c>
      <c r="O371">
        <v>45.875</v>
      </c>
      <c r="P371">
        <v>64.641999999999996</v>
      </c>
      <c r="Q371">
        <v>77.911000000000001</v>
      </c>
      <c r="R371">
        <v>108.691</v>
      </c>
      <c r="S371">
        <v>138.59899999999999</v>
      </c>
      <c r="T371">
        <v>160.26400000000001</v>
      </c>
      <c r="U371">
        <v>174.405</v>
      </c>
      <c r="V371">
        <v>181.37700000000001</v>
      </c>
      <c r="W371">
        <v>188.44200000000001</v>
      </c>
      <c r="X371">
        <v>199.626</v>
      </c>
      <c r="Y371">
        <v>203.00399999999999</v>
      </c>
      <c r="Z371">
        <v>215.43100000000001</v>
      </c>
      <c r="AA371">
        <v>224.43899999999999</v>
      </c>
      <c r="AB371">
        <v>244.85</v>
      </c>
      <c r="AC371">
        <v>268.26299999999998</v>
      </c>
      <c r="AD371">
        <v>289.73099999999999</v>
      </c>
      <c r="AE371">
        <v>331.65</v>
      </c>
      <c r="AF371">
        <v>364.48899999999998</v>
      </c>
      <c r="AG371">
        <v>387.43799999999999</v>
      </c>
      <c r="AH371">
        <v>413.04</v>
      </c>
      <c r="AI371">
        <v>437.36099999999999</v>
      </c>
      <c r="AJ371">
        <v>492.005</v>
      </c>
      <c r="AK371">
        <v>559.39300000000003</v>
      </c>
      <c r="AL371">
        <v>858.16099999999994</v>
      </c>
      <c r="AM371">
        <v>771.32500000000005</v>
      </c>
      <c r="AN371">
        <v>799.30600000000004</v>
      </c>
      <c r="AO371">
        <v>777.43499999999995</v>
      </c>
      <c r="AP371">
        <v>807.32299999999998</v>
      </c>
      <c r="AQ371">
        <v>828.99599999999998</v>
      </c>
      <c r="AR371">
        <v>905.73199999999997</v>
      </c>
      <c r="AS371">
        <v>955.41</v>
      </c>
      <c r="AT371" s="21">
        <v>1028.2339999999999</v>
      </c>
      <c r="AU371" s="21">
        <v>1072.5509999999999</v>
      </c>
      <c r="AV371" s="21">
        <v>1136.1130000000001</v>
      </c>
      <c r="AW371" s="21">
        <v>1196.9949999999999</v>
      </c>
      <c r="AX371" s="21">
        <v>1239.8920000000001</v>
      </c>
      <c r="AY371">
        <v>2014</v>
      </c>
    </row>
    <row r="372" spans="1:51" x14ac:dyDescent="0.25">
      <c r="A372">
        <v>534</v>
      </c>
      <c r="B372" t="s">
        <v>528</v>
      </c>
      <c r="C372" t="s">
        <v>279</v>
      </c>
      <c r="D372" t="s">
        <v>119</v>
      </c>
      <c r="E372" t="s">
        <v>280</v>
      </c>
      <c r="F372" t="s">
        <v>281</v>
      </c>
      <c r="G372" t="s">
        <v>282</v>
      </c>
      <c r="H372" t="s">
        <v>283</v>
      </c>
      <c r="I372" t="s">
        <v>529</v>
      </c>
      <c r="J372" s="21">
        <v>13583.27</v>
      </c>
      <c r="K372" s="21">
        <v>14399.109</v>
      </c>
      <c r="L372" s="21">
        <v>14899.583000000001</v>
      </c>
      <c r="M372" s="21">
        <v>15985.598</v>
      </c>
      <c r="N372" s="21">
        <v>16596.366000000002</v>
      </c>
      <c r="O372" s="21">
        <v>17468.387999999999</v>
      </c>
      <c r="P372" s="21">
        <v>18302.776999999998</v>
      </c>
      <c r="Q372" s="21">
        <v>19028.546999999999</v>
      </c>
      <c r="R372" s="21">
        <v>20860.575000000001</v>
      </c>
      <c r="S372" s="21">
        <v>22101.224999999999</v>
      </c>
      <c r="T372" s="21">
        <v>23324.263999999999</v>
      </c>
      <c r="U372" s="21">
        <v>23570.737000000001</v>
      </c>
      <c r="V372" s="21">
        <v>24862.992999999999</v>
      </c>
      <c r="W372" s="21">
        <v>26044.084999999999</v>
      </c>
      <c r="X372" s="21">
        <v>27778.33</v>
      </c>
      <c r="Y372" s="21">
        <v>29882.44</v>
      </c>
      <c r="Z372" s="21">
        <v>32138.478999999999</v>
      </c>
      <c r="AA372" s="21">
        <v>33439.985000000001</v>
      </c>
      <c r="AB372" s="21">
        <v>35508.034</v>
      </c>
      <c r="AC372" s="21">
        <v>38513.053999999996</v>
      </c>
      <c r="AD372" s="21">
        <v>40043.942999999999</v>
      </c>
      <c r="AE372" s="21">
        <v>42023.877</v>
      </c>
      <c r="AF372" s="21">
        <v>43665.928999999996</v>
      </c>
      <c r="AG372" s="21">
        <v>47134.732000000004</v>
      </c>
      <c r="AH372" s="21">
        <v>50834.328000000001</v>
      </c>
      <c r="AI372" s="21">
        <v>55554.150999999998</v>
      </c>
      <c r="AJ372" s="21">
        <v>60700.754000000001</v>
      </c>
      <c r="AK372" s="21">
        <v>66650.274999999994</v>
      </c>
      <c r="AL372" s="21">
        <v>69243.566999999995</v>
      </c>
      <c r="AM372" s="21">
        <v>75115.320000000007</v>
      </c>
      <c r="AN372" s="21">
        <v>82822.131999999998</v>
      </c>
      <c r="AO372" s="21">
        <v>88320.1</v>
      </c>
      <c r="AP372" s="21">
        <v>92808</v>
      </c>
      <c r="AQ372" s="21">
        <v>99211.1</v>
      </c>
      <c r="AR372" s="21">
        <v>106439.8</v>
      </c>
      <c r="AS372" s="21">
        <v>114165.776</v>
      </c>
      <c r="AT372" s="21">
        <v>122676.545</v>
      </c>
      <c r="AU372" s="21">
        <v>131927.42800000001</v>
      </c>
      <c r="AV372" s="21">
        <v>142015.236</v>
      </c>
      <c r="AW372" s="21">
        <v>152943.78700000001</v>
      </c>
      <c r="AX372" s="21">
        <v>164786.70800000001</v>
      </c>
      <c r="AY372">
        <v>2015</v>
      </c>
    </row>
    <row r="373" spans="1:51" x14ac:dyDescent="0.25">
      <c r="A373">
        <v>534</v>
      </c>
      <c r="B373" t="s">
        <v>528</v>
      </c>
      <c r="C373" t="s">
        <v>286</v>
      </c>
      <c r="D373" t="s">
        <v>119</v>
      </c>
      <c r="E373" t="s">
        <v>287</v>
      </c>
      <c r="F373" t="s">
        <v>288</v>
      </c>
      <c r="G373" t="s">
        <v>282</v>
      </c>
      <c r="H373" t="s">
        <v>283</v>
      </c>
      <c r="I373" t="s">
        <v>529</v>
      </c>
      <c r="J373" s="21">
        <v>1496.4190000000001</v>
      </c>
      <c r="K373" s="21">
        <v>1758.0550000000001</v>
      </c>
      <c r="L373" s="21">
        <v>1966.4369999999999</v>
      </c>
      <c r="M373" s="21">
        <v>2290.2139999999999</v>
      </c>
      <c r="N373" s="21">
        <v>2566.1089999999999</v>
      </c>
      <c r="O373" s="21">
        <v>2895.239</v>
      </c>
      <c r="P373" s="21">
        <v>3239.491</v>
      </c>
      <c r="Q373" s="21">
        <v>3682.107</v>
      </c>
      <c r="R373" s="21">
        <v>4368.9269999999997</v>
      </c>
      <c r="S373" s="21">
        <v>5019.2820000000002</v>
      </c>
      <c r="T373" s="21">
        <v>5862.1239999999998</v>
      </c>
      <c r="U373" s="21">
        <v>6738.7449999999999</v>
      </c>
      <c r="V373" s="21">
        <v>7745.45</v>
      </c>
      <c r="W373" s="21">
        <v>8913.5460000000003</v>
      </c>
      <c r="X373" s="21">
        <v>10455.905000000001</v>
      </c>
      <c r="Y373" s="21">
        <v>12267.249</v>
      </c>
      <c r="Z373" s="21">
        <v>14192.768</v>
      </c>
      <c r="AA373" s="21">
        <v>15723.936</v>
      </c>
      <c r="AB373" s="21">
        <v>18033.776999999998</v>
      </c>
      <c r="AC373" s="21">
        <v>20231.295999999998</v>
      </c>
      <c r="AD373" s="21">
        <v>21774.127</v>
      </c>
      <c r="AE373" s="21">
        <v>23558.452000000001</v>
      </c>
      <c r="AF373" s="21">
        <v>25363.266</v>
      </c>
      <c r="AG373" s="21">
        <v>28415.026000000002</v>
      </c>
      <c r="AH373" s="21">
        <v>32422.103999999999</v>
      </c>
      <c r="AI373" s="21">
        <v>36933.688000000002</v>
      </c>
      <c r="AJ373" s="21">
        <v>42947.059000000001</v>
      </c>
      <c r="AK373" s="21">
        <v>49870.896000000001</v>
      </c>
      <c r="AL373" s="21">
        <v>56300.6</v>
      </c>
      <c r="AM373" s="21">
        <v>64778.3</v>
      </c>
      <c r="AN373" s="21">
        <v>77841.2</v>
      </c>
      <c r="AO373" s="21">
        <v>88320.1</v>
      </c>
      <c r="AP373" s="21">
        <v>99885.4</v>
      </c>
      <c r="AQ373" s="21">
        <v>113450.6</v>
      </c>
      <c r="AR373" s="21">
        <v>125412.1</v>
      </c>
      <c r="AS373" s="21">
        <v>141122.60800000001</v>
      </c>
      <c r="AT373" s="21">
        <v>160511.962</v>
      </c>
      <c r="AU373" s="21">
        <v>181525.636</v>
      </c>
      <c r="AV373" s="21">
        <v>205098.92199999999</v>
      </c>
      <c r="AW373" s="21">
        <v>231838.802</v>
      </c>
      <c r="AX373" s="21">
        <v>262181.82699999999</v>
      </c>
      <c r="AY373">
        <v>2015</v>
      </c>
    </row>
    <row r="374" spans="1:51" x14ac:dyDescent="0.25">
      <c r="A374">
        <v>534</v>
      </c>
      <c r="B374" t="s">
        <v>528</v>
      </c>
      <c r="C374" t="s">
        <v>289</v>
      </c>
      <c r="D374" t="s">
        <v>119</v>
      </c>
      <c r="E374" t="s">
        <v>287</v>
      </c>
      <c r="F374" t="s">
        <v>290</v>
      </c>
      <c r="G374" t="s">
        <v>291</v>
      </c>
      <c r="H374" t="s">
        <v>283</v>
      </c>
      <c r="I374" t="s">
        <v>292</v>
      </c>
      <c r="J374">
        <v>189.43799999999999</v>
      </c>
      <c r="K374">
        <v>196.535</v>
      </c>
      <c r="L374">
        <v>203.53700000000001</v>
      </c>
      <c r="M374">
        <v>222.04900000000001</v>
      </c>
      <c r="N374">
        <v>215.55600000000001</v>
      </c>
      <c r="O374">
        <v>237.61799999999999</v>
      </c>
      <c r="P374">
        <v>252.751</v>
      </c>
      <c r="Q374">
        <v>283.75</v>
      </c>
      <c r="R374">
        <v>299.64499999999998</v>
      </c>
      <c r="S374">
        <v>300.18700000000001</v>
      </c>
      <c r="T374">
        <v>326.608</v>
      </c>
      <c r="U374">
        <v>274.84199999999998</v>
      </c>
      <c r="V374">
        <v>293.262</v>
      </c>
      <c r="W374">
        <v>284.19400000000002</v>
      </c>
      <c r="X374">
        <v>333.01400000000001</v>
      </c>
      <c r="Y374">
        <v>366.6</v>
      </c>
      <c r="Z374">
        <v>399.791</v>
      </c>
      <c r="AA374">
        <v>423.18900000000002</v>
      </c>
      <c r="AB374">
        <v>428.767</v>
      </c>
      <c r="AC374">
        <v>466.84100000000001</v>
      </c>
      <c r="AD374">
        <v>476.63600000000002</v>
      </c>
      <c r="AE374">
        <v>493.93400000000003</v>
      </c>
      <c r="AF374">
        <v>523.76800000000003</v>
      </c>
      <c r="AG374">
        <v>618.36900000000003</v>
      </c>
      <c r="AH374">
        <v>721.58900000000006</v>
      </c>
      <c r="AI374">
        <v>834.21799999999996</v>
      </c>
      <c r="AJ374">
        <v>949.11800000000005</v>
      </c>
      <c r="AK374" s="21">
        <v>1238.7</v>
      </c>
      <c r="AL374" s="21">
        <v>1224.096</v>
      </c>
      <c r="AM374" s="21">
        <v>1365.373</v>
      </c>
      <c r="AN374" s="21">
        <v>1708.46</v>
      </c>
      <c r="AO374" s="21">
        <v>1843.018</v>
      </c>
      <c r="AP374" s="21">
        <v>1835.8209999999999</v>
      </c>
      <c r="AQ374" s="21">
        <v>1875.1569999999999</v>
      </c>
      <c r="AR374" s="21">
        <v>2051.2280000000001</v>
      </c>
      <c r="AS374" s="21">
        <v>2182.5770000000002</v>
      </c>
      <c r="AT374" s="21">
        <v>2384.7260000000001</v>
      </c>
      <c r="AU374" s="21">
        <v>2607.4090000000001</v>
      </c>
      <c r="AV374" s="21">
        <v>2846.1579999999999</v>
      </c>
      <c r="AW374" s="21">
        <v>3131.9490000000001</v>
      </c>
      <c r="AX374" s="21">
        <v>3443.596</v>
      </c>
      <c r="AY374">
        <v>2015</v>
      </c>
    </row>
    <row r="375" spans="1:51" x14ac:dyDescent="0.25">
      <c r="A375">
        <v>534</v>
      </c>
      <c r="B375" t="s">
        <v>528</v>
      </c>
      <c r="C375" t="s">
        <v>293</v>
      </c>
      <c r="D375" t="s">
        <v>119</v>
      </c>
      <c r="E375" t="s">
        <v>294</v>
      </c>
      <c r="F375" t="s">
        <v>295</v>
      </c>
      <c r="G375" t="s">
        <v>296</v>
      </c>
      <c r="I375" t="s">
        <v>297</v>
      </c>
      <c r="J375">
        <v>11.016999999999999</v>
      </c>
      <c r="K375">
        <v>12.209</v>
      </c>
      <c r="L375">
        <v>13.198</v>
      </c>
      <c r="M375">
        <v>14.327</v>
      </c>
      <c r="N375">
        <v>15.462</v>
      </c>
      <c r="O375">
        <v>16.574000000000002</v>
      </c>
      <c r="P375">
        <v>17.699000000000002</v>
      </c>
      <c r="Q375">
        <v>19.350000000000001</v>
      </c>
      <c r="R375">
        <v>20.943000000000001</v>
      </c>
      <c r="S375">
        <v>22.71</v>
      </c>
      <c r="T375">
        <v>25.132999999999999</v>
      </c>
      <c r="U375">
        <v>28.588999999999999</v>
      </c>
      <c r="V375">
        <v>31.152999999999999</v>
      </c>
      <c r="W375">
        <v>34.225000000000001</v>
      </c>
      <c r="X375">
        <v>37.640999999999998</v>
      </c>
      <c r="Y375">
        <v>41.052</v>
      </c>
      <c r="Z375">
        <v>44.161000000000001</v>
      </c>
      <c r="AA375">
        <v>47.021000000000001</v>
      </c>
      <c r="AB375">
        <v>50.787999999999997</v>
      </c>
      <c r="AC375">
        <v>52.530999999999999</v>
      </c>
      <c r="AD375">
        <v>54.375999999999998</v>
      </c>
      <c r="AE375">
        <v>56.06</v>
      </c>
      <c r="AF375">
        <v>58.085000000000001</v>
      </c>
      <c r="AG375">
        <v>60.284999999999997</v>
      </c>
      <c r="AH375">
        <v>63.78</v>
      </c>
      <c r="AI375">
        <v>66.481999999999999</v>
      </c>
      <c r="AJ375">
        <v>70.751999999999995</v>
      </c>
      <c r="AK375">
        <v>74.825000000000003</v>
      </c>
      <c r="AL375">
        <v>81.308000000000007</v>
      </c>
      <c r="AM375">
        <v>86.238</v>
      </c>
      <c r="AN375">
        <v>93.986000000000004</v>
      </c>
      <c r="AO375">
        <v>100</v>
      </c>
      <c r="AP375">
        <v>107.626</v>
      </c>
      <c r="AQ375">
        <v>114.35299999999999</v>
      </c>
      <c r="AR375">
        <v>117.824</v>
      </c>
      <c r="AS375">
        <v>123.61199999999999</v>
      </c>
      <c r="AT375">
        <v>130.84200000000001</v>
      </c>
      <c r="AU375">
        <v>137.595</v>
      </c>
      <c r="AV375">
        <v>144.41999999999999</v>
      </c>
      <c r="AW375">
        <v>151.584</v>
      </c>
      <c r="AX375">
        <v>159.10400000000001</v>
      </c>
      <c r="AY375">
        <v>2015</v>
      </c>
    </row>
    <row r="376" spans="1:51" x14ac:dyDescent="0.25">
      <c r="A376">
        <v>534</v>
      </c>
      <c r="B376" t="s">
        <v>528</v>
      </c>
      <c r="C376" t="s">
        <v>298</v>
      </c>
      <c r="D376" t="s">
        <v>119</v>
      </c>
      <c r="E376" t="s">
        <v>299</v>
      </c>
      <c r="F376" t="s">
        <v>300</v>
      </c>
      <c r="G376" t="s">
        <v>282</v>
      </c>
      <c r="H376" t="s">
        <v>283</v>
      </c>
      <c r="I376" t="s">
        <v>530</v>
      </c>
      <c r="J376" t="s">
        <v>285</v>
      </c>
      <c r="K376" t="s">
        <v>285</v>
      </c>
      <c r="L376" t="s">
        <v>285</v>
      </c>
      <c r="M376" t="s">
        <v>285</v>
      </c>
      <c r="N376" t="s">
        <v>285</v>
      </c>
      <c r="O376" t="s">
        <v>285</v>
      </c>
      <c r="P376" t="s">
        <v>285</v>
      </c>
      <c r="Q376" t="s">
        <v>285</v>
      </c>
      <c r="R376" s="21">
        <v>1008.261</v>
      </c>
      <c r="S376" s="21">
        <v>1195.133</v>
      </c>
      <c r="T376" s="21">
        <v>1403.4269999999999</v>
      </c>
      <c r="U376" s="21">
        <v>1704.223</v>
      </c>
      <c r="V376" s="21">
        <v>1930.5940000000001</v>
      </c>
      <c r="W376" s="21">
        <v>2172.35</v>
      </c>
      <c r="X376" s="21">
        <v>2583.1390000000001</v>
      </c>
      <c r="Y376" s="21">
        <v>2899.7640000000001</v>
      </c>
      <c r="Z376" s="21">
        <v>3251.1219999999998</v>
      </c>
      <c r="AA376" s="21">
        <v>3735.7860000000001</v>
      </c>
      <c r="AB376" s="21">
        <v>4435.3010000000004</v>
      </c>
      <c r="AC376" s="21">
        <v>4914.5950000000003</v>
      </c>
      <c r="AD376" s="21">
        <v>5369.8469999999998</v>
      </c>
      <c r="AE376" s="21">
        <v>6304.652</v>
      </c>
      <c r="AF376" s="21">
        <v>6970.0420000000004</v>
      </c>
      <c r="AG376" s="21">
        <v>8104.1509999999998</v>
      </c>
      <c r="AH376" s="21">
        <v>8810.5210000000006</v>
      </c>
      <c r="AI376" s="21">
        <v>9689.4429999999993</v>
      </c>
      <c r="AJ376" s="21">
        <v>11382.975</v>
      </c>
      <c r="AK376" s="21">
        <v>13150.339</v>
      </c>
      <c r="AL376" s="21">
        <v>16703.982</v>
      </c>
      <c r="AM376" s="21">
        <v>18312.312999999998</v>
      </c>
      <c r="AN376" s="21">
        <v>21190.95</v>
      </c>
      <c r="AO376" s="21">
        <v>24026.554</v>
      </c>
      <c r="AP376" s="21">
        <v>27131.901000000002</v>
      </c>
      <c r="AQ376" s="21">
        <v>31098.272000000001</v>
      </c>
      <c r="AR376" s="21">
        <v>33396.976999999999</v>
      </c>
      <c r="AS376" s="21">
        <v>38315.271999999997</v>
      </c>
      <c r="AT376" s="21">
        <v>43498.341</v>
      </c>
      <c r="AU376" s="21">
        <v>49027.004999999997</v>
      </c>
      <c r="AV376" s="21">
        <v>55172.243999999999</v>
      </c>
      <c r="AW376" s="21">
        <v>62018.243000000002</v>
      </c>
      <c r="AX376" s="21">
        <v>69995.895000000004</v>
      </c>
      <c r="AY376">
        <v>2014</v>
      </c>
    </row>
    <row r="377" spans="1:51" x14ac:dyDescent="0.25">
      <c r="A377">
        <v>536</v>
      </c>
      <c r="B377" t="s">
        <v>531</v>
      </c>
      <c r="C377" t="s">
        <v>279</v>
      </c>
      <c r="D377" t="s">
        <v>120</v>
      </c>
      <c r="E377" t="s">
        <v>280</v>
      </c>
      <c r="F377" t="s">
        <v>281</v>
      </c>
      <c r="G377" t="s">
        <v>282</v>
      </c>
      <c r="H377" t="s">
        <v>283</v>
      </c>
      <c r="I377" t="s">
        <v>532</v>
      </c>
      <c r="J377" s="21">
        <v>1440888.4410000001</v>
      </c>
      <c r="K377" s="21">
        <v>1550458.9310000001</v>
      </c>
      <c r="L377" s="21">
        <v>1585289.1440000001</v>
      </c>
      <c r="M377" s="21">
        <v>1651759.8</v>
      </c>
      <c r="N377" s="21">
        <v>1776867.7</v>
      </c>
      <c r="O377" s="21">
        <v>1846265.1</v>
      </c>
      <c r="P377" s="21">
        <v>1978985.2</v>
      </c>
      <c r="Q377" s="21">
        <v>2109045.7000000002</v>
      </c>
      <c r="R377" s="21">
        <v>2256236.9</v>
      </c>
      <c r="S377" s="21">
        <v>2461207.4</v>
      </c>
      <c r="T377" s="21">
        <v>2682768</v>
      </c>
      <c r="U377" s="21">
        <v>2922294.6</v>
      </c>
      <c r="V377" s="21">
        <v>3112907</v>
      </c>
      <c r="W377" s="21">
        <v>3360564.7</v>
      </c>
      <c r="X377" s="21">
        <v>3613950</v>
      </c>
      <c r="Y377" s="21">
        <v>3911022.1</v>
      </c>
      <c r="Z377" s="21">
        <v>4216785.5999999996</v>
      </c>
      <c r="AA377" s="21">
        <v>4414970.0999999996</v>
      </c>
      <c r="AB377" s="21">
        <v>3835427.9</v>
      </c>
      <c r="AC377" s="21">
        <v>3865772.2</v>
      </c>
      <c r="AD377" s="21">
        <v>4058235.6</v>
      </c>
      <c r="AE377" s="21">
        <v>4206096.2</v>
      </c>
      <c r="AF377" s="21">
        <v>4395348.4000000004</v>
      </c>
      <c r="AG377" s="21">
        <v>4605462.3</v>
      </c>
      <c r="AH377" s="21">
        <v>4837157.2</v>
      </c>
      <c r="AI377" s="21">
        <v>5112516</v>
      </c>
      <c r="AJ377" s="21">
        <v>5393753</v>
      </c>
      <c r="AK377" s="21">
        <v>5735987.7999999998</v>
      </c>
      <c r="AL377" s="21">
        <v>6162847</v>
      </c>
      <c r="AM377" s="21">
        <v>6452609.7999999998</v>
      </c>
      <c r="AN377" s="21">
        <v>6864133.0999999996</v>
      </c>
      <c r="AO377" s="21">
        <v>7287635.2999999998</v>
      </c>
      <c r="AP377" s="21">
        <v>7727083.4000000004</v>
      </c>
      <c r="AQ377" s="21">
        <v>8158193.7000000002</v>
      </c>
      <c r="AR377" s="21">
        <v>8568115.5999999996</v>
      </c>
      <c r="AS377" s="21">
        <v>8967401.6640000008</v>
      </c>
      <c r="AT377" s="21">
        <v>9424775.8330000006</v>
      </c>
      <c r="AU377" s="21">
        <v>9943138.4959999993</v>
      </c>
      <c r="AV377" s="21">
        <v>10519840.532</v>
      </c>
      <c r="AW377" s="21">
        <v>11151030.959000001</v>
      </c>
      <c r="AX377" s="21">
        <v>11820092.818</v>
      </c>
      <c r="AY377">
        <v>2014</v>
      </c>
    </row>
    <row r="378" spans="1:51" x14ac:dyDescent="0.25">
      <c r="A378">
        <v>536</v>
      </c>
      <c r="B378" t="s">
        <v>531</v>
      </c>
      <c r="C378" t="s">
        <v>286</v>
      </c>
      <c r="D378" t="s">
        <v>120</v>
      </c>
      <c r="E378" t="s">
        <v>287</v>
      </c>
      <c r="F378" t="s">
        <v>288</v>
      </c>
      <c r="G378" t="s">
        <v>282</v>
      </c>
      <c r="H378" t="s">
        <v>283</v>
      </c>
      <c r="I378" t="s">
        <v>532</v>
      </c>
      <c r="J378" s="21">
        <v>62257.713000000003</v>
      </c>
      <c r="K378" s="21">
        <v>70029.202999999994</v>
      </c>
      <c r="L378" s="21">
        <v>75268.725000000006</v>
      </c>
      <c r="M378" s="21">
        <v>93789.9</v>
      </c>
      <c r="N378" s="21">
        <v>109999.8</v>
      </c>
      <c r="O378" s="21">
        <v>118901.2</v>
      </c>
      <c r="P378" s="21">
        <v>129820.3</v>
      </c>
      <c r="Q378" s="21">
        <v>156517.9</v>
      </c>
      <c r="R378" s="21">
        <v>180840.1</v>
      </c>
      <c r="S378" s="21">
        <v>216981.6</v>
      </c>
      <c r="T378" s="21">
        <v>254781</v>
      </c>
      <c r="U378" s="21">
        <v>301434.90000000002</v>
      </c>
      <c r="V378" s="21">
        <v>341591.6</v>
      </c>
      <c r="W378" s="21">
        <v>398454.6</v>
      </c>
      <c r="X378" s="21">
        <v>461820.4</v>
      </c>
      <c r="Y378" s="21">
        <v>549170.80000000005</v>
      </c>
      <c r="Z378" s="21">
        <v>643480</v>
      </c>
      <c r="AA378" s="21">
        <v>758418.5</v>
      </c>
      <c r="AB378" s="21">
        <v>1154797.6000000001</v>
      </c>
      <c r="AC378" s="21">
        <v>1328760.7</v>
      </c>
      <c r="AD378" s="21">
        <v>1511556.6</v>
      </c>
      <c r="AE378" s="21">
        <v>1790590.7</v>
      </c>
      <c r="AF378" s="21">
        <v>1981482.2</v>
      </c>
      <c r="AG378" s="21">
        <v>2190134.7000000002</v>
      </c>
      <c r="AH378" s="21">
        <v>2497011.5</v>
      </c>
      <c r="AI378" s="21">
        <v>3017393.8</v>
      </c>
      <c r="AJ378" s="21">
        <v>3631835.3</v>
      </c>
      <c r="AK378" s="21">
        <v>4297113.4000000004</v>
      </c>
      <c r="AL378" s="21">
        <v>5414841.9000000004</v>
      </c>
      <c r="AM378" s="21">
        <v>6011375</v>
      </c>
      <c r="AN378" s="21">
        <v>6864133.0999999996</v>
      </c>
      <c r="AO378" s="21">
        <v>7831726</v>
      </c>
      <c r="AP378" s="21">
        <v>8615704.5</v>
      </c>
      <c r="AQ378" s="21">
        <v>9524736.5</v>
      </c>
      <c r="AR378" s="21">
        <v>10542693.5</v>
      </c>
      <c r="AS378" s="21">
        <v>11785644.984999999</v>
      </c>
      <c r="AT378" s="21">
        <v>13059920.433</v>
      </c>
      <c r="AU378" s="21">
        <v>14418928.220000001</v>
      </c>
      <c r="AV378" s="21">
        <v>15941750.58</v>
      </c>
      <c r="AW378" s="21">
        <v>17624893.32</v>
      </c>
      <c r="AX378" s="21">
        <v>19447725.84</v>
      </c>
      <c r="AY378">
        <v>2014</v>
      </c>
    </row>
    <row r="379" spans="1:51" x14ac:dyDescent="0.25">
      <c r="A379">
        <v>536</v>
      </c>
      <c r="B379" t="s">
        <v>531</v>
      </c>
      <c r="C379" t="s">
        <v>289</v>
      </c>
      <c r="D379" t="s">
        <v>120</v>
      </c>
      <c r="E379" t="s">
        <v>287</v>
      </c>
      <c r="F379" t="s">
        <v>290</v>
      </c>
      <c r="G379" t="s">
        <v>291</v>
      </c>
      <c r="H379" t="s">
        <v>283</v>
      </c>
      <c r="I379" t="s">
        <v>292</v>
      </c>
      <c r="J379">
        <v>99.296000000000006</v>
      </c>
      <c r="K379">
        <v>110.848</v>
      </c>
      <c r="L379">
        <v>113.79900000000001</v>
      </c>
      <c r="M379">
        <v>103.149</v>
      </c>
      <c r="N379">
        <v>107.218</v>
      </c>
      <c r="O379">
        <v>107.062</v>
      </c>
      <c r="P379">
        <v>101.22</v>
      </c>
      <c r="Q379">
        <v>95.213999999999999</v>
      </c>
      <c r="R379">
        <v>107.279</v>
      </c>
      <c r="S379">
        <v>122.58199999999999</v>
      </c>
      <c r="T379">
        <v>138.25800000000001</v>
      </c>
      <c r="U379">
        <v>154.55799999999999</v>
      </c>
      <c r="V379">
        <v>168.28</v>
      </c>
      <c r="W379">
        <v>190.91300000000001</v>
      </c>
      <c r="X379">
        <v>213.727</v>
      </c>
      <c r="Y379">
        <v>244.227</v>
      </c>
      <c r="Z379">
        <v>274.72199999999998</v>
      </c>
      <c r="AA379">
        <v>260.68</v>
      </c>
      <c r="AB379">
        <v>115.32299999999999</v>
      </c>
      <c r="AC379">
        <v>169.15799999999999</v>
      </c>
      <c r="AD379">
        <v>179.482</v>
      </c>
      <c r="AE379">
        <v>174.50700000000001</v>
      </c>
      <c r="AF379">
        <v>212.80699999999999</v>
      </c>
      <c r="AG379">
        <v>255.428</v>
      </c>
      <c r="AH379">
        <v>279.55599999999998</v>
      </c>
      <c r="AI379">
        <v>310.815</v>
      </c>
      <c r="AJ379">
        <v>396.29300000000001</v>
      </c>
      <c r="AK379">
        <v>470.14400000000001</v>
      </c>
      <c r="AL379">
        <v>558.58199999999999</v>
      </c>
      <c r="AM379">
        <v>577.53899999999999</v>
      </c>
      <c r="AN379">
        <v>755.25599999999997</v>
      </c>
      <c r="AO379">
        <v>892.59</v>
      </c>
      <c r="AP379">
        <v>919.00199999999995</v>
      </c>
      <c r="AQ379">
        <v>912.50199999999995</v>
      </c>
      <c r="AR379">
        <v>888.64800000000002</v>
      </c>
      <c r="AS379">
        <v>872.61500000000001</v>
      </c>
      <c r="AT379">
        <v>875.75</v>
      </c>
      <c r="AU379">
        <v>950.43799999999999</v>
      </c>
      <c r="AV379" s="21">
        <v>1021.234</v>
      </c>
      <c r="AW379" s="21">
        <v>1103.2850000000001</v>
      </c>
      <c r="AX379" s="21">
        <v>1193.9090000000001</v>
      </c>
      <c r="AY379">
        <v>2014</v>
      </c>
    </row>
    <row r="380" spans="1:51" x14ac:dyDescent="0.25">
      <c r="A380">
        <v>536</v>
      </c>
      <c r="B380" t="s">
        <v>531</v>
      </c>
      <c r="C380" t="s">
        <v>293</v>
      </c>
      <c r="D380" t="s">
        <v>120</v>
      </c>
      <c r="E380" t="s">
        <v>294</v>
      </c>
      <c r="F380" t="s">
        <v>295</v>
      </c>
      <c r="G380" t="s">
        <v>296</v>
      </c>
      <c r="I380" t="s">
        <v>297</v>
      </c>
      <c r="J380">
        <v>4.3209999999999997</v>
      </c>
      <c r="K380">
        <v>4.5170000000000003</v>
      </c>
      <c r="L380">
        <v>4.7480000000000002</v>
      </c>
      <c r="M380">
        <v>5.6779999999999999</v>
      </c>
      <c r="N380">
        <v>6.1909999999999998</v>
      </c>
      <c r="O380">
        <v>6.44</v>
      </c>
      <c r="P380">
        <v>6.56</v>
      </c>
      <c r="Q380">
        <v>7.4210000000000003</v>
      </c>
      <c r="R380">
        <v>8.0150000000000006</v>
      </c>
      <c r="S380">
        <v>8.8160000000000007</v>
      </c>
      <c r="T380">
        <v>9.4969999999999999</v>
      </c>
      <c r="U380">
        <v>10.315</v>
      </c>
      <c r="V380">
        <v>10.973000000000001</v>
      </c>
      <c r="W380">
        <v>11.856999999999999</v>
      </c>
      <c r="X380">
        <v>12.779</v>
      </c>
      <c r="Y380">
        <v>14.042</v>
      </c>
      <c r="Z380">
        <v>15.26</v>
      </c>
      <c r="AA380">
        <v>17.178000000000001</v>
      </c>
      <c r="AB380">
        <v>30.109000000000002</v>
      </c>
      <c r="AC380">
        <v>34.372</v>
      </c>
      <c r="AD380">
        <v>37.247</v>
      </c>
      <c r="AE380">
        <v>42.570999999999998</v>
      </c>
      <c r="AF380">
        <v>45.081000000000003</v>
      </c>
      <c r="AG380">
        <v>47.555</v>
      </c>
      <c r="AH380">
        <v>51.621000000000002</v>
      </c>
      <c r="AI380">
        <v>59.02</v>
      </c>
      <c r="AJ380">
        <v>67.334000000000003</v>
      </c>
      <c r="AK380">
        <v>74.915000000000006</v>
      </c>
      <c r="AL380">
        <v>87.863</v>
      </c>
      <c r="AM380">
        <v>93.162000000000006</v>
      </c>
      <c r="AN380">
        <v>100</v>
      </c>
      <c r="AO380">
        <v>107.46599999999999</v>
      </c>
      <c r="AP380">
        <v>111.5</v>
      </c>
      <c r="AQ380">
        <v>116.751</v>
      </c>
      <c r="AR380">
        <v>123.04600000000001</v>
      </c>
      <c r="AS380">
        <v>131.428</v>
      </c>
      <c r="AT380">
        <v>138.57</v>
      </c>
      <c r="AU380">
        <v>145.01400000000001</v>
      </c>
      <c r="AV380">
        <v>151.54</v>
      </c>
      <c r="AW380">
        <v>158.05600000000001</v>
      </c>
      <c r="AX380">
        <v>164.53100000000001</v>
      </c>
      <c r="AY380">
        <v>2014</v>
      </c>
    </row>
    <row r="381" spans="1:51" x14ac:dyDescent="0.25">
      <c r="A381">
        <v>536</v>
      </c>
      <c r="B381" t="s">
        <v>531</v>
      </c>
      <c r="C381" t="s">
        <v>298</v>
      </c>
      <c r="D381" t="s">
        <v>120</v>
      </c>
      <c r="E381" t="s">
        <v>299</v>
      </c>
      <c r="F381" t="s">
        <v>300</v>
      </c>
      <c r="G381" t="s">
        <v>282</v>
      </c>
      <c r="H381" t="s">
        <v>283</v>
      </c>
      <c r="I381" t="s">
        <v>533</v>
      </c>
      <c r="J381" t="s">
        <v>285</v>
      </c>
      <c r="K381" t="s">
        <v>285</v>
      </c>
      <c r="L381" t="s">
        <v>285</v>
      </c>
      <c r="M381" t="s">
        <v>285</v>
      </c>
      <c r="N381" t="s">
        <v>285</v>
      </c>
      <c r="O381" t="s">
        <v>285</v>
      </c>
      <c r="P381" t="s">
        <v>285</v>
      </c>
      <c r="Q381" t="s">
        <v>285</v>
      </c>
      <c r="R381" t="s">
        <v>285</v>
      </c>
      <c r="S381" t="s">
        <v>285</v>
      </c>
      <c r="T381" t="s">
        <v>285</v>
      </c>
      <c r="U381" t="s">
        <v>285</v>
      </c>
      <c r="V381" t="s">
        <v>285</v>
      </c>
      <c r="W381" s="21">
        <v>56155.9</v>
      </c>
      <c r="X381" s="21">
        <v>62455.7</v>
      </c>
      <c r="Y381" s="21">
        <v>65390</v>
      </c>
      <c r="Z381" s="21">
        <v>74051.600000000006</v>
      </c>
      <c r="AA381" s="21">
        <v>115655.1</v>
      </c>
      <c r="AB381" s="21">
        <v>174129.3</v>
      </c>
      <c r="AC381" s="21">
        <v>201176.7</v>
      </c>
      <c r="AD381" s="21">
        <v>231311.55100000001</v>
      </c>
      <c r="AE381" s="21">
        <v>349318.99</v>
      </c>
      <c r="AF381" s="21">
        <v>335485.77799999999</v>
      </c>
      <c r="AG381" s="21">
        <v>398067.72100000002</v>
      </c>
      <c r="AH381" s="21">
        <v>445297.685</v>
      </c>
      <c r="AI381" s="21">
        <v>526114.27800000005</v>
      </c>
      <c r="AJ381" s="21">
        <v>671708.92500000005</v>
      </c>
      <c r="AK381" s="21">
        <v>804822.77099999995</v>
      </c>
      <c r="AL381" s="21">
        <v>1050154.5079999999</v>
      </c>
      <c r="AM381" s="21">
        <v>1023520.3320000001</v>
      </c>
      <c r="AN381" s="21">
        <v>1159098.284</v>
      </c>
      <c r="AO381" s="21">
        <v>1382960.4129999999</v>
      </c>
      <c r="AP381" s="21">
        <v>1622837.246</v>
      </c>
      <c r="AQ381" s="21">
        <v>1822525.027</v>
      </c>
      <c r="AR381" s="21">
        <v>1984841.6240000001</v>
      </c>
      <c r="AS381" s="21">
        <v>1998728.638</v>
      </c>
      <c r="AT381" s="21">
        <v>2267899.9840000002</v>
      </c>
      <c r="AU381" s="21">
        <v>2526684.1</v>
      </c>
      <c r="AV381" s="21">
        <v>2808648.0669999998</v>
      </c>
      <c r="AW381" s="21">
        <v>3117183.977</v>
      </c>
      <c r="AX381" s="21">
        <v>3451738.895</v>
      </c>
      <c r="AY381">
        <v>2014</v>
      </c>
    </row>
    <row r="382" spans="1:51" x14ac:dyDescent="0.25">
      <c r="A382">
        <v>429</v>
      </c>
      <c r="B382" t="s">
        <v>534</v>
      </c>
      <c r="C382" t="s">
        <v>279</v>
      </c>
      <c r="D382" t="s">
        <v>1124</v>
      </c>
      <c r="E382" t="s">
        <v>280</v>
      </c>
      <c r="F382" t="s">
        <v>281</v>
      </c>
      <c r="G382" t="s">
        <v>282</v>
      </c>
      <c r="H382" t="s">
        <v>283</v>
      </c>
      <c r="I382" t="s">
        <v>535</v>
      </c>
      <c r="J382" s="21">
        <v>648136.35600000003</v>
      </c>
      <c r="K382" s="21">
        <v>699259.82799999998</v>
      </c>
      <c r="L382" s="21">
        <v>799971.77</v>
      </c>
      <c r="M382" s="21">
        <v>882341.70799999998</v>
      </c>
      <c r="N382" s="21">
        <v>911688.94299999997</v>
      </c>
      <c r="O382" s="21">
        <v>949907.951</v>
      </c>
      <c r="P382" s="21">
        <v>861132.17799999996</v>
      </c>
      <c r="Q382" s="21">
        <v>842336.37399999995</v>
      </c>
      <c r="R382" s="21">
        <v>723904.20700000005</v>
      </c>
      <c r="S382" s="21">
        <v>768795.06799999997</v>
      </c>
      <c r="T382" s="21">
        <v>919555.78099999996</v>
      </c>
      <c r="U382" s="21">
        <v>1036487.86</v>
      </c>
      <c r="V382" s="21">
        <v>1070671.0419999999</v>
      </c>
      <c r="W382" s="21">
        <v>1054921.348</v>
      </c>
      <c r="X382" s="21">
        <v>1037005.765</v>
      </c>
      <c r="Y382" s="21">
        <v>1061904.7350000001</v>
      </c>
      <c r="Z382" s="21">
        <v>1129341.2720000001</v>
      </c>
      <c r="AA382" s="21">
        <v>1144591.888</v>
      </c>
      <c r="AB382" s="21">
        <v>1168399.534</v>
      </c>
      <c r="AC382" s="21">
        <v>1191799.0279999999</v>
      </c>
      <c r="AD382" s="21">
        <v>1261465.9680000001</v>
      </c>
      <c r="AE382" s="21">
        <v>1291642.412</v>
      </c>
      <c r="AF382" s="21">
        <v>1395991.9979999999</v>
      </c>
      <c r="AG382" s="21">
        <v>1516595.912</v>
      </c>
      <c r="AH382" s="21">
        <v>1582365.611</v>
      </c>
      <c r="AI382" s="21">
        <v>1648962.48</v>
      </c>
      <c r="AJ382" s="21">
        <v>1743023.453</v>
      </c>
      <c r="AK382" s="21">
        <v>1901920.389</v>
      </c>
      <c r="AL382" s="21">
        <v>1919488.3470000001</v>
      </c>
      <c r="AM382" s="21">
        <v>1963918.9169999999</v>
      </c>
      <c r="AN382" s="21">
        <v>2093092.618</v>
      </c>
      <c r="AO382" s="21">
        <v>2171578.0269999998</v>
      </c>
      <c r="AP382" s="21">
        <v>2028064.942</v>
      </c>
      <c r="AQ382" s="21">
        <v>1989297</v>
      </c>
      <c r="AR382" s="21">
        <v>2075699</v>
      </c>
      <c r="AS382" s="21">
        <v>2092857.997</v>
      </c>
      <c r="AT382" s="21">
        <v>2184096.2379999999</v>
      </c>
      <c r="AU382" s="21">
        <v>2271247.92</v>
      </c>
      <c r="AV382" s="21">
        <v>2365853.182</v>
      </c>
      <c r="AW382" s="21">
        <v>2469573.7039999999</v>
      </c>
      <c r="AX382" s="21">
        <v>2577811.5269999998</v>
      </c>
      <c r="AY382">
        <v>2015</v>
      </c>
    </row>
    <row r="383" spans="1:51" x14ac:dyDescent="0.25">
      <c r="A383">
        <v>429</v>
      </c>
      <c r="B383" t="s">
        <v>534</v>
      </c>
      <c r="C383" t="s">
        <v>286</v>
      </c>
      <c r="D383" t="s">
        <v>1124</v>
      </c>
      <c r="E383" t="s">
        <v>287</v>
      </c>
      <c r="F383" t="s">
        <v>288</v>
      </c>
      <c r="G383" t="s">
        <v>282</v>
      </c>
      <c r="H383" t="s">
        <v>283</v>
      </c>
      <c r="I383" t="s">
        <v>535</v>
      </c>
      <c r="J383" s="21">
        <v>7122.6390000000001</v>
      </c>
      <c r="K383" s="21">
        <v>8980.5040000000008</v>
      </c>
      <c r="L383" s="21">
        <v>11995.661</v>
      </c>
      <c r="M383" s="21">
        <v>15088.48</v>
      </c>
      <c r="N383" s="21">
        <v>16309.021000000001</v>
      </c>
      <c r="O383" s="21">
        <v>17808.264999999999</v>
      </c>
      <c r="P383" s="21">
        <v>19496.821</v>
      </c>
      <c r="Q383" s="21">
        <v>22879.528999999999</v>
      </c>
      <c r="R383" s="21">
        <v>21420.514999999999</v>
      </c>
      <c r="S383" s="21">
        <v>26453.487000000001</v>
      </c>
      <c r="T383" s="21">
        <v>37986.542000000001</v>
      </c>
      <c r="U383" s="21">
        <v>53785.438999999998</v>
      </c>
      <c r="V383" s="21">
        <v>71861.214999999997</v>
      </c>
      <c r="W383" s="21">
        <v>106133.133</v>
      </c>
      <c r="X383" s="21">
        <v>139731.64199999999</v>
      </c>
      <c r="Y383" s="21">
        <v>197370.155</v>
      </c>
      <c r="Z383" s="21">
        <v>270427.23100000003</v>
      </c>
      <c r="AA383" s="21">
        <v>316638.315</v>
      </c>
      <c r="AB383" s="21">
        <v>353547.78399999999</v>
      </c>
      <c r="AC383" s="21">
        <v>474975.734</v>
      </c>
      <c r="AD383" s="21">
        <v>628070.07700000005</v>
      </c>
      <c r="AE383" s="21">
        <v>738307.44799999997</v>
      </c>
      <c r="AF383" s="21">
        <v>1023613.009</v>
      </c>
      <c r="AG383" s="21">
        <v>1258128.7420000001</v>
      </c>
      <c r="AH383" s="21">
        <v>1582365.5859999999</v>
      </c>
      <c r="AI383" s="21">
        <v>1970690.257</v>
      </c>
      <c r="AJ383" s="21">
        <v>2372025.3489999999</v>
      </c>
      <c r="AK383" s="21">
        <v>3132151.9249999998</v>
      </c>
      <c r="AL383" s="21">
        <v>3744913.057</v>
      </c>
      <c r="AM383" s="21">
        <v>3935640.7140000002</v>
      </c>
      <c r="AN383" s="21">
        <v>4796803.4390000002</v>
      </c>
      <c r="AO383" s="21">
        <v>6285254.8059999999</v>
      </c>
      <c r="AP383" s="21">
        <v>7149595.3969999999</v>
      </c>
      <c r="AQ383" s="21">
        <v>9421216</v>
      </c>
      <c r="AR383" s="21">
        <v>11033666</v>
      </c>
      <c r="AS383" s="21">
        <v>12088550.568</v>
      </c>
      <c r="AT383" s="21">
        <v>14165839.926000001</v>
      </c>
      <c r="AU383" s="21">
        <v>16072028.905999999</v>
      </c>
      <c r="AV383" s="21">
        <v>17846664.035</v>
      </c>
      <c r="AW383" s="21">
        <v>19538674.791999999</v>
      </c>
      <c r="AX383" s="21">
        <v>21333564.138</v>
      </c>
      <c r="AY383">
        <v>2015</v>
      </c>
    </row>
    <row r="384" spans="1:51" x14ac:dyDescent="0.25">
      <c r="A384">
        <v>429</v>
      </c>
      <c r="B384" t="s">
        <v>534</v>
      </c>
      <c r="C384" t="s">
        <v>289</v>
      </c>
      <c r="D384" t="s">
        <v>1124</v>
      </c>
      <c r="E384" t="s">
        <v>287</v>
      </c>
      <c r="F384" t="s">
        <v>290</v>
      </c>
      <c r="G384" t="s">
        <v>291</v>
      </c>
      <c r="H384" t="s">
        <v>283</v>
      </c>
      <c r="I384" t="s">
        <v>292</v>
      </c>
      <c r="J384">
        <v>100.866</v>
      </c>
      <c r="K384">
        <v>114.65300000000001</v>
      </c>
      <c r="L384">
        <v>143.48500000000001</v>
      </c>
      <c r="M384">
        <v>174.72</v>
      </c>
      <c r="N384">
        <v>181.15199999999999</v>
      </c>
      <c r="O384">
        <v>85.906000000000006</v>
      </c>
      <c r="P384">
        <v>89.641000000000005</v>
      </c>
      <c r="Q384">
        <v>103.247</v>
      </c>
      <c r="R384">
        <v>90.534999999999997</v>
      </c>
      <c r="S384">
        <v>87.363</v>
      </c>
      <c r="T384">
        <v>567.81100000000004</v>
      </c>
      <c r="U384">
        <v>793.29600000000005</v>
      </c>
      <c r="V384">
        <v>49.271000000000001</v>
      </c>
      <c r="W384">
        <v>64.206000000000003</v>
      </c>
      <c r="X384">
        <v>79.846999999999994</v>
      </c>
      <c r="Y384">
        <v>112.783</v>
      </c>
      <c r="Z384">
        <v>154.17699999999999</v>
      </c>
      <c r="AA384">
        <v>180.42099999999999</v>
      </c>
      <c r="AB384">
        <v>201.452</v>
      </c>
      <c r="AC384">
        <v>270.64100000000002</v>
      </c>
      <c r="AD384">
        <v>357.875</v>
      </c>
      <c r="AE384">
        <v>420.68799999999999</v>
      </c>
      <c r="AF384">
        <v>128.62700000000001</v>
      </c>
      <c r="AG384">
        <v>151.911</v>
      </c>
      <c r="AH384">
        <v>181.48500000000001</v>
      </c>
      <c r="AI384">
        <v>218.33500000000001</v>
      </c>
      <c r="AJ384">
        <v>257.77300000000002</v>
      </c>
      <c r="AK384">
        <v>337.32600000000002</v>
      </c>
      <c r="AL384">
        <v>391.16500000000002</v>
      </c>
      <c r="AM384">
        <v>396.738</v>
      </c>
      <c r="AN384">
        <v>463.971</v>
      </c>
      <c r="AO384">
        <v>564.45899999999995</v>
      </c>
      <c r="AP384">
        <v>583.16399999999999</v>
      </c>
      <c r="AQ384">
        <v>380.34800000000001</v>
      </c>
      <c r="AR384">
        <v>416.49</v>
      </c>
      <c r="AS384">
        <v>396.91500000000002</v>
      </c>
      <c r="AT384">
        <v>416.22</v>
      </c>
      <c r="AU384">
        <v>447.02600000000001</v>
      </c>
      <c r="AV384">
        <v>480.755</v>
      </c>
      <c r="AW384">
        <v>516.50800000000004</v>
      </c>
      <c r="AX384">
        <v>554.90700000000004</v>
      </c>
      <c r="AY384">
        <v>2015</v>
      </c>
    </row>
    <row r="385" spans="1:51" x14ac:dyDescent="0.25">
      <c r="A385">
        <v>429</v>
      </c>
      <c r="B385" t="s">
        <v>534</v>
      </c>
      <c r="C385" t="s">
        <v>293</v>
      </c>
      <c r="D385" t="s">
        <v>1124</v>
      </c>
      <c r="E385" t="s">
        <v>294</v>
      </c>
      <c r="F385" t="s">
        <v>295</v>
      </c>
      <c r="G385" t="s">
        <v>296</v>
      </c>
      <c r="I385" t="s">
        <v>297</v>
      </c>
      <c r="J385">
        <v>1.099</v>
      </c>
      <c r="K385">
        <v>1.284</v>
      </c>
      <c r="L385">
        <v>1.5</v>
      </c>
      <c r="M385">
        <v>1.71</v>
      </c>
      <c r="N385">
        <v>1.7889999999999999</v>
      </c>
      <c r="O385">
        <v>1.875</v>
      </c>
      <c r="P385">
        <v>2.2639999999999998</v>
      </c>
      <c r="Q385">
        <v>2.7160000000000002</v>
      </c>
      <c r="R385">
        <v>2.9590000000000001</v>
      </c>
      <c r="S385">
        <v>3.4409999999999998</v>
      </c>
      <c r="T385">
        <v>4.1310000000000002</v>
      </c>
      <c r="U385">
        <v>5.1890000000000001</v>
      </c>
      <c r="V385">
        <v>6.7119999999999997</v>
      </c>
      <c r="W385">
        <v>10.061</v>
      </c>
      <c r="X385">
        <v>13.475</v>
      </c>
      <c r="Y385">
        <v>18.585999999999999</v>
      </c>
      <c r="Z385">
        <v>23.946000000000002</v>
      </c>
      <c r="AA385">
        <v>27.664000000000001</v>
      </c>
      <c r="AB385">
        <v>30.259</v>
      </c>
      <c r="AC385">
        <v>39.853999999999999</v>
      </c>
      <c r="AD385">
        <v>49.789000000000001</v>
      </c>
      <c r="AE385">
        <v>57.16</v>
      </c>
      <c r="AF385">
        <v>73.325000000000003</v>
      </c>
      <c r="AG385">
        <v>82.956999999999994</v>
      </c>
      <c r="AH385">
        <v>100</v>
      </c>
      <c r="AI385">
        <v>119.511</v>
      </c>
      <c r="AJ385">
        <v>136.08699999999999</v>
      </c>
      <c r="AK385">
        <v>164.684</v>
      </c>
      <c r="AL385">
        <v>195.1</v>
      </c>
      <c r="AM385">
        <v>200.39699999999999</v>
      </c>
      <c r="AN385">
        <v>229.173</v>
      </c>
      <c r="AO385">
        <v>289.43299999999999</v>
      </c>
      <c r="AP385">
        <v>352.53300000000002</v>
      </c>
      <c r="AQ385">
        <v>473.59500000000003</v>
      </c>
      <c r="AR385">
        <v>531.56399999999996</v>
      </c>
      <c r="AS385">
        <v>577.61</v>
      </c>
      <c r="AT385">
        <v>648.59</v>
      </c>
      <c r="AU385">
        <v>707.63</v>
      </c>
      <c r="AV385">
        <v>754.34400000000005</v>
      </c>
      <c r="AW385">
        <v>791.17600000000004</v>
      </c>
      <c r="AX385">
        <v>827.58399999999995</v>
      </c>
      <c r="AY385">
        <v>2015</v>
      </c>
    </row>
    <row r="386" spans="1:51" x14ac:dyDescent="0.25">
      <c r="A386">
        <v>429</v>
      </c>
      <c r="B386" t="s">
        <v>534</v>
      </c>
      <c r="C386" t="s">
        <v>298</v>
      </c>
      <c r="D386" t="s">
        <v>1124</v>
      </c>
      <c r="E386" t="s">
        <v>299</v>
      </c>
      <c r="F386" t="s">
        <v>300</v>
      </c>
      <c r="G386" t="s">
        <v>282</v>
      </c>
      <c r="H386" t="s">
        <v>283</v>
      </c>
      <c r="I386" t="s">
        <v>536</v>
      </c>
      <c r="J386" t="s">
        <v>285</v>
      </c>
      <c r="K386" t="s">
        <v>285</v>
      </c>
      <c r="L386" t="s">
        <v>285</v>
      </c>
      <c r="M386" t="s">
        <v>285</v>
      </c>
      <c r="N386" t="s">
        <v>285</v>
      </c>
      <c r="O386" t="s">
        <v>285</v>
      </c>
      <c r="P386" t="s">
        <v>285</v>
      </c>
      <c r="Q386" t="s">
        <v>285</v>
      </c>
      <c r="R386" t="s">
        <v>285</v>
      </c>
      <c r="S386" t="s">
        <v>285</v>
      </c>
      <c r="T386" s="21">
        <v>7750.8</v>
      </c>
      <c r="U386" s="21">
        <v>9490</v>
      </c>
      <c r="V386" s="21">
        <v>13074</v>
      </c>
      <c r="W386" s="21">
        <v>35734</v>
      </c>
      <c r="X386" s="21">
        <v>39208</v>
      </c>
      <c r="Y386" s="21">
        <v>51467</v>
      </c>
      <c r="Z386" s="21">
        <v>58398</v>
      </c>
      <c r="AA386" s="21">
        <v>68591</v>
      </c>
      <c r="AB386" s="21">
        <v>74187</v>
      </c>
      <c r="AC386" s="21">
        <v>92782.399999999994</v>
      </c>
      <c r="AD386" s="21">
        <v>104703.7</v>
      </c>
      <c r="AE386" s="21">
        <v>125741.679</v>
      </c>
      <c r="AF386" s="21">
        <v>206265.07</v>
      </c>
      <c r="AG386" s="21">
        <v>251732.394</v>
      </c>
      <c r="AH386" s="21">
        <v>297493.48</v>
      </c>
      <c r="AI386" s="21">
        <v>450083.99800000002</v>
      </c>
      <c r="AJ386" s="21">
        <v>564866.15599999996</v>
      </c>
      <c r="AK386" s="21">
        <v>617566.69799999997</v>
      </c>
      <c r="AL386" s="21">
        <v>828825.50699999998</v>
      </c>
      <c r="AM386" s="21">
        <v>810201.92799999996</v>
      </c>
      <c r="AN386" s="21">
        <v>917548.27399999998</v>
      </c>
      <c r="AO386" s="21">
        <v>1189794.916</v>
      </c>
      <c r="AP386" s="21">
        <v>1039256</v>
      </c>
      <c r="AQ386" s="21">
        <v>1415137.6</v>
      </c>
      <c r="AR386" s="21">
        <v>1728000</v>
      </c>
      <c r="AS386" s="21">
        <v>2027893.737</v>
      </c>
      <c r="AT386" s="21">
        <v>2369176.554</v>
      </c>
      <c r="AU386" s="21">
        <v>2723352.3110000002</v>
      </c>
      <c r="AV386" s="21">
        <v>3012553.0320000001</v>
      </c>
      <c r="AW386" s="21">
        <v>3284557.66</v>
      </c>
      <c r="AX386" s="21">
        <v>3553953.736</v>
      </c>
      <c r="AY386">
        <v>2015</v>
      </c>
    </row>
    <row r="387" spans="1:51" x14ac:dyDescent="0.25">
      <c r="A387">
        <v>433</v>
      </c>
      <c r="B387" t="s">
        <v>537</v>
      </c>
      <c r="C387" t="s">
        <v>279</v>
      </c>
      <c r="D387" t="s">
        <v>122</v>
      </c>
      <c r="E387" t="s">
        <v>280</v>
      </c>
      <c r="F387" t="s">
        <v>281</v>
      </c>
      <c r="G387" t="s">
        <v>282</v>
      </c>
      <c r="H387" t="s">
        <v>283</v>
      </c>
      <c r="I387" t="s">
        <v>538</v>
      </c>
      <c r="J387" t="s">
        <v>285</v>
      </c>
      <c r="K387" t="s">
        <v>285</v>
      </c>
      <c r="L387" t="s">
        <v>285</v>
      </c>
      <c r="M387" t="s">
        <v>285</v>
      </c>
      <c r="N387" t="s">
        <v>285</v>
      </c>
      <c r="O387" t="s">
        <v>285</v>
      </c>
      <c r="P387" t="s">
        <v>285</v>
      </c>
      <c r="Q387" t="s">
        <v>285</v>
      </c>
      <c r="R387" t="s">
        <v>285</v>
      </c>
      <c r="S387" t="s">
        <v>285</v>
      </c>
      <c r="T387" t="s">
        <v>285</v>
      </c>
      <c r="U387" t="s">
        <v>285</v>
      </c>
      <c r="V387" t="s">
        <v>285</v>
      </c>
      <c r="W387" t="s">
        <v>285</v>
      </c>
      <c r="X387" t="s">
        <v>285</v>
      </c>
      <c r="Y387" t="s">
        <v>285</v>
      </c>
      <c r="Z387" t="s">
        <v>285</v>
      </c>
      <c r="AA387" t="s">
        <v>285</v>
      </c>
      <c r="AB387" t="s">
        <v>285</v>
      </c>
      <c r="AC387" t="s">
        <v>285</v>
      </c>
      <c r="AD387" t="s">
        <v>285</v>
      </c>
      <c r="AE387" t="s">
        <v>285</v>
      </c>
      <c r="AF387" t="s">
        <v>285</v>
      </c>
      <c r="AG387" t="s">
        <v>285</v>
      </c>
      <c r="AH387" s="21">
        <v>101845.262</v>
      </c>
      <c r="AI387" s="21">
        <v>103551.40300000001</v>
      </c>
      <c r="AJ387" s="21">
        <v>109389.94100000001</v>
      </c>
      <c r="AK387" s="21">
        <v>111455.81299999999</v>
      </c>
      <c r="AL387" s="21">
        <v>120626.51700000001</v>
      </c>
      <c r="AM387" s="21">
        <v>124702.848</v>
      </c>
      <c r="AN387" s="21">
        <v>132687.02900000001</v>
      </c>
      <c r="AO387" s="21">
        <v>142700.217</v>
      </c>
      <c r="AP387" s="21">
        <v>162587.533</v>
      </c>
      <c r="AQ387" s="21">
        <v>173273.046</v>
      </c>
      <c r="AR387" s="21">
        <v>169602.65900000001</v>
      </c>
      <c r="AS387" s="21">
        <v>169647.49</v>
      </c>
      <c r="AT387" s="21">
        <v>181608.96400000001</v>
      </c>
      <c r="AU387" s="21">
        <v>196334.74100000001</v>
      </c>
      <c r="AV387" s="21">
        <v>211262.182</v>
      </c>
      <c r="AW387" s="21">
        <v>227169.15700000001</v>
      </c>
      <c r="AX387" s="21">
        <v>243408.37400000001</v>
      </c>
      <c r="AY387">
        <v>2014</v>
      </c>
    </row>
    <row r="388" spans="1:51" x14ac:dyDescent="0.25">
      <c r="A388">
        <v>433</v>
      </c>
      <c r="B388" t="s">
        <v>537</v>
      </c>
      <c r="C388" t="s">
        <v>286</v>
      </c>
      <c r="D388" t="s">
        <v>122</v>
      </c>
      <c r="E388" t="s">
        <v>287</v>
      </c>
      <c r="F388" t="s">
        <v>288</v>
      </c>
      <c r="G388" t="s">
        <v>282</v>
      </c>
      <c r="H388" t="s">
        <v>283</v>
      </c>
      <c r="I388" t="s">
        <v>538</v>
      </c>
      <c r="J388" t="s">
        <v>285</v>
      </c>
      <c r="K388" t="s">
        <v>285</v>
      </c>
      <c r="L388" t="s">
        <v>285</v>
      </c>
      <c r="M388" t="s">
        <v>285</v>
      </c>
      <c r="N388" t="s">
        <v>285</v>
      </c>
      <c r="O388" t="s">
        <v>285</v>
      </c>
      <c r="P388" t="s">
        <v>285</v>
      </c>
      <c r="Q388" t="s">
        <v>285</v>
      </c>
      <c r="R388" t="s">
        <v>285</v>
      </c>
      <c r="S388" t="s">
        <v>285</v>
      </c>
      <c r="T388" t="s">
        <v>285</v>
      </c>
      <c r="U388" t="s">
        <v>285</v>
      </c>
      <c r="V388" t="s">
        <v>285</v>
      </c>
      <c r="W388" t="s">
        <v>285</v>
      </c>
      <c r="X388" t="s">
        <v>285</v>
      </c>
      <c r="Y388" t="s">
        <v>285</v>
      </c>
      <c r="Z388" t="s">
        <v>285</v>
      </c>
      <c r="AA388" t="s">
        <v>285</v>
      </c>
      <c r="AB388" t="s">
        <v>285</v>
      </c>
      <c r="AC388" t="s">
        <v>285</v>
      </c>
      <c r="AD388" t="s">
        <v>285</v>
      </c>
      <c r="AE388" t="s">
        <v>285</v>
      </c>
      <c r="AF388" t="s">
        <v>285</v>
      </c>
      <c r="AG388" t="s">
        <v>285</v>
      </c>
      <c r="AH388" s="21">
        <v>53235.358999999997</v>
      </c>
      <c r="AI388" s="21">
        <v>73533.599000000002</v>
      </c>
      <c r="AJ388" s="21">
        <v>95587.955000000002</v>
      </c>
      <c r="AK388" s="21">
        <v>111455.81299999999</v>
      </c>
      <c r="AL388" s="21">
        <v>157026.06200000001</v>
      </c>
      <c r="AM388" s="21">
        <v>130642.18700000001</v>
      </c>
      <c r="AN388" s="21">
        <v>162064.56599999999</v>
      </c>
      <c r="AO388" s="21">
        <v>217327.10699999999</v>
      </c>
      <c r="AP388" s="21">
        <v>254225.49100000001</v>
      </c>
      <c r="AQ388" s="21">
        <v>271091.77799999999</v>
      </c>
      <c r="AR388" s="21">
        <v>260610.43799999999</v>
      </c>
      <c r="AS388" s="21">
        <v>192456.402</v>
      </c>
      <c r="AT388" s="21">
        <v>205702.28400000001</v>
      </c>
      <c r="AU388" s="21">
        <v>233649.785</v>
      </c>
      <c r="AV388" s="21">
        <v>261055.682</v>
      </c>
      <c r="AW388" s="21">
        <v>288000.96000000002</v>
      </c>
      <c r="AX388" s="21">
        <v>313397.65399999998</v>
      </c>
      <c r="AY388">
        <v>2014</v>
      </c>
    </row>
    <row r="389" spans="1:51" x14ac:dyDescent="0.25">
      <c r="A389">
        <v>433</v>
      </c>
      <c r="B389" t="s">
        <v>537</v>
      </c>
      <c r="C389" t="s">
        <v>289</v>
      </c>
      <c r="D389" t="s">
        <v>122</v>
      </c>
      <c r="E389" t="s">
        <v>287</v>
      </c>
      <c r="F389" t="s">
        <v>290</v>
      </c>
      <c r="G389" t="s">
        <v>291</v>
      </c>
      <c r="H389" t="s">
        <v>283</v>
      </c>
      <c r="I389" t="s">
        <v>292</v>
      </c>
      <c r="J389" t="s">
        <v>285</v>
      </c>
      <c r="K389" t="s">
        <v>285</v>
      </c>
      <c r="L389" t="s">
        <v>285</v>
      </c>
      <c r="M389" t="s">
        <v>285</v>
      </c>
      <c r="N389" t="s">
        <v>285</v>
      </c>
      <c r="O389" t="s">
        <v>285</v>
      </c>
      <c r="P389" t="s">
        <v>285</v>
      </c>
      <c r="Q389" t="s">
        <v>285</v>
      </c>
      <c r="R389" t="s">
        <v>285</v>
      </c>
      <c r="S389" t="s">
        <v>285</v>
      </c>
      <c r="T389" t="s">
        <v>285</v>
      </c>
      <c r="U389" t="s">
        <v>285</v>
      </c>
      <c r="V389" t="s">
        <v>285</v>
      </c>
      <c r="W389" t="s">
        <v>285</v>
      </c>
      <c r="X389" t="s">
        <v>285</v>
      </c>
      <c r="Y389" t="s">
        <v>285</v>
      </c>
      <c r="Z389" t="s">
        <v>285</v>
      </c>
      <c r="AA389" t="s">
        <v>285</v>
      </c>
      <c r="AB389" t="s">
        <v>285</v>
      </c>
      <c r="AC389" t="s">
        <v>285</v>
      </c>
      <c r="AD389" t="s">
        <v>285</v>
      </c>
      <c r="AE389" t="s">
        <v>285</v>
      </c>
      <c r="AF389" t="s">
        <v>285</v>
      </c>
      <c r="AG389" t="s">
        <v>285</v>
      </c>
      <c r="AH389">
        <v>36.642000000000003</v>
      </c>
      <c r="AI389">
        <v>50.064999999999998</v>
      </c>
      <c r="AJ389">
        <v>65.144000000000005</v>
      </c>
      <c r="AK389">
        <v>88.832999999999998</v>
      </c>
      <c r="AL389">
        <v>131.614</v>
      </c>
      <c r="AM389">
        <v>111.66</v>
      </c>
      <c r="AN389">
        <v>138.517</v>
      </c>
      <c r="AO389">
        <v>185.75</v>
      </c>
      <c r="AP389">
        <v>218.03200000000001</v>
      </c>
      <c r="AQ389">
        <v>232.49700000000001</v>
      </c>
      <c r="AR389">
        <v>223.50800000000001</v>
      </c>
      <c r="AS389">
        <v>165.05699999999999</v>
      </c>
      <c r="AT389">
        <v>176.417</v>
      </c>
      <c r="AU389">
        <v>200.386</v>
      </c>
      <c r="AV389">
        <v>223.89</v>
      </c>
      <c r="AW389">
        <v>246.999</v>
      </c>
      <c r="AX389">
        <v>268.77999999999997</v>
      </c>
      <c r="AY389">
        <v>2014</v>
      </c>
    </row>
    <row r="390" spans="1:51" x14ac:dyDescent="0.25">
      <c r="A390">
        <v>433</v>
      </c>
      <c r="B390" t="s">
        <v>537</v>
      </c>
      <c r="C390" t="s">
        <v>293</v>
      </c>
      <c r="D390" t="s">
        <v>122</v>
      </c>
      <c r="E390" t="s">
        <v>294</v>
      </c>
      <c r="F390" t="s">
        <v>295</v>
      </c>
      <c r="G390" t="s">
        <v>296</v>
      </c>
      <c r="I390" t="s">
        <v>297</v>
      </c>
      <c r="J390" t="s">
        <v>285</v>
      </c>
      <c r="K390" t="s">
        <v>285</v>
      </c>
      <c r="L390" t="s">
        <v>285</v>
      </c>
      <c r="M390" t="s">
        <v>285</v>
      </c>
      <c r="N390" t="s">
        <v>285</v>
      </c>
      <c r="O390" t="s">
        <v>285</v>
      </c>
      <c r="P390" t="s">
        <v>285</v>
      </c>
      <c r="Q390" t="s">
        <v>285</v>
      </c>
      <c r="R390" t="s">
        <v>285</v>
      </c>
      <c r="S390" t="s">
        <v>285</v>
      </c>
      <c r="T390" t="s">
        <v>285</v>
      </c>
      <c r="U390" t="s">
        <v>285</v>
      </c>
      <c r="V390" t="s">
        <v>285</v>
      </c>
      <c r="W390" t="s">
        <v>285</v>
      </c>
      <c r="X390" t="s">
        <v>285</v>
      </c>
      <c r="Y390" t="s">
        <v>285</v>
      </c>
      <c r="Z390" t="s">
        <v>285</v>
      </c>
      <c r="AA390" t="s">
        <v>285</v>
      </c>
      <c r="AB390" t="s">
        <v>285</v>
      </c>
      <c r="AC390" t="s">
        <v>285</v>
      </c>
      <c r="AD390" t="s">
        <v>285</v>
      </c>
      <c r="AE390" t="s">
        <v>285</v>
      </c>
      <c r="AF390" t="s">
        <v>285</v>
      </c>
      <c r="AG390" t="s">
        <v>285</v>
      </c>
      <c r="AH390">
        <v>52.271000000000001</v>
      </c>
      <c r="AI390">
        <v>71.012</v>
      </c>
      <c r="AJ390">
        <v>87.382999999999996</v>
      </c>
      <c r="AK390">
        <v>100</v>
      </c>
      <c r="AL390">
        <v>130.17500000000001</v>
      </c>
      <c r="AM390">
        <v>104.76300000000001</v>
      </c>
      <c r="AN390">
        <v>122.14</v>
      </c>
      <c r="AO390">
        <v>152.29599999999999</v>
      </c>
      <c r="AP390">
        <v>156.36199999999999</v>
      </c>
      <c r="AQ390">
        <v>156.45400000000001</v>
      </c>
      <c r="AR390">
        <v>153.65899999999999</v>
      </c>
      <c r="AS390">
        <v>113.44499999999999</v>
      </c>
      <c r="AT390">
        <v>113.267</v>
      </c>
      <c r="AU390">
        <v>119.006</v>
      </c>
      <c r="AV390">
        <v>123.57</v>
      </c>
      <c r="AW390">
        <v>126.77800000000001</v>
      </c>
      <c r="AX390">
        <v>128.75399999999999</v>
      </c>
      <c r="AY390">
        <v>2014</v>
      </c>
    </row>
    <row r="391" spans="1:51" x14ac:dyDescent="0.25">
      <c r="A391">
        <v>433</v>
      </c>
      <c r="B391" t="s">
        <v>537</v>
      </c>
      <c r="C391" t="s">
        <v>298</v>
      </c>
      <c r="D391" t="s">
        <v>122</v>
      </c>
      <c r="E391" t="s">
        <v>299</v>
      </c>
      <c r="F391" t="s">
        <v>300</v>
      </c>
      <c r="G391" t="s">
        <v>282</v>
      </c>
      <c r="H391" t="s">
        <v>283</v>
      </c>
      <c r="I391" t="s">
        <v>539</v>
      </c>
      <c r="J391" t="s">
        <v>285</v>
      </c>
      <c r="K391" t="s">
        <v>285</v>
      </c>
      <c r="L391" t="s">
        <v>285</v>
      </c>
      <c r="M391" t="s">
        <v>285</v>
      </c>
      <c r="N391" t="s">
        <v>285</v>
      </c>
      <c r="O391" t="s">
        <v>285</v>
      </c>
      <c r="P391" t="s">
        <v>285</v>
      </c>
      <c r="Q391" t="s">
        <v>285</v>
      </c>
      <c r="R391" t="s">
        <v>285</v>
      </c>
      <c r="S391" t="s">
        <v>285</v>
      </c>
      <c r="T391" t="s">
        <v>285</v>
      </c>
      <c r="U391" t="s">
        <v>285</v>
      </c>
      <c r="V391" t="s">
        <v>285</v>
      </c>
      <c r="W391" t="s">
        <v>285</v>
      </c>
      <c r="X391" t="s">
        <v>285</v>
      </c>
      <c r="Y391" t="s">
        <v>285</v>
      </c>
      <c r="Z391" t="s">
        <v>285</v>
      </c>
      <c r="AA391" t="s">
        <v>285</v>
      </c>
      <c r="AB391" t="s">
        <v>285</v>
      </c>
      <c r="AC391" t="s">
        <v>285</v>
      </c>
      <c r="AD391" t="s">
        <v>285</v>
      </c>
      <c r="AE391" t="s">
        <v>285</v>
      </c>
      <c r="AF391" t="s">
        <v>285</v>
      </c>
      <c r="AG391" t="s">
        <v>285</v>
      </c>
      <c r="AH391" s="21">
        <v>48683.837</v>
      </c>
      <c r="AI391" s="21">
        <v>46477.127</v>
      </c>
      <c r="AJ391" s="21">
        <v>48108.374000000003</v>
      </c>
      <c r="AK391" s="21">
        <v>51406.137000000002</v>
      </c>
      <c r="AL391" s="21">
        <v>89904.107999999993</v>
      </c>
      <c r="AM391" s="21">
        <v>76920.414000000004</v>
      </c>
      <c r="AN391" s="21">
        <v>80344.081999999995</v>
      </c>
      <c r="AO391" s="21">
        <v>94252.995999999999</v>
      </c>
      <c r="AP391" s="21">
        <v>109041.145</v>
      </c>
      <c r="AQ391" s="21">
        <v>131242.204</v>
      </c>
      <c r="AR391" s="21">
        <v>118216.401</v>
      </c>
      <c r="AS391" s="21">
        <v>114979.603</v>
      </c>
      <c r="AT391" s="21">
        <v>116700.74400000001</v>
      </c>
      <c r="AU391" s="21">
        <v>119321.887</v>
      </c>
      <c r="AV391" s="21">
        <v>127600.105</v>
      </c>
      <c r="AW391" s="21">
        <v>133387.39600000001</v>
      </c>
      <c r="AX391" s="21">
        <v>143582.11799999999</v>
      </c>
      <c r="AY391">
        <v>2014</v>
      </c>
    </row>
    <row r="392" spans="1:51" x14ac:dyDescent="0.25">
      <c r="A392">
        <v>178</v>
      </c>
      <c r="B392" t="s">
        <v>540</v>
      </c>
      <c r="C392" t="s">
        <v>279</v>
      </c>
      <c r="D392" t="s">
        <v>123</v>
      </c>
      <c r="E392" t="s">
        <v>280</v>
      </c>
      <c r="F392" t="s">
        <v>281</v>
      </c>
      <c r="G392" t="s">
        <v>282</v>
      </c>
      <c r="H392" t="s">
        <v>283</v>
      </c>
      <c r="I392" t="s">
        <v>541</v>
      </c>
      <c r="J392">
        <v>47.866</v>
      </c>
      <c r="K392">
        <v>49.067999999999998</v>
      </c>
      <c r="L392">
        <v>49.802</v>
      </c>
      <c r="M392">
        <v>49.438000000000002</v>
      </c>
      <c r="N392">
        <v>51.023000000000003</v>
      </c>
      <c r="O392">
        <v>52.015999999999998</v>
      </c>
      <c r="P392">
        <v>52.237000000000002</v>
      </c>
      <c r="Q392">
        <v>54.139000000000003</v>
      </c>
      <c r="R392">
        <v>55.762</v>
      </c>
      <c r="S392">
        <v>58.892000000000003</v>
      </c>
      <c r="T392">
        <v>63.433</v>
      </c>
      <c r="U392">
        <v>64.474999999999994</v>
      </c>
      <c r="V392">
        <v>66.781999999999996</v>
      </c>
      <c r="W392">
        <v>68.328000000000003</v>
      </c>
      <c r="X392">
        <v>72.355000000000004</v>
      </c>
      <c r="Y392">
        <v>79.296000000000006</v>
      </c>
      <c r="Z392">
        <v>86.646000000000001</v>
      </c>
      <c r="AA392">
        <v>96.331000000000003</v>
      </c>
      <c r="AB392">
        <v>104.917</v>
      </c>
      <c r="AC392">
        <v>116.208</v>
      </c>
      <c r="AD392">
        <v>128.095</v>
      </c>
      <c r="AE392">
        <v>135.56700000000001</v>
      </c>
      <c r="AF392">
        <v>143.61600000000001</v>
      </c>
      <c r="AG392">
        <v>149.13399999999999</v>
      </c>
      <c r="AH392">
        <v>155.703</v>
      </c>
      <c r="AI392">
        <v>165.566</v>
      </c>
      <c r="AJ392">
        <v>176.012</v>
      </c>
      <c r="AK392">
        <v>185.768</v>
      </c>
      <c r="AL392">
        <v>181.751</v>
      </c>
      <c r="AM392">
        <v>171.50299999999999</v>
      </c>
      <c r="AN392">
        <v>172.18700000000001</v>
      </c>
      <c r="AO392">
        <v>176.643</v>
      </c>
      <c r="AP392">
        <v>176.91</v>
      </c>
      <c r="AQ392">
        <v>179.44800000000001</v>
      </c>
      <c r="AR392">
        <v>188.77799999999999</v>
      </c>
      <c r="AS392">
        <v>197.92699999999999</v>
      </c>
      <c r="AT392">
        <v>205.499</v>
      </c>
      <c r="AU392">
        <v>212.054</v>
      </c>
      <c r="AV392">
        <v>218.36799999999999</v>
      </c>
      <c r="AW392">
        <v>224.33500000000001</v>
      </c>
      <c r="AX392">
        <v>230.029</v>
      </c>
      <c r="AY392">
        <v>2014</v>
      </c>
    </row>
    <row r="393" spans="1:51" x14ac:dyDescent="0.25">
      <c r="A393">
        <v>178</v>
      </c>
      <c r="B393" t="s">
        <v>540</v>
      </c>
      <c r="C393" t="s">
        <v>286</v>
      </c>
      <c r="D393" t="s">
        <v>123</v>
      </c>
      <c r="E393" t="s">
        <v>287</v>
      </c>
      <c r="F393" t="s">
        <v>288</v>
      </c>
      <c r="G393" t="s">
        <v>282</v>
      </c>
      <c r="H393" t="s">
        <v>283</v>
      </c>
      <c r="I393" t="s">
        <v>541</v>
      </c>
      <c r="J393">
        <v>13.212999999999999</v>
      </c>
      <c r="K393">
        <v>16.033000000000001</v>
      </c>
      <c r="L393">
        <v>19.018999999999998</v>
      </c>
      <c r="M393">
        <v>20.963999999999999</v>
      </c>
      <c r="N393">
        <v>23.216999999999999</v>
      </c>
      <c r="O393">
        <v>25.22</v>
      </c>
      <c r="P393">
        <v>26.864000000000001</v>
      </c>
      <c r="Q393">
        <v>28.71</v>
      </c>
      <c r="R393">
        <v>30.669</v>
      </c>
      <c r="S393">
        <v>34.021000000000001</v>
      </c>
      <c r="T393">
        <v>36.887</v>
      </c>
      <c r="U393">
        <v>38.380000000000003</v>
      </c>
      <c r="V393">
        <v>40.878999999999998</v>
      </c>
      <c r="W393">
        <v>44.027999999999999</v>
      </c>
      <c r="X393">
        <v>47.323</v>
      </c>
      <c r="Y393">
        <v>54.82</v>
      </c>
      <c r="Z393">
        <v>60.195</v>
      </c>
      <c r="AA393">
        <v>69.367000000000004</v>
      </c>
      <c r="AB393">
        <v>80.319999999999993</v>
      </c>
      <c r="AC393">
        <v>92.629000000000005</v>
      </c>
      <c r="AD393">
        <v>108.36</v>
      </c>
      <c r="AE393">
        <v>121.893</v>
      </c>
      <c r="AF393">
        <v>135.946</v>
      </c>
      <c r="AG393">
        <v>145.78</v>
      </c>
      <c r="AH393">
        <v>156.17599999999999</v>
      </c>
      <c r="AI393">
        <v>169.97800000000001</v>
      </c>
      <c r="AJ393">
        <v>184.923</v>
      </c>
      <c r="AK393">
        <v>197.054</v>
      </c>
      <c r="AL393">
        <v>187.547</v>
      </c>
      <c r="AM393">
        <v>169.43199999999999</v>
      </c>
      <c r="AN393">
        <v>166.15799999999999</v>
      </c>
      <c r="AO393">
        <v>173.94</v>
      </c>
      <c r="AP393">
        <v>174.845</v>
      </c>
      <c r="AQ393">
        <v>179.44800000000001</v>
      </c>
      <c r="AR393">
        <v>189.04599999999999</v>
      </c>
      <c r="AS393">
        <v>204.55</v>
      </c>
      <c r="AT393">
        <v>215.1</v>
      </c>
      <c r="AU393">
        <v>225.04</v>
      </c>
      <c r="AV393">
        <v>234.49199999999999</v>
      </c>
      <c r="AW393">
        <v>243.94800000000001</v>
      </c>
      <c r="AX393">
        <v>253.45</v>
      </c>
      <c r="AY393">
        <v>2014</v>
      </c>
    </row>
    <row r="394" spans="1:51" x14ac:dyDescent="0.25">
      <c r="A394">
        <v>178</v>
      </c>
      <c r="B394" t="s">
        <v>540</v>
      </c>
      <c r="C394" t="s">
        <v>289</v>
      </c>
      <c r="D394" t="s">
        <v>123</v>
      </c>
      <c r="E394" t="s">
        <v>287</v>
      </c>
      <c r="F394" t="s">
        <v>290</v>
      </c>
      <c r="G394" t="s">
        <v>291</v>
      </c>
      <c r="H394" t="s">
        <v>283</v>
      </c>
      <c r="I394" t="s">
        <v>292</v>
      </c>
      <c r="J394">
        <v>21.396999999999998</v>
      </c>
      <c r="K394">
        <v>20.338999999999999</v>
      </c>
      <c r="L394">
        <v>21.265999999999998</v>
      </c>
      <c r="M394">
        <v>20.524000000000001</v>
      </c>
      <c r="N394">
        <v>19.831</v>
      </c>
      <c r="O394">
        <v>21.018000000000001</v>
      </c>
      <c r="P394">
        <v>28.369</v>
      </c>
      <c r="Q394">
        <v>33.618000000000002</v>
      </c>
      <c r="R394">
        <v>36.807000000000002</v>
      </c>
      <c r="S394">
        <v>37.997999999999998</v>
      </c>
      <c r="T394">
        <v>48.054000000000002</v>
      </c>
      <c r="U394">
        <v>48.667000000000002</v>
      </c>
      <c r="V394">
        <v>54.793999999999997</v>
      </c>
      <c r="W394">
        <v>50.774999999999999</v>
      </c>
      <c r="X394">
        <v>55.746000000000002</v>
      </c>
      <c r="Y394">
        <v>69.224999999999994</v>
      </c>
      <c r="Z394">
        <v>75.850999999999999</v>
      </c>
      <c r="AA394">
        <v>82.828999999999994</v>
      </c>
      <c r="AB394">
        <v>90.082999999999998</v>
      </c>
      <c r="AC394">
        <v>98.688000000000002</v>
      </c>
      <c r="AD394">
        <v>99.853999999999999</v>
      </c>
      <c r="AE394">
        <v>109.095</v>
      </c>
      <c r="AF394">
        <v>128.00200000000001</v>
      </c>
      <c r="AG394">
        <v>164.56299999999999</v>
      </c>
      <c r="AH394">
        <v>193.97300000000001</v>
      </c>
      <c r="AI394">
        <v>211.40299999999999</v>
      </c>
      <c r="AJ394">
        <v>231.99299999999999</v>
      </c>
      <c r="AK394">
        <v>269.70100000000002</v>
      </c>
      <c r="AL394">
        <v>274.72399999999999</v>
      </c>
      <c r="AM394">
        <v>235.37299999999999</v>
      </c>
      <c r="AN394">
        <v>220.06299999999999</v>
      </c>
      <c r="AO394">
        <v>241.8</v>
      </c>
      <c r="AP394">
        <v>224.65199999999999</v>
      </c>
      <c r="AQ394">
        <v>238.26</v>
      </c>
      <c r="AR394">
        <v>250.81399999999999</v>
      </c>
      <c r="AS394">
        <v>227.49799999999999</v>
      </c>
      <c r="AT394">
        <v>240.45400000000001</v>
      </c>
      <c r="AU394">
        <v>254.35599999999999</v>
      </c>
      <c r="AV394">
        <v>267.745</v>
      </c>
      <c r="AW394">
        <v>280.73099999999999</v>
      </c>
      <c r="AX394">
        <v>295.976</v>
      </c>
      <c r="AY394">
        <v>2014</v>
      </c>
    </row>
    <row r="395" spans="1:51" x14ac:dyDescent="0.25">
      <c r="A395">
        <v>178</v>
      </c>
      <c r="B395" t="s">
        <v>540</v>
      </c>
      <c r="C395" t="s">
        <v>293</v>
      </c>
      <c r="D395" t="s">
        <v>123</v>
      </c>
      <c r="E395" t="s">
        <v>294</v>
      </c>
      <c r="F395" t="s">
        <v>295</v>
      </c>
      <c r="G395" t="s">
        <v>296</v>
      </c>
      <c r="I395" t="s">
        <v>297</v>
      </c>
      <c r="J395">
        <v>27.603999999999999</v>
      </c>
      <c r="K395">
        <v>32.673999999999999</v>
      </c>
      <c r="L395">
        <v>38.19</v>
      </c>
      <c r="M395">
        <v>42.402999999999999</v>
      </c>
      <c r="N395">
        <v>45.502000000000002</v>
      </c>
      <c r="O395">
        <v>48.484000000000002</v>
      </c>
      <c r="P395">
        <v>51.427</v>
      </c>
      <c r="Q395">
        <v>53.030999999999999</v>
      </c>
      <c r="R395">
        <v>55.000999999999998</v>
      </c>
      <c r="S395">
        <v>57.768999999999998</v>
      </c>
      <c r="T395">
        <v>58.151000000000003</v>
      </c>
      <c r="U395">
        <v>59.527999999999999</v>
      </c>
      <c r="V395">
        <v>61.212000000000003</v>
      </c>
      <c r="W395">
        <v>64.436999999999998</v>
      </c>
      <c r="X395">
        <v>65.403999999999996</v>
      </c>
      <c r="Y395">
        <v>69.132999999999996</v>
      </c>
      <c r="Z395">
        <v>69.471999999999994</v>
      </c>
      <c r="AA395">
        <v>72.009</v>
      </c>
      <c r="AB395">
        <v>76.555999999999997</v>
      </c>
      <c r="AC395">
        <v>79.709999999999994</v>
      </c>
      <c r="AD395">
        <v>84.593000000000004</v>
      </c>
      <c r="AE395">
        <v>89.912999999999997</v>
      </c>
      <c r="AF395">
        <v>94.659000000000006</v>
      </c>
      <c r="AG395">
        <v>97.751000000000005</v>
      </c>
      <c r="AH395">
        <v>100.304</v>
      </c>
      <c r="AI395">
        <v>102.66500000000001</v>
      </c>
      <c r="AJ395">
        <v>105.063</v>
      </c>
      <c r="AK395">
        <v>106.075</v>
      </c>
      <c r="AL395">
        <v>103.18899999999999</v>
      </c>
      <c r="AM395">
        <v>98.792000000000002</v>
      </c>
      <c r="AN395">
        <v>96.498000000000005</v>
      </c>
      <c r="AO395">
        <v>98.47</v>
      </c>
      <c r="AP395">
        <v>98.832999999999998</v>
      </c>
      <c r="AQ395">
        <v>100</v>
      </c>
      <c r="AR395">
        <v>100.142</v>
      </c>
      <c r="AS395">
        <v>103.346</v>
      </c>
      <c r="AT395">
        <v>104.672</v>
      </c>
      <c r="AU395">
        <v>106.124</v>
      </c>
      <c r="AV395">
        <v>107.384</v>
      </c>
      <c r="AW395">
        <v>108.74299999999999</v>
      </c>
      <c r="AX395">
        <v>110.182</v>
      </c>
      <c r="AY395">
        <v>2014</v>
      </c>
    </row>
    <row r="396" spans="1:51" x14ac:dyDescent="0.25">
      <c r="A396">
        <v>178</v>
      </c>
      <c r="B396" t="s">
        <v>540</v>
      </c>
      <c r="C396" t="s">
        <v>298</v>
      </c>
      <c r="D396" t="s">
        <v>123</v>
      </c>
      <c r="E396" t="s">
        <v>299</v>
      </c>
      <c r="F396" t="s">
        <v>300</v>
      </c>
      <c r="G396" t="s">
        <v>282</v>
      </c>
      <c r="H396" t="s">
        <v>283</v>
      </c>
      <c r="I396" t="s">
        <v>542</v>
      </c>
      <c r="J396">
        <v>6.1909999999999998</v>
      </c>
      <c r="K396">
        <v>7.7590000000000003</v>
      </c>
      <c r="L396">
        <v>9.7409999999999997</v>
      </c>
      <c r="M396">
        <v>10.789</v>
      </c>
      <c r="N396">
        <v>11.683999999999999</v>
      </c>
      <c r="O396">
        <v>14.313000000000001</v>
      </c>
      <c r="P396">
        <v>14.8</v>
      </c>
      <c r="Q396">
        <v>14.667999999999999</v>
      </c>
      <c r="R396">
        <v>14.837</v>
      </c>
      <c r="S396">
        <v>14.564</v>
      </c>
      <c r="T396">
        <v>16.096</v>
      </c>
      <c r="U396">
        <v>17.323</v>
      </c>
      <c r="V396">
        <v>18.742999999999999</v>
      </c>
      <c r="W396">
        <v>19.225999999999999</v>
      </c>
      <c r="X396">
        <v>20.498999999999999</v>
      </c>
      <c r="Y396">
        <v>21.628</v>
      </c>
      <c r="Z396">
        <v>23.318999999999999</v>
      </c>
      <c r="AA396">
        <v>26.696999999999999</v>
      </c>
      <c r="AB396">
        <v>27.852</v>
      </c>
      <c r="AC396">
        <v>31.486000000000001</v>
      </c>
      <c r="AD396">
        <v>33.485999999999997</v>
      </c>
      <c r="AE396">
        <v>39.631</v>
      </c>
      <c r="AF396">
        <v>44.902999999999999</v>
      </c>
      <c r="AG396">
        <v>48</v>
      </c>
      <c r="AH396">
        <v>51.698999999999998</v>
      </c>
      <c r="AI396">
        <v>56.671999999999997</v>
      </c>
      <c r="AJ396">
        <v>62.613999999999997</v>
      </c>
      <c r="AK396">
        <v>70.777000000000001</v>
      </c>
      <c r="AL396">
        <v>78.534000000000006</v>
      </c>
      <c r="AM396">
        <v>80.010000000000005</v>
      </c>
      <c r="AN396">
        <v>108.953</v>
      </c>
      <c r="AO396">
        <v>78.906999999999996</v>
      </c>
      <c r="AP396">
        <v>72.983999999999995</v>
      </c>
      <c r="AQ396">
        <v>70.804000000000002</v>
      </c>
      <c r="AR396">
        <v>72.323999999999998</v>
      </c>
      <c r="AS396">
        <v>72.828000000000003</v>
      </c>
      <c r="AT396">
        <v>73.334999999999994</v>
      </c>
      <c r="AU396">
        <v>74.394000000000005</v>
      </c>
      <c r="AV396">
        <v>76.138999999999996</v>
      </c>
      <c r="AW396">
        <v>79.016999999999996</v>
      </c>
      <c r="AX396">
        <v>81.798000000000002</v>
      </c>
      <c r="AY396">
        <v>2014</v>
      </c>
    </row>
    <row r="397" spans="1:51" x14ac:dyDescent="0.25">
      <c r="A397">
        <v>436</v>
      </c>
      <c r="B397" t="s">
        <v>543</v>
      </c>
      <c r="C397" t="s">
        <v>279</v>
      </c>
      <c r="D397" t="s">
        <v>124</v>
      </c>
      <c r="E397" t="s">
        <v>280</v>
      </c>
      <c r="F397" t="s">
        <v>281</v>
      </c>
      <c r="G397" t="s">
        <v>282</v>
      </c>
      <c r="H397" t="s">
        <v>283</v>
      </c>
      <c r="I397" t="s">
        <v>544</v>
      </c>
      <c r="J397">
        <v>247.21199999999999</v>
      </c>
      <c r="K397">
        <v>258.88900000000001</v>
      </c>
      <c r="L397">
        <v>262.57600000000002</v>
      </c>
      <c r="M397">
        <v>269.36599999999999</v>
      </c>
      <c r="N397">
        <v>275.32</v>
      </c>
      <c r="O397">
        <v>287.57499999999999</v>
      </c>
      <c r="P397">
        <v>297.78500000000003</v>
      </c>
      <c r="Q397">
        <v>320.08999999999997</v>
      </c>
      <c r="R397">
        <v>331.49799999999999</v>
      </c>
      <c r="S397">
        <v>336.20299999999997</v>
      </c>
      <c r="T397">
        <v>358.50299999999999</v>
      </c>
      <c r="U397">
        <v>375.05700000000002</v>
      </c>
      <c r="V397">
        <v>401.892</v>
      </c>
      <c r="W397">
        <v>417.048</v>
      </c>
      <c r="X397">
        <v>446.28699999999998</v>
      </c>
      <c r="Y397">
        <v>489.37099999999998</v>
      </c>
      <c r="Z397">
        <v>519.50400000000002</v>
      </c>
      <c r="AA397">
        <v>540.71100000000001</v>
      </c>
      <c r="AB397">
        <v>563.70100000000002</v>
      </c>
      <c r="AC397">
        <v>584.76700000000005</v>
      </c>
      <c r="AD397">
        <v>637.05700000000002</v>
      </c>
      <c r="AE397">
        <v>638.596</v>
      </c>
      <c r="AF397">
        <v>638.16</v>
      </c>
      <c r="AG397">
        <v>645.67200000000003</v>
      </c>
      <c r="AH397">
        <v>678.69200000000001</v>
      </c>
      <c r="AI397">
        <v>708.48599999999999</v>
      </c>
      <c r="AJ397">
        <v>749.59100000000001</v>
      </c>
      <c r="AK397">
        <v>795.57899999999995</v>
      </c>
      <c r="AL397">
        <v>819.91899999999998</v>
      </c>
      <c r="AM397">
        <v>830.32100000000003</v>
      </c>
      <c r="AN397">
        <v>876.13</v>
      </c>
      <c r="AO397">
        <v>920.20100000000002</v>
      </c>
      <c r="AP397">
        <v>946.702</v>
      </c>
      <c r="AQ397">
        <v>977.48099999999999</v>
      </c>
      <c r="AR397" s="21">
        <v>1002.45</v>
      </c>
      <c r="AS397" s="21">
        <v>1027.894</v>
      </c>
      <c r="AT397" s="21">
        <v>1061.454</v>
      </c>
      <c r="AU397" s="21">
        <v>1095.471</v>
      </c>
      <c r="AV397" s="21">
        <v>1127.894</v>
      </c>
      <c r="AW397" s="21">
        <v>1160.1949999999999</v>
      </c>
      <c r="AX397" s="21">
        <v>1193.499</v>
      </c>
      <c r="AY397">
        <v>2014</v>
      </c>
    </row>
    <row r="398" spans="1:51" x14ac:dyDescent="0.25">
      <c r="A398">
        <v>436</v>
      </c>
      <c r="B398" t="s">
        <v>543</v>
      </c>
      <c r="C398" t="s">
        <v>286</v>
      </c>
      <c r="D398" t="s">
        <v>124</v>
      </c>
      <c r="E398" t="s">
        <v>287</v>
      </c>
      <c r="F398" t="s">
        <v>288</v>
      </c>
      <c r="G398" t="s">
        <v>282</v>
      </c>
      <c r="H398" t="s">
        <v>283</v>
      </c>
      <c r="I398" t="s">
        <v>544</v>
      </c>
      <c r="J398">
        <v>0.122</v>
      </c>
      <c r="K398">
        <v>0.28799999999999998</v>
      </c>
      <c r="L398">
        <v>0.65400000000000003</v>
      </c>
      <c r="M398">
        <v>1.69</v>
      </c>
      <c r="N398">
        <v>8.3469999999999995</v>
      </c>
      <c r="O398">
        <v>31.192</v>
      </c>
      <c r="P398">
        <v>48.465000000000003</v>
      </c>
      <c r="Q398">
        <v>62.042000000000002</v>
      </c>
      <c r="R398">
        <v>77.061999999999998</v>
      </c>
      <c r="S398">
        <v>93.977999999999994</v>
      </c>
      <c r="T398">
        <v>116.667</v>
      </c>
      <c r="U398">
        <v>149.602</v>
      </c>
      <c r="V398">
        <v>180.37100000000001</v>
      </c>
      <c r="W398">
        <v>208.63300000000001</v>
      </c>
      <c r="X398">
        <v>253.387</v>
      </c>
      <c r="Y398">
        <v>301.036</v>
      </c>
      <c r="Z398">
        <v>350.36599999999999</v>
      </c>
      <c r="AA398">
        <v>395.108</v>
      </c>
      <c r="AB398">
        <v>440.19600000000003</v>
      </c>
      <c r="AC398">
        <v>485.22399999999999</v>
      </c>
      <c r="AD398">
        <v>539.82100000000003</v>
      </c>
      <c r="AE398">
        <v>549.90200000000004</v>
      </c>
      <c r="AF398">
        <v>573.71299999999997</v>
      </c>
      <c r="AG398">
        <v>577.23099999999999</v>
      </c>
      <c r="AH398">
        <v>606.94600000000003</v>
      </c>
      <c r="AI398">
        <v>641.01199999999994</v>
      </c>
      <c r="AJ398">
        <v>688.47199999999998</v>
      </c>
      <c r="AK398">
        <v>737.66800000000001</v>
      </c>
      <c r="AL398">
        <v>777.73599999999999</v>
      </c>
      <c r="AM398">
        <v>818.18899999999996</v>
      </c>
      <c r="AN398">
        <v>876.12900000000002</v>
      </c>
      <c r="AO398">
        <v>936.61900000000003</v>
      </c>
      <c r="AP398" s="21">
        <v>1001.044</v>
      </c>
      <c r="AQ398" s="21">
        <v>1055.828</v>
      </c>
      <c r="AR398" s="21">
        <v>1093.674</v>
      </c>
      <c r="AS398" s="21">
        <v>1154.3689999999999</v>
      </c>
      <c r="AT398" s="21">
        <v>1219.604</v>
      </c>
      <c r="AU398" s="21">
        <v>1278.566</v>
      </c>
      <c r="AV398" s="21">
        <v>1337.4649999999999</v>
      </c>
      <c r="AW398" s="21">
        <v>1399.9839999999999</v>
      </c>
      <c r="AX398" s="21">
        <v>1467.08</v>
      </c>
      <c r="AY398">
        <v>2014</v>
      </c>
    </row>
    <row r="399" spans="1:51" x14ac:dyDescent="0.25">
      <c r="A399">
        <v>436</v>
      </c>
      <c r="B399" t="s">
        <v>543</v>
      </c>
      <c r="C399" t="s">
        <v>289</v>
      </c>
      <c r="D399" t="s">
        <v>124</v>
      </c>
      <c r="E399" t="s">
        <v>287</v>
      </c>
      <c r="F399" t="s">
        <v>290</v>
      </c>
      <c r="G399" t="s">
        <v>291</v>
      </c>
      <c r="H399" t="s">
        <v>283</v>
      </c>
      <c r="I399" t="s">
        <v>292</v>
      </c>
      <c r="J399">
        <v>23.745000000000001</v>
      </c>
      <c r="K399">
        <v>25.16</v>
      </c>
      <c r="L399">
        <v>26.963999999999999</v>
      </c>
      <c r="M399">
        <v>30.071999999999999</v>
      </c>
      <c r="N399">
        <v>28.469000000000001</v>
      </c>
      <c r="O399">
        <v>26.46</v>
      </c>
      <c r="P399">
        <v>32.573999999999998</v>
      </c>
      <c r="Q399">
        <v>38.906999999999996</v>
      </c>
      <c r="R399">
        <v>48.195999999999998</v>
      </c>
      <c r="S399">
        <v>49.037999999999997</v>
      </c>
      <c r="T399">
        <v>57.865000000000002</v>
      </c>
      <c r="U399">
        <v>65.641000000000005</v>
      </c>
      <c r="V399">
        <v>73.349000000000004</v>
      </c>
      <c r="W399">
        <v>73.72</v>
      </c>
      <c r="X399">
        <v>84.152000000000001</v>
      </c>
      <c r="Y399">
        <v>99.968999999999994</v>
      </c>
      <c r="Z399">
        <v>109.776</v>
      </c>
      <c r="AA399">
        <v>114.54600000000001</v>
      </c>
      <c r="AB399">
        <v>115.839</v>
      </c>
      <c r="AC399">
        <v>117.212</v>
      </c>
      <c r="AD399">
        <v>132.39599999999999</v>
      </c>
      <c r="AE399">
        <v>130.75299999999999</v>
      </c>
      <c r="AF399">
        <v>121.092</v>
      </c>
      <c r="AG399">
        <v>126.749</v>
      </c>
      <c r="AH399">
        <v>135.41900000000001</v>
      </c>
      <c r="AI399">
        <v>142.83799999999999</v>
      </c>
      <c r="AJ399">
        <v>154.511</v>
      </c>
      <c r="AK399">
        <v>179.565</v>
      </c>
      <c r="AL399">
        <v>216.75899999999999</v>
      </c>
      <c r="AM399">
        <v>208.06700000000001</v>
      </c>
      <c r="AN399">
        <v>234.32300000000001</v>
      </c>
      <c r="AO399">
        <v>261.762</v>
      </c>
      <c r="AP399">
        <v>259.61200000000002</v>
      </c>
      <c r="AQ399">
        <v>292.41199999999998</v>
      </c>
      <c r="AR399">
        <v>305.673</v>
      </c>
      <c r="AS399">
        <v>298.86599999999999</v>
      </c>
      <c r="AT399">
        <v>312.43400000000003</v>
      </c>
      <c r="AU399">
        <v>319.39299999999997</v>
      </c>
      <c r="AV399">
        <v>325.56299999999999</v>
      </c>
      <c r="AW399">
        <v>331.08499999999998</v>
      </c>
      <c r="AX399">
        <v>339.065</v>
      </c>
      <c r="AY399">
        <v>2014</v>
      </c>
    </row>
    <row r="400" spans="1:51" x14ac:dyDescent="0.25">
      <c r="A400">
        <v>436</v>
      </c>
      <c r="B400" t="s">
        <v>543</v>
      </c>
      <c r="C400" t="s">
        <v>293</v>
      </c>
      <c r="D400" t="s">
        <v>124</v>
      </c>
      <c r="E400" t="s">
        <v>294</v>
      </c>
      <c r="F400" t="s">
        <v>295</v>
      </c>
      <c r="G400" t="s">
        <v>296</v>
      </c>
      <c r="I400" t="s">
        <v>297</v>
      </c>
      <c r="J400">
        <v>4.9000000000000002E-2</v>
      </c>
      <c r="K400">
        <v>0.111</v>
      </c>
      <c r="L400">
        <v>0.249</v>
      </c>
      <c r="M400">
        <v>0.628</v>
      </c>
      <c r="N400">
        <v>3.032</v>
      </c>
      <c r="O400">
        <v>10.847</v>
      </c>
      <c r="P400">
        <v>16.274999999999999</v>
      </c>
      <c r="Q400">
        <v>19.382999999999999</v>
      </c>
      <c r="R400">
        <v>23.247</v>
      </c>
      <c r="S400">
        <v>27.952999999999999</v>
      </c>
      <c r="T400">
        <v>32.542999999999999</v>
      </c>
      <c r="U400">
        <v>39.887999999999998</v>
      </c>
      <c r="V400">
        <v>44.881</v>
      </c>
      <c r="W400">
        <v>50.026000000000003</v>
      </c>
      <c r="X400">
        <v>56.777000000000001</v>
      </c>
      <c r="Y400">
        <v>61.515000000000001</v>
      </c>
      <c r="Z400">
        <v>67.441999999999993</v>
      </c>
      <c r="AA400">
        <v>73.072000000000003</v>
      </c>
      <c r="AB400">
        <v>78.09</v>
      </c>
      <c r="AC400">
        <v>82.977000000000004</v>
      </c>
      <c r="AD400">
        <v>84.736999999999995</v>
      </c>
      <c r="AE400">
        <v>86.111000000000004</v>
      </c>
      <c r="AF400">
        <v>89.900999999999996</v>
      </c>
      <c r="AG400">
        <v>89.4</v>
      </c>
      <c r="AH400">
        <v>89.429000000000002</v>
      </c>
      <c r="AI400">
        <v>90.475999999999999</v>
      </c>
      <c r="AJ400">
        <v>91.846000000000004</v>
      </c>
      <c r="AK400">
        <v>92.721000000000004</v>
      </c>
      <c r="AL400">
        <v>94.855000000000004</v>
      </c>
      <c r="AM400">
        <v>98.539000000000001</v>
      </c>
      <c r="AN400">
        <v>100</v>
      </c>
      <c r="AO400">
        <v>101.78400000000001</v>
      </c>
      <c r="AP400">
        <v>105.74</v>
      </c>
      <c r="AQ400">
        <v>108.015</v>
      </c>
      <c r="AR400">
        <v>109.1</v>
      </c>
      <c r="AS400">
        <v>112.304</v>
      </c>
      <c r="AT400">
        <v>114.899</v>
      </c>
      <c r="AU400">
        <v>116.714</v>
      </c>
      <c r="AV400">
        <v>118.581</v>
      </c>
      <c r="AW400">
        <v>120.66800000000001</v>
      </c>
      <c r="AX400">
        <v>122.923</v>
      </c>
      <c r="AY400">
        <v>2014</v>
      </c>
    </row>
    <row r="401" spans="1:51" x14ac:dyDescent="0.25">
      <c r="A401">
        <v>436</v>
      </c>
      <c r="B401" t="s">
        <v>543</v>
      </c>
      <c r="C401" t="s">
        <v>298</v>
      </c>
      <c r="D401" t="s">
        <v>124</v>
      </c>
      <c r="E401" t="s">
        <v>299</v>
      </c>
      <c r="F401" t="s">
        <v>300</v>
      </c>
      <c r="G401" t="s">
        <v>282</v>
      </c>
      <c r="H401" t="s">
        <v>283</v>
      </c>
      <c r="I401" t="s">
        <v>545</v>
      </c>
      <c r="J401" t="s">
        <v>285</v>
      </c>
      <c r="K401" t="s">
        <v>285</v>
      </c>
      <c r="L401" t="s">
        <v>285</v>
      </c>
      <c r="M401" t="s">
        <v>285</v>
      </c>
      <c r="N401" t="s">
        <v>285</v>
      </c>
      <c r="O401" t="s">
        <v>285</v>
      </c>
      <c r="P401" t="s">
        <v>285</v>
      </c>
      <c r="Q401" t="s">
        <v>285</v>
      </c>
      <c r="R401" t="s">
        <v>285</v>
      </c>
      <c r="S401" t="s">
        <v>285</v>
      </c>
      <c r="T401" t="s">
        <v>285</v>
      </c>
      <c r="U401" t="s">
        <v>285</v>
      </c>
      <c r="V401" t="s">
        <v>285</v>
      </c>
      <c r="W401" t="s">
        <v>285</v>
      </c>
      <c r="X401" t="s">
        <v>285</v>
      </c>
      <c r="Y401" t="s">
        <v>285</v>
      </c>
      <c r="Z401" t="s">
        <v>285</v>
      </c>
      <c r="AA401" t="s">
        <v>285</v>
      </c>
      <c r="AB401" t="s">
        <v>285</v>
      </c>
      <c r="AC401" t="s">
        <v>285</v>
      </c>
      <c r="AD401">
        <v>259.48200000000003</v>
      </c>
      <c r="AE401">
        <v>275.56799999999998</v>
      </c>
      <c r="AF401">
        <v>294.23</v>
      </c>
      <c r="AG401">
        <v>289.505</v>
      </c>
      <c r="AH401">
        <v>286.36700000000002</v>
      </c>
      <c r="AI401">
        <v>294.57799999999997</v>
      </c>
      <c r="AJ401">
        <v>306.01299999999998</v>
      </c>
      <c r="AK401">
        <v>313.94799999999998</v>
      </c>
      <c r="AL401">
        <v>328.95800000000003</v>
      </c>
      <c r="AM401">
        <v>346.97300000000001</v>
      </c>
      <c r="AN401">
        <v>365.245</v>
      </c>
      <c r="AO401">
        <v>386.05500000000001</v>
      </c>
      <c r="AP401">
        <v>412.995</v>
      </c>
      <c r="AQ401">
        <v>432.44200000000001</v>
      </c>
      <c r="AR401">
        <v>446.524</v>
      </c>
      <c r="AS401">
        <v>473.93700000000001</v>
      </c>
      <c r="AT401">
        <v>501.73099999999999</v>
      </c>
      <c r="AU401">
        <v>525.98699999999997</v>
      </c>
      <c r="AV401">
        <v>550.21699999999998</v>
      </c>
      <c r="AW401">
        <v>575.93700000000001</v>
      </c>
      <c r="AX401">
        <v>603.53899999999999</v>
      </c>
      <c r="AY401">
        <v>2014</v>
      </c>
    </row>
    <row r="402" spans="1:51" x14ac:dyDescent="0.25">
      <c r="A402">
        <v>136</v>
      </c>
      <c r="B402" t="s">
        <v>546</v>
      </c>
      <c r="C402" t="s">
        <v>279</v>
      </c>
      <c r="D402" t="s">
        <v>125</v>
      </c>
      <c r="E402" t="s">
        <v>280</v>
      </c>
      <c r="F402" t="s">
        <v>281</v>
      </c>
      <c r="G402" t="s">
        <v>282</v>
      </c>
      <c r="H402" t="s">
        <v>283</v>
      </c>
      <c r="I402" t="s">
        <v>547</v>
      </c>
      <c r="J402" s="21">
        <v>1048.2049999999999</v>
      </c>
      <c r="K402" s="21">
        <v>1057.0540000000001</v>
      </c>
      <c r="L402" s="21">
        <v>1061.4269999999999</v>
      </c>
      <c r="M402" s="21">
        <v>1073.836</v>
      </c>
      <c r="N402" s="21">
        <v>1108.4770000000001</v>
      </c>
      <c r="O402" s="21">
        <v>1139.4939999999999</v>
      </c>
      <c r="P402" s="21">
        <v>1172.0820000000001</v>
      </c>
      <c r="Q402" s="21">
        <v>1209.4960000000001</v>
      </c>
      <c r="R402" s="21">
        <v>1260.2249999999999</v>
      </c>
      <c r="S402" s="21">
        <v>1302.9269999999999</v>
      </c>
      <c r="T402" s="21">
        <v>1329.67</v>
      </c>
      <c r="U402" s="21">
        <v>1350.0650000000001</v>
      </c>
      <c r="V402" s="21">
        <v>1360.499</v>
      </c>
      <c r="W402" s="21">
        <v>1348.4159999999999</v>
      </c>
      <c r="X402" s="21">
        <v>1377.431</v>
      </c>
      <c r="Y402" s="21">
        <v>1409.6179999999999</v>
      </c>
      <c r="Z402" s="21">
        <v>1427.758</v>
      </c>
      <c r="AA402" s="21">
        <v>1453.97</v>
      </c>
      <c r="AB402" s="21">
        <v>1477.4829999999999</v>
      </c>
      <c r="AC402" s="21">
        <v>1500.548</v>
      </c>
      <c r="AD402" s="21">
        <v>1556.221</v>
      </c>
      <c r="AE402" s="21">
        <v>1583.81</v>
      </c>
      <c r="AF402" s="21">
        <v>1587.7819999999999</v>
      </c>
      <c r="AG402" s="21">
        <v>1590.2049999999999</v>
      </c>
      <c r="AH402" s="21">
        <v>1615.383</v>
      </c>
      <c r="AI402" s="21">
        <v>1630.722</v>
      </c>
      <c r="AJ402" s="21">
        <v>1663.441</v>
      </c>
      <c r="AK402" s="21">
        <v>1687.963</v>
      </c>
      <c r="AL402" s="21">
        <v>1670.242</v>
      </c>
      <c r="AM402" s="21">
        <v>1578.69</v>
      </c>
      <c r="AN402" s="21">
        <v>1605.694</v>
      </c>
      <c r="AO402" s="21">
        <v>1615.117</v>
      </c>
      <c r="AP402" s="21">
        <v>1570.3720000000001</v>
      </c>
      <c r="AQ402" s="21">
        <v>1543.702</v>
      </c>
      <c r="AR402" s="21">
        <v>1537.125</v>
      </c>
      <c r="AS402" s="21">
        <v>1549.4459999999999</v>
      </c>
      <c r="AT402" s="21">
        <v>1569.318</v>
      </c>
      <c r="AU402" s="21">
        <v>1587.3810000000001</v>
      </c>
      <c r="AV402" s="21">
        <v>1604.8420000000001</v>
      </c>
      <c r="AW402" s="21">
        <v>1621.693</v>
      </c>
      <c r="AX402" s="21">
        <v>1637.91</v>
      </c>
      <c r="AY402">
        <v>2014</v>
      </c>
    </row>
    <row r="403" spans="1:51" x14ac:dyDescent="0.25">
      <c r="A403">
        <v>136</v>
      </c>
      <c r="B403" t="s">
        <v>546</v>
      </c>
      <c r="C403" t="s">
        <v>286</v>
      </c>
      <c r="D403" t="s">
        <v>125</v>
      </c>
      <c r="E403" t="s">
        <v>287</v>
      </c>
      <c r="F403" t="s">
        <v>288</v>
      </c>
      <c r="G403" t="s">
        <v>282</v>
      </c>
      <c r="H403" t="s">
        <v>283</v>
      </c>
      <c r="I403" t="s">
        <v>547</v>
      </c>
      <c r="J403">
        <v>207.53800000000001</v>
      </c>
      <c r="K403">
        <v>248.60900000000001</v>
      </c>
      <c r="L403">
        <v>293.42700000000002</v>
      </c>
      <c r="M403">
        <v>341.67399999999998</v>
      </c>
      <c r="N403">
        <v>390.65</v>
      </c>
      <c r="O403">
        <v>438.42599999999999</v>
      </c>
      <c r="P403">
        <v>484.73399999999998</v>
      </c>
      <c r="Q403">
        <v>530.26599999999996</v>
      </c>
      <c r="R403">
        <v>589.25300000000004</v>
      </c>
      <c r="S403">
        <v>646.97400000000005</v>
      </c>
      <c r="T403">
        <v>704.25</v>
      </c>
      <c r="U403">
        <v>769.298</v>
      </c>
      <c r="V403">
        <v>809.60199999999998</v>
      </c>
      <c r="W403">
        <v>833.88900000000001</v>
      </c>
      <c r="X403">
        <v>882.00199999999995</v>
      </c>
      <c r="Y403">
        <v>985.34199999999998</v>
      </c>
      <c r="Z403" s="21">
        <v>1043.4670000000001</v>
      </c>
      <c r="AA403" s="21">
        <v>1090.2739999999999</v>
      </c>
      <c r="AB403" s="21">
        <v>1135.931</v>
      </c>
      <c r="AC403" s="21">
        <v>1172.366</v>
      </c>
      <c r="AD403" s="21">
        <v>1239.759</v>
      </c>
      <c r="AE403" s="21">
        <v>1299.412</v>
      </c>
      <c r="AF403" s="21">
        <v>1346.36</v>
      </c>
      <c r="AG403" s="21">
        <v>1391.3130000000001</v>
      </c>
      <c r="AH403" s="21">
        <v>1449.0160000000001</v>
      </c>
      <c r="AI403" s="21">
        <v>1490.4090000000001</v>
      </c>
      <c r="AJ403" s="21">
        <v>1549.1869999999999</v>
      </c>
      <c r="AK403" s="21">
        <v>1610.306</v>
      </c>
      <c r="AL403" s="21">
        <v>1632.934</v>
      </c>
      <c r="AM403" s="21">
        <v>1573.654</v>
      </c>
      <c r="AN403" s="21">
        <v>1605.694</v>
      </c>
      <c r="AO403" s="21">
        <v>1638.855</v>
      </c>
      <c r="AP403" s="21">
        <v>1615.1310000000001</v>
      </c>
      <c r="AQ403" s="21">
        <v>1609.461</v>
      </c>
      <c r="AR403" s="21">
        <v>1616.2529999999999</v>
      </c>
      <c r="AS403" s="21">
        <v>1634.981</v>
      </c>
      <c r="AT403" s="21">
        <v>1670.635</v>
      </c>
      <c r="AU403" s="21">
        <v>1710.1420000000001</v>
      </c>
      <c r="AV403" s="21">
        <v>1749.702</v>
      </c>
      <c r="AW403" s="21">
        <v>1791.7660000000001</v>
      </c>
      <c r="AX403" s="21">
        <v>1835.7429999999999</v>
      </c>
      <c r="AY403">
        <v>2014</v>
      </c>
    </row>
    <row r="404" spans="1:51" x14ac:dyDescent="0.25">
      <c r="A404">
        <v>136</v>
      </c>
      <c r="B404" t="s">
        <v>546</v>
      </c>
      <c r="C404" t="s">
        <v>289</v>
      </c>
      <c r="D404" t="s">
        <v>125</v>
      </c>
      <c r="E404" t="s">
        <v>287</v>
      </c>
      <c r="F404" t="s">
        <v>290</v>
      </c>
      <c r="G404" t="s">
        <v>291</v>
      </c>
      <c r="H404" t="s">
        <v>283</v>
      </c>
      <c r="I404" t="s">
        <v>292</v>
      </c>
      <c r="J404">
        <v>470.09699999999998</v>
      </c>
      <c r="K404">
        <v>426.29599999999999</v>
      </c>
      <c r="L404">
        <v>421.33300000000003</v>
      </c>
      <c r="M404">
        <v>437.18900000000002</v>
      </c>
      <c r="N404">
        <v>431.90600000000001</v>
      </c>
      <c r="O404">
        <v>446.173</v>
      </c>
      <c r="P404">
        <v>631.89599999999996</v>
      </c>
      <c r="Q404">
        <v>793.07</v>
      </c>
      <c r="R404">
        <v>878.62900000000002</v>
      </c>
      <c r="S404">
        <v>913.64800000000002</v>
      </c>
      <c r="T404" s="21">
        <v>1140.326</v>
      </c>
      <c r="U404" s="21">
        <v>1204.9369999999999</v>
      </c>
      <c r="V404" s="21">
        <v>1278.123</v>
      </c>
      <c r="W404" s="21">
        <v>1027.932</v>
      </c>
      <c r="X404" s="21">
        <v>1060.163</v>
      </c>
      <c r="Y404" s="21">
        <v>1171.9349999999999</v>
      </c>
      <c r="Z404" s="21">
        <v>1309.7950000000001</v>
      </c>
      <c r="AA404" s="21">
        <v>1241.037</v>
      </c>
      <c r="AB404" s="21">
        <v>1268.5129999999999</v>
      </c>
      <c r="AC404" s="21">
        <v>1250.6980000000001</v>
      </c>
      <c r="AD404" s="21">
        <v>1145.5640000000001</v>
      </c>
      <c r="AE404" s="21">
        <v>1163.7840000000001</v>
      </c>
      <c r="AF404" s="21">
        <v>1271.528</v>
      </c>
      <c r="AG404" s="21">
        <v>1573.335</v>
      </c>
      <c r="AH404" s="21">
        <v>1801.568</v>
      </c>
      <c r="AI404" s="21">
        <v>1856.684</v>
      </c>
      <c r="AJ404" s="21">
        <v>1945.2339999999999</v>
      </c>
      <c r="AK404" s="21">
        <v>2207.143</v>
      </c>
      <c r="AL404" s="21">
        <v>2403.2130000000002</v>
      </c>
      <c r="AM404" s="21">
        <v>2191.7809999999999</v>
      </c>
      <c r="AN404" s="21">
        <v>2130.5859999999998</v>
      </c>
      <c r="AO404" s="21">
        <v>2280.3150000000001</v>
      </c>
      <c r="AP404" s="21">
        <v>2076.37</v>
      </c>
      <c r="AQ404" s="21">
        <v>2137.6149999999998</v>
      </c>
      <c r="AR404" s="21">
        <v>2147.7440000000001</v>
      </c>
      <c r="AS404" s="21">
        <v>1819.047</v>
      </c>
      <c r="AT404" s="21">
        <v>1867.5719999999999</v>
      </c>
      <c r="AU404" s="21">
        <v>1932.9380000000001</v>
      </c>
      <c r="AV404" s="21">
        <v>1997.8409999999999</v>
      </c>
      <c r="AW404" s="21">
        <v>2061.9659999999999</v>
      </c>
      <c r="AX404" s="21">
        <v>2143.8009999999999</v>
      </c>
      <c r="AY404">
        <v>2014</v>
      </c>
    </row>
    <row r="405" spans="1:51" x14ac:dyDescent="0.25">
      <c r="A405">
        <v>136</v>
      </c>
      <c r="B405" t="s">
        <v>546</v>
      </c>
      <c r="C405" t="s">
        <v>293</v>
      </c>
      <c r="D405" t="s">
        <v>125</v>
      </c>
      <c r="E405" t="s">
        <v>294</v>
      </c>
      <c r="F405" t="s">
        <v>295</v>
      </c>
      <c r="G405" t="s">
        <v>296</v>
      </c>
      <c r="I405" t="s">
        <v>297</v>
      </c>
      <c r="J405">
        <v>19.798999999999999</v>
      </c>
      <c r="K405">
        <v>23.518999999999998</v>
      </c>
      <c r="L405">
        <v>27.645</v>
      </c>
      <c r="M405">
        <v>31.818000000000001</v>
      </c>
      <c r="N405">
        <v>35.241999999999997</v>
      </c>
      <c r="O405">
        <v>38.475000000000001</v>
      </c>
      <c r="P405">
        <v>41.356999999999999</v>
      </c>
      <c r="Q405">
        <v>43.841999999999999</v>
      </c>
      <c r="R405">
        <v>46.758000000000003</v>
      </c>
      <c r="S405">
        <v>49.655000000000001</v>
      </c>
      <c r="T405">
        <v>52.963999999999999</v>
      </c>
      <c r="U405">
        <v>56.981999999999999</v>
      </c>
      <c r="V405">
        <v>59.508000000000003</v>
      </c>
      <c r="W405">
        <v>61.841999999999999</v>
      </c>
      <c r="X405">
        <v>64.031999999999996</v>
      </c>
      <c r="Y405">
        <v>69.900999999999996</v>
      </c>
      <c r="Z405">
        <v>73.084000000000003</v>
      </c>
      <c r="AA405">
        <v>74.986000000000004</v>
      </c>
      <c r="AB405">
        <v>76.882999999999996</v>
      </c>
      <c r="AC405">
        <v>78.129000000000005</v>
      </c>
      <c r="AD405">
        <v>79.665000000000006</v>
      </c>
      <c r="AE405">
        <v>82.043000000000006</v>
      </c>
      <c r="AF405">
        <v>84.795000000000002</v>
      </c>
      <c r="AG405">
        <v>87.492999999999995</v>
      </c>
      <c r="AH405">
        <v>89.700999999999993</v>
      </c>
      <c r="AI405">
        <v>91.396000000000001</v>
      </c>
      <c r="AJ405">
        <v>93.131</v>
      </c>
      <c r="AK405">
        <v>95.399000000000001</v>
      </c>
      <c r="AL405">
        <v>97.766000000000005</v>
      </c>
      <c r="AM405">
        <v>99.680999999999997</v>
      </c>
      <c r="AN405">
        <v>100</v>
      </c>
      <c r="AO405">
        <v>101.47</v>
      </c>
      <c r="AP405">
        <v>102.85</v>
      </c>
      <c r="AQ405">
        <v>104.26</v>
      </c>
      <c r="AR405">
        <v>105.148</v>
      </c>
      <c r="AS405">
        <v>105.52</v>
      </c>
      <c r="AT405">
        <v>106.456</v>
      </c>
      <c r="AU405">
        <v>107.73399999999999</v>
      </c>
      <c r="AV405">
        <v>109.026</v>
      </c>
      <c r="AW405">
        <v>110.48699999999999</v>
      </c>
      <c r="AX405">
        <v>112.078</v>
      </c>
      <c r="AY405">
        <v>2014</v>
      </c>
    </row>
    <row r="406" spans="1:51" x14ac:dyDescent="0.25">
      <c r="A406">
        <v>136</v>
      </c>
      <c r="B406" t="s">
        <v>546</v>
      </c>
      <c r="C406" t="s">
        <v>298</v>
      </c>
      <c r="D406" t="s">
        <v>125</v>
      </c>
      <c r="E406" t="s">
        <v>299</v>
      </c>
      <c r="F406" t="s">
        <v>300</v>
      </c>
      <c r="G406" t="s">
        <v>282</v>
      </c>
      <c r="H406" t="s">
        <v>283</v>
      </c>
      <c r="I406" t="s">
        <v>548</v>
      </c>
      <c r="J406" t="s">
        <v>285</v>
      </c>
      <c r="K406" t="s">
        <v>285</v>
      </c>
      <c r="L406" t="s">
        <v>285</v>
      </c>
      <c r="M406" t="s">
        <v>285</v>
      </c>
      <c r="N406" t="s">
        <v>285</v>
      </c>
      <c r="O406" t="s">
        <v>285</v>
      </c>
      <c r="P406" t="s">
        <v>285</v>
      </c>
      <c r="Q406" t="s">
        <v>285</v>
      </c>
      <c r="R406">
        <v>290.93299999999999</v>
      </c>
      <c r="S406">
        <v>327.113</v>
      </c>
      <c r="T406">
        <v>390.05900000000003</v>
      </c>
      <c r="U406">
        <v>435.13</v>
      </c>
      <c r="V406">
        <v>470.029</v>
      </c>
      <c r="W406">
        <v>492.54399999999998</v>
      </c>
      <c r="X406">
        <v>496.54300000000001</v>
      </c>
      <c r="Y406">
        <v>510.267</v>
      </c>
      <c r="Z406">
        <v>538.65099999999995</v>
      </c>
      <c r="AA406">
        <v>540.83000000000004</v>
      </c>
      <c r="AB406">
        <v>548.57899999999995</v>
      </c>
      <c r="AC406">
        <v>555.10199999999998</v>
      </c>
      <c r="AD406">
        <v>563.84100000000001</v>
      </c>
      <c r="AE406">
        <v>617.21</v>
      </c>
      <c r="AF406">
        <v>629.649</v>
      </c>
      <c r="AG406">
        <v>657.03899999999999</v>
      </c>
      <c r="AH406">
        <v>678.38699999999994</v>
      </c>
      <c r="AI406">
        <v>702.31500000000005</v>
      </c>
      <c r="AJ406">
        <v>737.53200000000004</v>
      </c>
      <c r="AK406">
        <v>753.12699999999995</v>
      </c>
      <c r="AL406">
        <v>780.66399999999999</v>
      </c>
      <c r="AM406">
        <v>804.66099999999994</v>
      </c>
      <c r="AN406">
        <v>800.49400000000003</v>
      </c>
      <c r="AO406">
        <v>804.93499999999995</v>
      </c>
      <c r="AP406">
        <v>820.04100000000005</v>
      </c>
      <c r="AQ406">
        <v>819.93399999999997</v>
      </c>
      <c r="AR406">
        <v>826.26199999999994</v>
      </c>
      <c r="AS406">
        <v>828.81200000000001</v>
      </c>
      <c r="AT406">
        <v>834.947</v>
      </c>
      <c r="AU406">
        <v>840.02499999999998</v>
      </c>
      <c r="AV406">
        <v>851.59199999999998</v>
      </c>
      <c r="AW406">
        <v>865.73900000000003</v>
      </c>
      <c r="AX406">
        <v>882.40200000000004</v>
      </c>
      <c r="AY406">
        <v>2014</v>
      </c>
    </row>
    <row r="407" spans="1:51" x14ac:dyDescent="0.25">
      <c r="A407">
        <v>343</v>
      </c>
      <c r="B407" t="s">
        <v>549</v>
      </c>
      <c r="C407" t="s">
        <v>279</v>
      </c>
      <c r="D407" t="s">
        <v>126</v>
      </c>
      <c r="E407" t="s">
        <v>280</v>
      </c>
      <c r="F407" t="s">
        <v>281</v>
      </c>
      <c r="G407" t="s">
        <v>282</v>
      </c>
      <c r="H407" t="s">
        <v>283</v>
      </c>
      <c r="I407" t="s">
        <v>550</v>
      </c>
      <c r="J407">
        <v>455.27800000000002</v>
      </c>
      <c r="K407">
        <v>475.40100000000001</v>
      </c>
      <c r="L407">
        <v>490.041</v>
      </c>
      <c r="M407">
        <v>510.392</v>
      </c>
      <c r="N407">
        <v>515.23900000000003</v>
      </c>
      <c r="O407">
        <v>510.60199999999998</v>
      </c>
      <c r="P407">
        <v>546.34400000000005</v>
      </c>
      <c r="Q407">
        <v>588.41200000000003</v>
      </c>
      <c r="R407">
        <v>564.91999999999996</v>
      </c>
      <c r="S407">
        <v>591.471</v>
      </c>
      <c r="T407">
        <v>620.30600000000004</v>
      </c>
      <c r="U407">
        <v>625.48</v>
      </c>
      <c r="V407">
        <v>642.85400000000004</v>
      </c>
      <c r="W407">
        <v>657.06500000000005</v>
      </c>
      <c r="X407">
        <v>669.38400000000001</v>
      </c>
      <c r="Y407">
        <v>686.26099999999997</v>
      </c>
      <c r="Z407">
        <v>687.87900000000002</v>
      </c>
      <c r="AA407">
        <v>676.59100000000001</v>
      </c>
      <c r="AB407">
        <v>668.40499999999997</v>
      </c>
      <c r="AC407">
        <v>674.96100000000001</v>
      </c>
      <c r="AD407">
        <v>680.20100000000002</v>
      </c>
      <c r="AE407">
        <v>688.91300000000001</v>
      </c>
      <c r="AF407">
        <v>693.56200000000001</v>
      </c>
      <c r="AG407">
        <v>718.99</v>
      </c>
      <c r="AH407">
        <v>728.50800000000004</v>
      </c>
      <c r="AI407">
        <v>735.01900000000001</v>
      </c>
      <c r="AJ407">
        <v>756.32799999999997</v>
      </c>
      <c r="AK407">
        <v>767.25099999999998</v>
      </c>
      <c r="AL407">
        <v>760.96600000000001</v>
      </c>
      <c r="AM407">
        <v>735.01499999999999</v>
      </c>
      <c r="AN407">
        <v>724.32500000000005</v>
      </c>
      <c r="AO407">
        <v>734.64200000000005</v>
      </c>
      <c r="AP407">
        <v>730.82899999999995</v>
      </c>
      <c r="AQ407">
        <v>732.255</v>
      </c>
      <c r="AR407">
        <v>734.93100000000004</v>
      </c>
      <c r="AS407">
        <v>742.95500000000004</v>
      </c>
      <c r="AT407">
        <v>758.37099999999998</v>
      </c>
      <c r="AU407">
        <v>776.95100000000002</v>
      </c>
      <c r="AV407">
        <v>797.54</v>
      </c>
      <c r="AW407">
        <v>819.07399999999996</v>
      </c>
      <c r="AX407">
        <v>841.18899999999996</v>
      </c>
      <c r="AY407">
        <v>2014</v>
      </c>
    </row>
    <row r="408" spans="1:51" x14ac:dyDescent="0.25">
      <c r="A408">
        <v>343</v>
      </c>
      <c r="B408" t="s">
        <v>549</v>
      </c>
      <c r="C408" t="s">
        <v>286</v>
      </c>
      <c r="D408" t="s">
        <v>126</v>
      </c>
      <c r="E408" t="s">
        <v>287</v>
      </c>
      <c r="F408" t="s">
        <v>288</v>
      </c>
      <c r="G408" t="s">
        <v>282</v>
      </c>
      <c r="H408" t="s">
        <v>283</v>
      </c>
      <c r="I408" t="s">
        <v>550</v>
      </c>
      <c r="J408">
        <v>4.5650000000000004</v>
      </c>
      <c r="K408">
        <v>5.0149999999999997</v>
      </c>
      <c r="L408">
        <v>5.758</v>
      </c>
      <c r="M408">
        <v>7.1020000000000003</v>
      </c>
      <c r="N408">
        <v>9.2390000000000008</v>
      </c>
      <c r="O408">
        <v>11.260999999999999</v>
      </c>
      <c r="P408">
        <v>13.03</v>
      </c>
      <c r="Q408">
        <v>14.696</v>
      </c>
      <c r="R408">
        <v>17.513999999999999</v>
      </c>
      <c r="S408">
        <v>21.045999999999999</v>
      </c>
      <c r="T408">
        <v>33.576999999999998</v>
      </c>
      <c r="U408">
        <v>51.847000000000001</v>
      </c>
      <c r="V408">
        <v>99.548000000000002</v>
      </c>
      <c r="W408">
        <v>137.613</v>
      </c>
      <c r="X408">
        <v>182.92699999999999</v>
      </c>
      <c r="Y408">
        <v>230.93199999999999</v>
      </c>
      <c r="Z408">
        <v>274.45800000000003</v>
      </c>
      <c r="AA408">
        <v>297.399</v>
      </c>
      <c r="AB408">
        <v>321.17200000000003</v>
      </c>
      <c r="AC408">
        <v>346.98200000000003</v>
      </c>
      <c r="AD408">
        <v>387.089</v>
      </c>
      <c r="AE408">
        <v>422.923</v>
      </c>
      <c r="AF408">
        <v>470.55500000000001</v>
      </c>
      <c r="AG408">
        <v>544.51</v>
      </c>
      <c r="AH408">
        <v>622.57399999999996</v>
      </c>
      <c r="AI408">
        <v>699.98900000000003</v>
      </c>
      <c r="AJ408">
        <v>784.33699999999999</v>
      </c>
      <c r="AK408">
        <v>885.63199999999995</v>
      </c>
      <c r="AL408">
        <v>997.44</v>
      </c>
      <c r="AM408" s="21">
        <v>1065.1959999999999</v>
      </c>
      <c r="AN408" s="21">
        <v>1152.587</v>
      </c>
      <c r="AO408" s="21">
        <v>1239.278</v>
      </c>
      <c r="AP408" s="21">
        <v>1312.2840000000001</v>
      </c>
      <c r="AQ408" s="21">
        <v>1429.6690000000001</v>
      </c>
      <c r="AR408" s="21">
        <v>1524.5640000000001</v>
      </c>
      <c r="AS408" s="21">
        <v>1618.6959999999999</v>
      </c>
      <c r="AT408" s="21">
        <v>1763.1110000000001</v>
      </c>
      <c r="AU408" s="21">
        <v>1933.12</v>
      </c>
      <c r="AV408" s="21">
        <v>2122.567</v>
      </c>
      <c r="AW408" s="21">
        <v>2318.4409999999998</v>
      </c>
      <c r="AX408" s="21">
        <v>2522.1990000000001</v>
      </c>
      <c r="AY408">
        <v>2014</v>
      </c>
    </row>
    <row r="409" spans="1:51" x14ac:dyDescent="0.25">
      <c r="A409">
        <v>343</v>
      </c>
      <c r="B409" t="s">
        <v>549</v>
      </c>
      <c r="C409" t="s">
        <v>289</v>
      </c>
      <c r="D409" t="s">
        <v>126</v>
      </c>
      <c r="E409" t="s">
        <v>287</v>
      </c>
      <c r="F409" t="s">
        <v>290</v>
      </c>
      <c r="G409" t="s">
        <v>291</v>
      </c>
      <c r="H409" t="s">
        <v>283</v>
      </c>
      <c r="I409" t="s">
        <v>292</v>
      </c>
      <c r="J409">
        <v>2.5649999999999999</v>
      </c>
      <c r="K409">
        <v>2.8170000000000002</v>
      </c>
      <c r="L409">
        <v>3.2349999999999999</v>
      </c>
      <c r="M409">
        <v>2.875</v>
      </c>
      <c r="N409">
        <v>2.1190000000000002</v>
      </c>
      <c r="O409">
        <v>1.9930000000000001</v>
      </c>
      <c r="P409">
        <v>2.3690000000000002</v>
      </c>
      <c r="Q409">
        <v>2.6720000000000002</v>
      </c>
      <c r="R409">
        <v>3.1840000000000002</v>
      </c>
      <c r="S409">
        <v>3.6920000000000002</v>
      </c>
      <c r="T409">
        <v>4.6630000000000003</v>
      </c>
      <c r="U409">
        <v>4.2850000000000001</v>
      </c>
      <c r="V409">
        <v>4.3280000000000003</v>
      </c>
      <c r="W409">
        <v>5.516</v>
      </c>
      <c r="X409">
        <v>5.5289999999999999</v>
      </c>
      <c r="Y409">
        <v>6.5430000000000001</v>
      </c>
      <c r="Z409">
        <v>7.3940000000000001</v>
      </c>
      <c r="AA409">
        <v>8.4</v>
      </c>
      <c r="AB409">
        <v>8.7870000000000008</v>
      </c>
      <c r="AC409">
        <v>8.8870000000000005</v>
      </c>
      <c r="AD409">
        <v>9.0649999999999995</v>
      </c>
      <c r="AE409">
        <v>9.1950000000000003</v>
      </c>
      <c r="AF409">
        <v>9.7189999999999994</v>
      </c>
      <c r="AG409">
        <v>9.43</v>
      </c>
      <c r="AH409">
        <v>10.173</v>
      </c>
      <c r="AI409">
        <v>11.228</v>
      </c>
      <c r="AJ409">
        <v>11.946</v>
      </c>
      <c r="AK409">
        <v>12.881</v>
      </c>
      <c r="AL409">
        <v>13.743</v>
      </c>
      <c r="AM409">
        <v>12.105</v>
      </c>
      <c r="AN409">
        <v>13.191000000000001</v>
      </c>
      <c r="AO409">
        <v>14.397</v>
      </c>
      <c r="AP409">
        <v>14.744999999999999</v>
      </c>
      <c r="AQ409">
        <v>14.189</v>
      </c>
      <c r="AR409">
        <v>13.709</v>
      </c>
      <c r="AS409">
        <v>13.823</v>
      </c>
      <c r="AT409">
        <v>14.128</v>
      </c>
      <c r="AU409">
        <v>14.712999999999999</v>
      </c>
      <c r="AV409">
        <v>15.426</v>
      </c>
      <c r="AW409">
        <v>16.213000000000001</v>
      </c>
      <c r="AX409">
        <v>17.084</v>
      </c>
      <c r="AY409">
        <v>2014</v>
      </c>
    </row>
    <row r="410" spans="1:51" x14ac:dyDescent="0.25">
      <c r="A410">
        <v>343</v>
      </c>
      <c r="B410" t="s">
        <v>549</v>
      </c>
      <c r="C410" t="s">
        <v>293</v>
      </c>
      <c r="D410" t="s">
        <v>126</v>
      </c>
      <c r="E410" t="s">
        <v>294</v>
      </c>
      <c r="F410" t="s">
        <v>295</v>
      </c>
      <c r="G410" t="s">
        <v>296</v>
      </c>
      <c r="I410" t="s">
        <v>297</v>
      </c>
      <c r="J410">
        <v>1.0029999999999999</v>
      </c>
      <c r="K410">
        <v>1.0549999999999999</v>
      </c>
      <c r="L410">
        <v>1.175</v>
      </c>
      <c r="M410">
        <v>1.391</v>
      </c>
      <c r="N410">
        <v>1.7929999999999999</v>
      </c>
      <c r="O410">
        <v>2.2050000000000001</v>
      </c>
      <c r="P410">
        <v>2.3849999999999998</v>
      </c>
      <c r="Q410">
        <v>2.4980000000000002</v>
      </c>
      <c r="R410">
        <v>3.1</v>
      </c>
      <c r="S410">
        <v>3.5579999999999998</v>
      </c>
      <c r="T410">
        <v>5.4130000000000003</v>
      </c>
      <c r="U410">
        <v>8.2889999999999997</v>
      </c>
      <c r="V410">
        <v>15.484999999999999</v>
      </c>
      <c r="W410">
        <v>20.943999999999999</v>
      </c>
      <c r="X410">
        <v>27.327999999999999</v>
      </c>
      <c r="Y410">
        <v>33.651000000000003</v>
      </c>
      <c r="Z410">
        <v>39.899000000000001</v>
      </c>
      <c r="AA410">
        <v>43.954999999999998</v>
      </c>
      <c r="AB410">
        <v>48.05</v>
      </c>
      <c r="AC410">
        <v>51.408000000000001</v>
      </c>
      <c r="AD410">
        <v>56.908000000000001</v>
      </c>
      <c r="AE410">
        <v>61.39</v>
      </c>
      <c r="AF410">
        <v>67.846000000000004</v>
      </c>
      <c r="AG410">
        <v>75.733000000000004</v>
      </c>
      <c r="AH410">
        <v>85.459000000000003</v>
      </c>
      <c r="AI410">
        <v>95.233999999999995</v>
      </c>
      <c r="AJ410">
        <v>103.703</v>
      </c>
      <c r="AK410">
        <v>115.429</v>
      </c>
      <c r="AL410">
        <v>131.07499999999999</v>
      </c>
      <c r="AM410">
        <v>144.922</v>
      </c>
      <c r="AN410">
        <v>159.126</v>
      </c>
      <c r="AO410">
        <v>168.691</v>
      </c>
      <c r="AP410">
        <v>179.56100000000001</v>
      </c>
      <c r="AQ410">
        <v>195.24199999999999</v>
      </c>
      <c r="AR410">
        <v>207.44300000000001</v>
      </c>
      <c r="AS410">
        <v>217.87299999999999</v>
      </c>
      <c r="AT410">
        <v>232.48699999999999</v>
      </c>
      <c r="AU410">
        <v>248.80799999999999</v>
      </c>
      <c r="AV410">
        <v>266.13900000000001</v>
      </c>
      <c r="AW410">
        <v>283.05599999999998</v>
      </c>
      <c r="AX410">
        <v>299.83699999999999</v>
      </c>
      <c r="AY410">
        <v>2014</v>
      </c>
    </row>
    <row r="411" spans="1:51" x14ac:dyDescent="0.25">
      <c r="A411">
        <v>343</v>
      </c>
      <c r="B411" t="s">
        <v>549</v>
      </c>
      <c r="C411" t="s">
        <v>298</v>
      </c>
      <c r="D411" t="s">
        <v>126</v>
      </c>
      <c r="E411" t="s">
        <v>299</v>
      </c>
      <c r="F411" t="s">
        <v>300</v>
      </c>
      <c r="G411" t="s">
        <v>282</v>
      </c>
      <c r="H411" t="s">
        <v>283</v>
      </c>
      <c r="I411" t="s">
        <v>551</v>
      </c>
      <c r="J411" t="s">
        <v>285</v>
      </c>
      <c r="K411" t="s">
        <v>285</v>
      </c>
      <c r="L411" t="s">
        <v>285</v>
      </c>
      <c r="M411" t="s">
        <v>285</v>
      </c>
      <c r="N411" t="s">
        <v>285</v>
      </c>
      <c r="O411" t="s">
        <v>285</v>
      </c>
      <c r="P411" t="s">
        <v>285</v>
      </c>
      <c r="Q411" t="s">
        <v>285</v>
      </c>
      <c r="R411" t="s">
        <v>285</v>
      </c>
      <c r="S411" t="s">
        <v>285</v>
      </c>
      <c r="T411">
        <v>8.8420000000000005</v>
      </c>
      <c r="U411">
        <v>13.018000000000001</v>
      </c>
      <c r="V411">
        <v>20.385999999999999</v>
      </c>
      <c r="W411">
        <v>29.997</v>
      </c>
      <c r="X411">
        <v>39.802</v>
      </c>
      <c r="Y411">
        <v>54.718000000000004</v>
      </c>
      <c r="Z411">
        <v>78.052000000000007</v>
      </c>
      <c r="AA411">
        <v>86.388999999999996</v>
      </c>
      <c r="AB411">
        <v>93.266999999999996</v>
      </c>
      <c r="AC411">
        <v>102.94799999999999</v>
      </c>
      <c r="AD411">
        <v>104.193</v>
      </c>
      <c r="AE411">
        <v>123.792</v>
      </c>
      <c r="AF411">
        <v>149.905</v>
      </c>
      <c r="AG411">
        <v>181.57499999999999</v>
      </c>
      <c r="AH411">
        <v>201.44300000000001</v>
      </c>
      <c r="AI411">
        <v>210.4</v>
      </c>
      <c r="AJ411">
        <v>250.75200000000001</v>
      </c>
      <c r="AK411">
        <v>286.78899999999999</v>
      </c>
      <c r="AL411">
        <v>352.23</v>
      </c>
      <c r="AM411">
        <v>421.45800000000003</v>
      </c>
      <c r="AN411">
        <v>388.76799999999997</v>
      </c>
      <c r="AO411">
        <v>403.19200000000001</v>
      </c>
      <c r="AP411">
        <v>399.279</v>
      </c>
      <c r="AQ411">
        <v>395.24200000000002</v>
      </c>
      <c r="AR411">
        <v>419.49099999999999</v>
      </c>
      <c r="AS411">
        <v>461.20699999999999</v>
      </c>
      <c r="AT411">
        <v>492.08</v>
      </c>
      <c r="AU411">
        <v>530.35199999999998</v>
      </c>
      <c r="AV411">
        <v>556.17499999999995</v>
      </c>
      <c r="AW411">
        <v>595.73800000000006</v>
      </c>
      <c r="AX411">
        <v>639.36599999999999</v>
      </c>
      <c r="AY411">
        <v>2015</v>
      </c>
    </row>
    <row r="412" spans="1:51" x14ac:dyDescent="0.25">
      <c r="A412">
        <v>158</v>
      </c>
      <c r="B412" t="s">
        <v>552</v>
      </c>
      <c r="C412" t="s">
        <v>279</v>
      </c>
      <c r="D412" t="s">
        <v>127</v>
      </c>
      <c r="E412" t="s">
        <v>280</v>
      </c>
      <c r="F412" t="s">
        <v>281</v>
      </c>
      <c r="G412" t="s">
        <v>282</v>
      </c>
      <c r="H412" t="s">
        <v>283</v>
      </c>
      <c r="I412" t="s">
        <v>553</v>
      </c>
      <c r="J412" s="21">
        <v>269833.875</v>
      </c>
      <c r="K412" s="21">
        <v>281104.41499999998</v>
      </c>
      <c r="L412" s="21">
        <v>290596.21000000002</v>
      </c>
      <c r="M412" s="21">
        <v>299490.59899999999</v>
      </c>
      <c r="N412" s="21">
        <v>312859.55699999997</v>
      </c>
      <c r="O412" s="21">
        <v>332674.06900000002</v>
      </c>
      <c r="P412" s="21">
        <v>342092.32699999999</v>
      </c>
      <c r="Q412" s="21">
        <v>356143.52</v>
      </c>
      <c r="R412" s="21">
        <v>381596.00599999999</v>
      </c>
      <c r="S412" s="21">
        <v>402088.29399999999</v>
      </c>
      <c r="T412" s="21">
        <v>424494.255</v>
      </c>
      <c r="U412" s="21">
        <v>438605.891</v>
      </c>
      <c r="V412" s="21">
        <v>442198.20400000003</v>
      </c>
      <c r="W412" s="21">
        <v>442954.64</v>
      </c>
      <c r="X412" s="21">
        <v>446779.9</v>
      </c>
      <c r="Y412" s="21">
        <v>455457.9</v>
      </c>
      <c r="Z412" s="21">
        <v>467345.7</v>
      </c>
      <c r="AA412" s="21">
        <v>474802.7</v>
      </c>
      <c r="AB412" s="21">
        <v>465291.7</v>
      </c>
      <c r="AC412" s="21">
        <v>464364.3</v>
      </c>
      <c r="AD412" s="21">
        <v>474847.2</v>
      </c>
      <c r="AE412" s="21">
        <v>476535.1</v>
      </c>
      <c r="AF412" s="21">
        <v>477914.8</v>
      </c>
      <c r="AG412" s="21">
        <v>485968.3</v>
      </c>
      <c r="AH412" s="21">
        <v>497440.8</v>
      </c>
      <c r="AI412" s="21">
        <v>503921</v>
      </c>
      <c r="AJ412" s="21">
        <v>512452</v>
      </c>
      <c r="AK412" s="21">
        <v>523685.8</v>
      </c>
      <c r="AL412" s="21">
        <v>518230.9</v>
      </c>
      <c r="AM412" s="21">
        <v>489588.4</v>
      </c>
      <c r="AN412" s="21">
        <v>512654.7</v>
      </c>
      <c r="AO412" s="21">
        <v>510325.9</v>
      </c>
      <c r="AP412" s="21">
        <v>519216.8</v>
      </c>
      <c r="AQ412" s="21">
        <v>527459.80000000005</v>
      </c>
      <c r="AR412" s="21">
        <v>526926.69999999995</v>
      </c>
      <c r="AS412" s="21">
        <v>530041.81400000001</v>
      </c>
      <c r="AT412" s="21">
        <v>535370.52899999998</v>
      </c>
      <c r="AU412" s="21">
        <v>537754.43799999997</v>
      </c>
      <c r="AV412" s="21">
        <v>541326.63600000006</v>
      </c>
      <c r="AW412" s="21">
        <v>546275.80000000005</v>
      </c>
      <c r="AX412" s="21">
        <v>550184.72199999995</v>
      </c>
      <c r="AY412">
        <v>2014</v>
      </c>
    </row>
    <row r="413" spans="1:51" x14ac:dyDescent="0.25">
      <c r="A413">
        <v>158</v>
      </c>
      <c r="B413" t="s">
        <v>552</v>
      </c>
      <c r="C413" t="s">
        <v>286</v>
      </c>
      <c r="D413" t="s">
        <v>127</v>
      </c>
      <c r="E413" t="s">
        <v>287</v>
      </c>
      <c r="F413" t="s">
        <v>288</v>
      </c>
      <c r="G413" t="s">
        <v>282</v>
      </c>
      <c r="H413" t="s">
        <v>283</v>
      </c>
      <c r="I413" t="s">
        <v>553</v>
      </c>
      <c r="J413" s="21">
        <v>246464.497</v>
      </c>
      <c r="K413" s="21">
        <v>264966.28899999999</v>
      </c>
      <c r="L413" s="21">
        <v>278178.96899999998</v>
      </c>
      <c r="M413" s="21">
        <v>289314.592</v>
      </c>
      <c r="N413" s="21">
        <v>307498.71000000002</v>
      </c>
      <c r="O413" s="21">
        <v>330260.57500000001</v>
      </c>
      <c r="P413" s="21">
        <v>345644.49699999997</v>
      </c>
      <c r="Q413" s="21">
        <v>359458.42300000001</v>
      </c>
      <c r="R413" s="21">
        <v>386427.78700000001</v>
      </c>
      <c r="S413" s="21">
        <v>416245.859</v>
      </c>
      <c r="T413" s="21">
        <v>449392.29800000001</v>
      </c>
      <c r="U413" s="21">
        <v>476430.98100000003</v>
      </c>
      <c r="V413" s="21">
        <v>487961.51400000002</v>
      </c>
      <c r="W413" s="21">
        <v>490934.24800000002</v>
      </c>
      <c r="X413" s="21">
        <v>495743.5</v>
      </c>
      <c r="Y413" s="21">
        <v>501706.9</v>
      </c>
      <c r="Z413" s="21">
        <v>511934.8</v>
      </c>
      <c r="AA413" s="21">
        <v>523198.3</v>
      </c>
      <c r="AB413" s="21">
        <v>512438.6</v>
      </c>
      <c r="AC413" s="21">
        <v>504903.1</v>
      </c>
      <c r="AD413" s="21">
        <v>509860</v>
      </c>
      <c r="AE413" s="21">
        <v>505543.3</v>
      </c>
      <c r="AF413" s="21">
        <v>499147</v>
      </c>
      <c r="AG413" s="21">
        <v>498854.7</v>
      </c>
      <c r="AH413" s="21">
        <v>503725.4</v>
      </c>
      <c r="AI413" s="21">
        <v>503903</v>
      </c>
      <c r="AJ413" s="21">
        <v>506687</v>
      </c>
      <c r="AK413" s="21">
        <v>512975.2</v>
      </c>
      <c r="AL413" s="21">
        <v>501209.3</v>
      </c>
      <c r="AM413" s="21">
        <v>471138.6</v>
      </c>
      <c r="AN413" s="21">
        <v>482676.9</v>
      </c>
      <c r="AO413" s="21">
        <v>471578.7</v>
      </c>
      <c r="AP413" s="21">
        <v>475331.6</v>
      </c>
      <c r="AQ413" s="21">
        <v>480130.5</v>
      </c>
      <c r="AR413" s="21">
        <v>487596.79999999999</v>
      </c>
      <c r="AS413" s="21">
        <v>499822.288</v>
      </c>
      <c r="AT413" s="21">
        <v>505212.69900000002</v>
      </c>
      <c r="AU413" s="21">
        <v>511547.85399999999</v>
      </c>
      <c r="AV413" s="21">
        <v>515963.69799999997</v>
      </c>
      <c r="AW413" s="21">
        <v>522926.42099999997</v>
      </c>
      <c r="AX413" s="21">
        <v>530071.19099999999</v>
      </c>
      <c r="AY413">
        <v>2014</v>
      </c>
    </row>
    <row r="414" spans="1:51" x14ac:dyDescent="0.25">
      <c r="A414">
        <v>158</v>
      </c>
      <c r="B414" t="s">
        <v>552</v>
      </c>
      <c r="C414" t="s">
        <v>289</v>
      </c>
      <c r="D414" t="s">
        <v>127</v>
      </c>
      <c r="E414" t="s">
        <v>287</v>
      </c>
      <c r="F414" t="s">
        <v>290</v>
      </c>
      <c r="G414" t="s">
        <v>291</v>
      </c>
      <c r="H414" t="s">
        <v>283</v>
      </c>
      <c r="I414" t="s">
        <v>292</v>
      </c>
      <c r="J414" s="21">
        <v>1086.9880000000001</v>
      </c>
      <c r="K414" s="21">
        <v>1201.4659999999999</v>
      </c>
      <c r="L414" s="21">
        <v>1116.8409999999999</v>
      </c>
      <c r="M414" s="21">
        <v>1218.107</v>
      </c>
      <c r="N414" s="21">
        <v>1294.6089999999999</v>
      </c>
      <c r="O414" s="21">
        <v>1384.5319999999999</v>
      </c>
      <c r="P414" s="21">
        <v>2051.0610000000001</v>
      </c>
      <c r="Q414" s="21">
        <v>2485.2370000000001</v>
      </c>
      <c r="R414" s="21">
        <v>3015.3939999999998</v>
      </c>
      <c r="S414" s="21">
        <v>3017.0520000000001</v>
      </c>
      <c r="T414" s="21">
        <v>3103.6990000000001</v>
      </c>
      <c r="U414" s="21">
        <v>3536.8029999999999</v>
      </c>
      <c r="V414" s="21">
        <v>3852.7939999999999</v>
      </c>
      <c r="W414" s="21">
        <v>4414.9639999999999</v>
      </c>
      <c r="X414" s="21">
        <v>4850.3490000000002</v>
      </c>
      <c r="Y414" s="21">
        <v>5333.9269999999997</v>
      </c>
      <c r="Z414" s="21">
        <v>4706.4849999999997</v>
      </c>
      <c r="AA414" s="21">
        <v>4325.24</v>
      </c>
      <c r="AB414" s="21">
        <v>3916.4560000000001</v>
      </c>
      <c r="AC414" s="21">
        <v>4417.0249999999996</v>
      </c>
      <c r="AD414" s="21">
        <v>4730.9870000000001</v>
      </c>
      <c r="AE414" s="21">
        <v>4161.0339999999997</v>
      </c>
      <c r="AF414" s="21">
        <v>3980.8969999999999</v>
      </c>
      <c r="AG414" s="21">
        <v>4304.6019999999999</v>
      </c>
      <c r="AH414" s="21">
        <v>4656.4049999999997</v>
      </c>
      <c r="AI414" s="21">
        <v>4572.4139999999998</v>
      </c>
      <c r="AJ414" s="21">
        <v>4356.8450000000003</v>
      </c>
      <c r="AK414" s="21">
        <v>4356.3469999999998</v>
      </c>
      <c r="AL414" s="21">
        <v>4849.1850000000004</v>
      </c>
      <c r="AM414" s="21">
        <v>5035.1409999999996</v>
      </c>
      <c r="AN414" s="21">
        <v>5498.7190000000001</v>
      </c>
      <c r="AO414" s="21">
        <v>5908.9880000000003</v>
      </c>
      <c r="AP414" s="21">
        <v>5957.2489999999998</v>
      </c>
      <c r="AQ414" s="21">
        <v>4919.5889999999999</v>
      </c>
      <c r="AR414" s="21">
        <v>4602.3670000000002</v>
      </c>
      <c r="AS414" s="21">
        <v>4116.2420000000002</v>
      </c>
      <c r="AT414" s="21">
        <v>4170.643</v>
      </c>
      <c r="AU414" s="21">
        <v>4342.16</v>
      </c>
      <c r="AV414" s="21">
        <v>4446.3280000000004</v>
      </c>
      <c r="AW414" s="21">
        <v>4590.9129999999996</v>
      </c>
      <c r="AX414" s="21">
        <v>4746.88</v>
      </c>
      <c r="AY414">
        <v>2014</v>
      </c>
    </row>
    <row r="415" spans="1:51" x14ac:dyDescent="0.25">
      <c r="A415">
        <v>158</v>
      </c>
      <c r="B415" t="s">
        <v>552</v>
      </c>
      <c r="C415" t="s">
        <v>293</v>
      </c>
      <c r="D415" t="s">
        <v>127</v>
      </c>
      <c r="E415" t="s">
        <v>294</v>
      </c>
      <c r="F415" t="s">
        <v>295</v>
      </c>
      <c r="G415" t="s">
        <v>296</v>
      </c>
      <c r="I415" t="s">
        <v>297</v>
      </c>
      <c r="J415">
        <v>91.338999999999999</v>
      </c>
      <c r="K415">
        <v>94.259</v>
      </c>
      <c r="L415">
        <v>95.727000000000004</v>
      </c>
      <c r="M415">
        <v>96.602000000000004</v>
      </c>
      <c r="N415">
        <v>98.287000000000006</v>
      </c>
      <c r="O415">
        <v>99.275000000000006</v>
      </c>
      <c r="P415">
        <v>101.038</v>
      </c>
      <c r="Q415">
        <v>100.931</v>
      </c>
      <c r="R415">
        <v>101.26600000000001</v>
      </c>
      <c r="S415">
        <v>103.521</v>
      </c>
      <c r="T415">
        <v>105.86499999999999</v>
      </c>
      <c r="U415">
        <v>108.624</v>
      </c>
      <c r="V415">
        <v>110.349</v>
      </c>
      <c r="W415">
        <v>110.83199999999999</v>
      </c>
      <c r="X415">
        <v>110.959</v>
      </c>
      <c r="Y415">
        <v>110.154</v>
      </c>
      <c r="Z415">
        <v>109.541</v>
      </c>
      <c r="AA415">
        <v>110.193</v>
      </c>
      <c r="AB415">
        <v>110.133</v>
      </c>
      <c r="AC415">
        <v>108.73</v>
      </c>
      <c r="AD415">
        <v>107.373</v>
      </c>
      <c r="AE415">
        <v>106.087</v>
      </c>
      <c r="AF415">
        <v>104.443</v>
      </c>
      <c r="AG415">
        <v>102.652</v>
      </c>
      <c r="AH415">
        <v>101.26300000000001</v>
      </c>
      <c r="AI415">
        <v>99.995999999999995</v>
      </c>
      <c r="AJ415">
        <v>98.875</v>
      </c>
      <c r="AK415">
        <v>97.954999999999998</v>
      </c>
      <c r="AL415">
        <v>96.715000000000003</v>
      </c>
      <c r="AM415">
        <v>96.231999999999999</v>
      </c>
      <c r="AN415">
        <v>94.152000000000001</v>
      </c>
      <c r="AO415">
        <v>92.406999999999996</v>
      </c>
      <c r="AP415">
        <v>91.548000000000002</v>
      </c>
      <c r="AQ415">
        <v>91.027000000000001</v>
      </c>
      <c r="AR415">
        <v>92.536000000000001</v>
      </c>
      <c r="AS415">
        <v>94.299000000000007</v>
      </c>
      <c r="AT415">
        <v>94.367000000000004</v>
      </c>
      <c r="AU415">
        <v>95.126999999999995</v>
      </c>
      <c r="AV415">
        <v>95.314999999999998</v>
      </c>
      <c r="AW415">
        <v>95.725999999999999</v>
      </c>
      <c r="AX415">
        <v>96.343999999999994</v>
      </c>
      <c r="AY415">
        <v>2014</v>
      </c>
    </row>
    <row r="416" spans="1:51" x14ac:dyDescent="0.25">
      <c r="A416">
        <v>158</v>
      </c>
      <c r="B416" t="s">
        <v>552</v>
      </c>
      <c r="C416" t="s">
        <v>298</v>
      </c>
      <c r="D416" t="s">
        <v>127</v>
      </c>
      <c r="E416" t="s">
        <v>299</v>
      </c>
      <c r="F416" t="s">
        <v>300</v>
      </c>
      <c r="G416" t="s">
        <v>282</v>
      </c>
      <c r="H416" t="s">
        <v>283</v>
      </c>
      <c r="I416" t="s">
        <v>554</v>
      </c>
      <c r="J416" s="21">
        <v>78920.5</v>
      </c>
      <c r="K416" s="21">
        <v>86731.6</v>
      </c>
      <c r="L416" s="21">
        <v>91406.2</v>
      </c>
      <c r="M416" s="21">
        <v>95749</v>
      </c>
      <c r="N416" s="21">
        <v>99280.8</v>
      </c>
      <c r="O416" s="21">
        <v>103130.3</v>
      </c>
      <c r="P416" s="21">
        <v>107910.5</v>
      </c>
      <c r="Q416" s="21">
        <v>113115.5</v>
      </c>
      <c r="R416" s="21">
        <v>118379.4</v>
      </c>
      <c r="S416" s="21">
        <v>124457.7</v>
      </c>
      <c r="T416" s="21">
        <v>135788.9</v>
      </c>
      <c r="U416" s="21">
        <v>143048.20000000001</v>
      </c>
      <c r="V416" s="21">
        <v>150893.79999999999</v>
      </c>
      <c r="W416" s="21">
        <v>160443.1</v>
      </c>
      <c r="X416" s="21">
        <v>163728.5</v>
      </c>
      <c r="Y416" s="21">
        <v>170730.2</v>
      </c>
      <c r="Z416" s="21">
        <v>177003.9</v>
      </c>
      <c r="AA416" s="21">
        <v>175627.8</v>
      </c>
      <c r="AB416" s="21">
        <v>175374</v>
      </c>
      <c r="AC416" s="21">
        <v>183998.8</v>
      </c>
      <c r="AD416" s="21">
        <v>188906</v>
      </c>
      <c r="AE416" s="21">
        <v>183849</v>
      </c>
      <c r="AF416" s="21">
        <v>182797.9</v>
      </c>
      <c r="AG416" s="21">
        <v>180640.3</v>
      </c>
      <c r="AH416" s="21">
        <v>170517.5</v>
      </c>
      <c r="AI416" s="21">
        <v>171889.9</v>
      </c>
      <c r="AJ416" s="21">
        <v>174749.2</v>
      </c>
      <c r="AK416" s="21">
        <v>170881.7</v>
      </c>
      <c r="AL416" s="21">
        <v>179081.5</v>
      </c>
      <c r="AM416" s="21">
        <v>188371.6</v>
      </c>
      <c r="AN416" s="21">
        <v>187708.5</v>
      </c>
      <c r="AO416" s="21">
        <v>191390.2</v>
      </c>
      <c r="AP416" s="21">
        <v>189410.9</v>
      </c>
      <c r="AQ416" s="21">
        <v>194470.2</v>
      </c>
      <c r="AR416" s="21">
        <v>196340.25099999999</v>
      </c>
      <c r="AS416" s="21">
        <v>198196.55100000001</v>
      </c>
      <c r="AT416" s="21">
        <v>194536.283</v>
      </c>
      <c r="AU416" s="21">
        <v>197369.63500000001</v>
      </c>
      <c r="AV416" s="21">
        <v>201380.011</v>
      </c>
      <c r="AW416" s="21">
        <v>205908.79</v>
      </c>
      <c r="AX416" s="21">
        <v>212771.14799999999</v>
      </c>
      <c r="AY416">
        <v>2013</v>
      </c>
    </row>
    <row r="417" spans="1:51" x14ac:dyDescent="0.25">
      <c r="A417">
        <v>439</v>
      </c>
      <c r="B417" t="s">
        <v>555</v>
      </c>
      <c r="C417" t="s">
        <v>279</v>
      </c>
      <c r="D417" t="s">
        <v>128</v>
      </c>
      <c r="E417" t="s">
        <v>280</v>
      </c>
      <c r="F417" t="s">
        <v>281</v>
      </c>
      <c r="G417" t="s">
        <v>282</v>
      </c>
      <c r="H417" t="s">
        <v>283</v>
      </c>
      <c r="I417" t="s">
        <v>556</v>
      </c>
      <c r="J417">
        <v>2.8180000000000001</v>
      </c>
      <c r="K417">
        <v>3.302</v>
      </c>
      <c r="L417">
        <v>3.5339999999999998</v>
      </c>
      <c r="M417">
        <v>3.456</v>
      </c>
      <c r="N417">
        <v>3.6040000000000001</v>
      </c>
      <c r="O417">
        <v>3.5070000000000001</v>
      </c>
      <c r="P417">
        <v>3.7</v>
      </c>
      <c r="Q417">
        <v>3.786</v>
      </c>
      <c r="R417">
        <v>3.8410000000000002</v>
      </c>
      <c r="S417">
        <v>3.4289999999999998</v>
      </c>
      <c r="T417">
        <v>3.419</v>
      </c>
      <c r="U417">
        <v>3.4740000000000002</v>
      </c>
      <c r="V417">
        <v>3.9729999999999999</v>
      </c>
      <c r="W417">
        <v>4.1509999999999998</v>
      </c>
      <c r="X417">
        <v>4.3579999999999997</v>
      </c>
      <c r="Y417">
        <v>4.6280000000000001</v>
      </c>
      <c r="Z417">
        <v>4.7240000000000002</v>
      </c>
      <c r="AA417">
        <v>4.8810000000000002</v>
      </c>
      <c r="AB417">
        <v>5.0279999999999996</v>
      </c>
      <c r="AC417">
        <v>5.1980000000000004</v>
      </c>
      <c r="AD417">
        <v>5.4189999999999996</v>
      </c>
      <c r="AE417">
        <v>5.7039999999999997</v>
      </c>
      <c r="AF417">
        <v>6.0339999999999998</v>
      </c>
      <c r="AG417">
        <v>6.2859999999999996</v>
      </c>
      <c r="AH417">
        <v>6.8239999999999998</v>
      </c>
      <c r="AI417">
        <v>7.38</v>
      </c>
      <c r="AJ417">
        <v>7.9770000000000003</v>
      </c>
      <c r="AK417">
        <v>8.6289999999999996</v>
      </c>
      <c r="AL417">
        <v>9.2530000000000001</v>
      </c>
      <c r="AM417">
        <v>9.76</v>
      </c>
      <c r="AN417">
        <v>9.9849999999999994</v>
      </c>
      <c r="AO417">
        <v>10.244</v>
      </c>
      <c r="AP417">
        <v>10.515000000000001</v>
      </c>
      <c r="AQ417">
        <v>10.813000000000001</v>
      </c>
      <c r="AR417">
        <v>11.148</v>
      </c>
      <c r="AS417">
        <v>11.465</v>
      </c>
      <c r="AT417">
        <v>11.895</v>
      </c>
      <c r="AU417">
        <v>12.430999999999999</v>
      </c>
      <c r="AV417">
        <v>12.99</v>
      </c>
      <c r="AW417">
        <v>13.574</v>
      </c>
      <c r="AX417">
        <v>14.185</v>
      </c>
      <c r="AY417">
        <v>2013</v>
      </c>
    </row>
    <row r="418" spans="1:51" x14ac:dyDescent="0.25">
      <c r="A418">
        <v>439</v>
      </c>
      <c r="B418" t="s">
        <v>555</v>
      </c>
      <c r="C418" t="s">
        <v>286</v>
      </c>
      <c r="D418" t="s">
        <v>128</v>
      </c>
      <c r="E418" t="s">
        <v>287</v>
      </c>
      <c r="F418" t="s">
        <v>288</v>
      </c>
      <c r="G418" t="s">
        <v>282</v>
      </c>
      <c r="H418" t="s">
        <v>283</v>
      </c>
      <c r="I418" t="s">
        <v>556</v>
      </c>
      <c r="J418">
        <v>1.165</v>
      </c>
      <c r="K418">
        <v>1.4490000000000001</v>
      </c>
      <c r="L418">
        <v>1.65</v>
      </c>
      <c r="M418">
        <v>1.7869999999999999</v>
      </c>
      <c r="N418">
        <v>1.91</v>
      </c>
      <c r="O418">
        <v>1.9710000000000001</v>
      </c>
      <c r="P418">
        <v>2.2410000000000001</v>
      </c>
      <c r="Q418">
        <v>2.2869999999999999</v>
      </c>
      <c r="R418">
        <v>2.35</v>
      </c>
      <c r="S418">
        <v>2.4260000000000002</v>
      </c>
      <c r="T418">
        <v>2.7610000000000001</v>
      </c>
      <c r="U418">
        <v>2.9580000000000002</v>
      </c>
      <c r="V418">
        <v>3.65</v>
      </c>
      <c r="W418">
        <v>3.8839999999999999</v>
      </c>
      <c r="X418">
        <v>4.3579999999999997</v>
      </c>
      <c r="Y418">
        <v>4.7149999999999999</v>
      </c>
      <c r="Z418">
        <v>4.9119999999999999</v>
      </c>
      <c r="AA418">
        <v>5.1379999999999999</v>
      </c>
      <c r="AB418">
        <v>5.61</v>
      </c>
      <c r="AC418">
        <v>5.7779999999999996</v>
      </c>
      <c r="AD418">
        <v>5.9989999999999997</v>
      </c>
      <c r="AE418">
        <v>6.3630000000000004</v>
      </c>
      <c r="AF418">
        <v>6.7939999999999996</v>
      </c>
      <c r="AG418">
        <v>7.2290000000000001</v>
      </c>
      <c r="AH418">
        <v>8.0909999999999993</v>
      </c>
      <c r="AI418">
        <v>8.9250000000000007</v>
      </c>
      <c r="AJ418">
        <v>10.675000000000001</v>
      </c>
      <c r="AK418">
        <v>12.131</v>
      </c>
      <c r="AL418">
        <v>15.593</v>
      </c>
      <c r="AM418">
        <v>16.911999999999999</v>
      </c>
      <c r="AN418">
        <v>18.762</v>
      </c>
      <c r="AO418">
        <v>20.477</v>
      </c>
      <c r="AP418">
        <v>21.965</v>
      </c>
      <c r="AQ418">
        <v>23.852</v>
      </c>
      <c r="AR418">
        <v>25.437000000000001</v>
      </c>
      <c r="AS418">
        <v>27.091000000000001</v>
      </c>
      <c r="AT418">
        <v>28.992000000000001</v>
      </c>
      <c r="AU418">
        <v>31.068999999999999</v>
      </c>
      <c r="AV418">
        <v>33.277999999999999</v>
      </c>
      <c r="AW418">
        <v>35.645000000000003</v>
      </c>
      <c r="AX418">
        <v>38.180999999999997</v>
      </c>
      <c r="AY418">
        <v>2013</v>
      </c>
    </row>
    <row r="419" spans="1:51" x14ac:dyDescent="0.25">
      <c r="A419">
        <v>439</v>
      </c>
      <c r="B419" t="s">
        <v>555</v>
      </c>
      <c r="C419" t="s">
        <v>289</v>
      </c>
      <c r="D419" t="s">
        <v>128</v>
      </c>
      <c r="E419" t="s">
        <v>287</v>
      </c>
      <c r="F419" t="s">
        <v>290</v>
      </c>
      <c r="G419" t="s">
        <v>291</v>
      </c>
      <c r="H419" t="s">
        <v>283</v>
      </c>
      <c r="I419" t="s">
        <v>292</v>
      </c>
      <c r="J419">
        <v>3.9079999999999999</v>
      </c>
      <c r="K419">
        <v>4.3879999999999999</v>
      </c>
      <c r="L419">
        <v>4.6840000000000002</v>
      </c>
      <c r="M419">
        <v>4.9219999999999997</v>
      </c>
      <c r="N419">
        <v>4.9720000000000004</v>
      </c>
      <c r="O419">
        <v>5.0010000000000003</v>
      </c>
      <c r="P419">
        <v>6.4039999999999999</v>
      </c>
      <c r="Q419">
        <v>6.7510000000000003</v>
      </c>
      <c r="R419">
        <v>6.3239999999999998</v>
      </c>
      <c r="S419">
        <v>4.2519999999999998</v>
      </c>
      <c r="T419">
        <v>4.1609999999999996</v>
      </c>
      <c r="U419">
        <v>4.3449999999999998</v>
      </c>
      <c r="V419">
        <v>5.3689999999999998</v>
      </c>
      <c r="W419">
        <v>5.532</v>
      </c>
      <c r="X419">
        <v>6.1970000000000001</v>
      </c>
      <c r="Y419">
        <v>6.65</v>
      </c>
      <c r="Z419">
        <v>6.9279999999999999</v>
      </c>
      <c r="AA419">
        <v>7.2460000000000004</v>
      </c>
      <c r="AB419">
        <v>7.9119999999999999</v>
      </c>
      <c r="AC419">
        <v>8.1489999999999991</v>
      </c>
      <c r="AD419">
        <v>8.4610000000000003</v>
      </c>
      <c r="AE419">
        <v>8.9749999999999996</v>
      </c>
      <c r="AF419">
        <v>9.5820000000000007</v>
      </c>
      <c r="AG419">
        <v>10.196</v>
      </c>
      <c r="AH419">
        <v>11.411</v>
      </c>
      <c r="AI419">
        <v>12.589</v>
      </c>
      <c r="AJ419">
        <v>15.057</v>
      </c>
      <c r="AK419">
        <v>17.111000000000001</v>
      </c>
      <c r="AL419">
        <v>21.963000000000001</v>
      </c>
      <c r="AM419">
        <v>23.82</v>
      </c>
      <c r="AN419">
        <v>26.425000000000001</v>
      </c>
      <c r="AO419">
        <v>28.84</v>
      </c>
      <c r="AP419">
        <v>30.981000000000002</v>
      </c>
      <c r="AQ419">
        <v>33.640999999999998</v>
      </c>
      <c r="AR419">
        <v>35.878</v>
      </c>
      <c r="AS419">
        <v>38.21</v>
      </c>
      <c r="AT419">
        <v>40.890999999999998</v>
      </c>
      <c r="AU419">
        <v>43.820999999999998</v>
      </c>
      <c r="AV419">
        <v>46.936999999999998</v>
      </c>
      <c r="AW419">
        <v>50.276000000000003</v>
      </c>
      <c r="AX419">
        <v>53.851999999999997</v>
      </c>
      <c r="AY419">
        <v>2013</v>
      </c>
    </row>
    <row r="420" spans="1:51" x14ac:dyDescent="0.25">
      <c r="A420">
        <v>439</v>
      </c>
      <c r="B420" t="s">
        <v>555</v>
      </c>
      <c r="C420" t="s">
        <v>293</v>
      </c>
      <c r="D420" t="s">
        <v>128</v>
      </c>
      <c r="E420" t="s">
        <v>294</v>
      </c>
      <c r="F420" t="s">
        <v>295</v>
      </c>
      <c r="G420" t="s">
        <v>296</v>
      </c>
      <c r="I420" t="s">
        <v>297</v>
      </c>
      <c r="J420">
        <v>41.338999999999999</v>
      </c>
      <c r="K420">
        <v>43.869</v>
      </c>
      <c r="L420">
        <v>46.691000000000003</v>
      </c>
      <c r="M420">
        <v>51.697000000000003</v>
      </c>
      <c r="N420">
        <v>52.988</v>
      </c>
      <c r="O420">
        <v>56.197000000000003</v>
      </c>
      <c r="P420">
        <v>60.561</v>
      </c>
      <c r="Q420">
        <v>60.405000000000001</v>
      </c>
      <c r="R420">
        <v>61.173000000000002</v>
      </c>
      <c r="S420">
        <v>70.742999999999995</v>
      </c>
      <c r="T420">
        <v>80.757999999999996</v>
      </c>
      <c r="U420">
        <v>85.137</v>
      </c>
      <c r="V420">
        <v>91.86</v>
      </c>
      <c r="W420">
        <v>93.57</v>
      </c>
      <c r="X420">
        <v>100.00700000000001</v>
      </c>
      <c r="Y420">
        <v>101.881</v>
      </c>
      <c r="Z420">
        <v>103.992</v>
      </c>
      <c r="AA420">
        <v>105.267</v>
      </c>
      <c r="AB420">
        <v>111.58199999999999</v>
      </c>
      <c r="AC420">
        <v>111.16200000000001</v>
      </c>
      <c r="AD420">
        <v>110.703</v>
      </c>
      <c r="AE420">
        <v>111.559</v>
      </c>
      <c r="AF420">
        <v>112.592</v>
      </c>
      <c r="AG420">
        <v>114.991</v>
      </c>
      <c r="AH420">
        <v>118.55500000000001</v>
      </c>
      <c r="AI420">
        <v>120.946</v>
      </c>
      <c r="AJ420">
        <v>133.82900000000001</v>
      </c>
      <c r="AK420">
        <v>140.58799999999999</v>
      </c>
      <c r="AL420">
        <v>168.52099999999999</v>
      </c>
      <c r="AM420">
        <v>173.28299999999999</v>
      </c>
      <c r="AN420">
        <v>187.89400000000001</v>
      </c>
      <c r="AO420">
        <v>199.893</v>
      </c>
      <c r="AP420">
        <v>208.89099999999999</v>
      </c>
      <c r="AQ420">
        <v>220.58699999999999</v>
      </c>
      <c r="AR420">
        <v>228.185</v>
      </c>
      <c r="AS420">
        <v>236.28299999999999</v>
      </c>
      <c r="AT420">
        <v>243.72399999999999</v>
      </c>
      <c r="AU420">
        <v>249.93899999999999</v>
      </c>
      <c r="AV420">
        <v>256.18700000000001</v>
      </c>
      <c r="AW420">
        <v>262.59199999999998</v>
      </c>
      <c r="AX420">
        <v>269.15699999999998</v>
      </c>
      <c r="AY420">
        <v>2013</v>
      </c>
    </row>
    <row r="421" spans="1:51" x14ac:dyDescent="0.25">
      <c r="A421">
        <v>439</v>
      </c>
      <c r="B421" t="s">
        <v>555</v>
      </c>
      <c r="C421" t="s">
        <v>298</v>
      </c>
      <c r="D421" t="s">
        <v>128</v>
      </c>
      <c r="E421" t="s">
        <v>299</v>
      </c>
      <c r="F421" t="s">
        <v>300</v>
      </c>
      <c r="G421" t="s">
        <v>282</v>
      </c>
      <c r="H421" t="s">
        <v>283</v>
      </c>
      <c r="I421" t="s">
        <v>557</v>
      </c>
      <c r="J421" t="s">
        <v>285</v>
      </c>
      <c r="K421" t="s">
        <v>285</v>
      </c>
      <c r="L421" t="s">
        <v>285</v>
      </c>
      <c r="M421" t="s">
        <v>285</v>
      </c>
      <c r="N421" t="s">
        <v>285</v>
      </c>
      <c r="O421">
        <v>0.86699999999999999</v>
      </c>
      <c r="P421">
        <v>0.80400000000000005</v>
      </c>
      <c r="Q421">
        <v>1</v>
      </c>
      <c r="R421">
        <v>1.075</v>
      </c>
      <c r="S421">
        <v>1.054</v>
      </c>
      <c r="T421">
        <v>1.224</v>
      </c>
      <c r="U421">
        <v>1.3009999999999999</v>
      </c>
      <c r="V421">
        <v>1.2869999999999999</v>
      </c>
      <c r="W421">
        <v>1.4139999999999999</v>
      </c>
      <c r="X421">
        <v>1.504</v>
      </c>
      <c r="Y421">
        <v>1.698</v>
      </c>
      <c r="Z421">
        <v>1.7989999999999999</v>
      </c>
      <c r="AA421">
        <v>1.7749999999999999</v>
      </c>
      <c r="AB421">
        <v>2.0619999999999998</v>
      </c>
      <c r="AC421">
        <v>2.0139999999999998</v>
      </c>
      <c r="AD421">
        <v>2.0350000000000001</v>
      </c>
      <c r="AE421">
        <v>2.1160000000000001</v>
      </c>
      <c r="AF421">
        <v>2.2869999999999999</v>
      </c>
      <c r="AG421">
        <v>2.6779999999999999</v>
      </c>
      <c r="AH421">
        <v>3.0430000000000001</v>
      </c>
      <c r="AI421">
        <v>3.5259999999999998</v>
      </c>
      <c r="AJ421">
        <v>3.931</v>
      </c>
      <c r="AK421">
        <v>4.5309999999999997</v>
      </c>
      <c r="AL421">
        <v>5.383</v>
      </c>
      <c r="AM421">
        <v>5.984</v>
      </c>
      <c r="AN421">
        <v>5.7089999999999996</v>
      </c>
      <c r="AO421">
        <v>6.8019999999999996</v>
      </c>
      <c r="AP421">
        <v>7.008</v>
      </c>
      <c r="AQ421">
        <v>8.4890000000000008</v>
      </c>
      <c r="AR421">
        <v>9.6289999999999996</v>
      </c>
      <c r="AS421">
        <v>7.8739999999999997</v>
      </c>
      <c r="AT421">
        <v>8.7579999999999991</v>
      </c>
      <c r="AU421">
        <v>9.4130000000000003</v>
      </c>
      <c r="AV421">
        <v>10.021000000000001</v>
      </c>
      <c r="AW421">
        <v>10.542999999999999</v>
      </c>
      <c r="AX421">
        <v>11.318</v>
      </c>
      <c r="AY421">
        <v>2013</v>
      </c>
    </row>
    <row r="422" spans="1:51" x14ac:dyDescent="0.25">
      <c r="A422">
        <v>916</v>
      </c>
      <c r="B422" t="s">
        <v>558</v>
      </c>
      <c r="C422" t="s">
        <v>279</v>
      </c>
      <c r="D422" t="s">
        <v>129</v>
      </c>
      <c r="E422" t="s">
        <v>280</v>
      </c>
      <c r="F422" t="s">
        <v>281</v>
      </c>
      <c r="G422" t="s">
        <v>282</v>
      </c>
      <c r="H422" t="s">
        <v>283</v>
      </c>
      <c r="I422" t="s">
        <v>559</v>
      </c>
      <c r="J422" t="s">
        <v>285</v>
      </c>
      <c r="K422" t="s">
        <v>285</v>
      </c>
      <c r="L422" t="s">
        <v>285</v>
      </c>
      <c r="M422" t="s">
        <v>285</v>
      </c>
      <c r="N422" t="s">
        <v>285</v>
      </c>
      <c r="O422" t="s">
        <v>285</v>
      </c>
      <c r="P422" t="s">
        <v>285</v>
      </c>
      <c r="Q422" t="s">
        <v>285</v>
      </c>
      <c r="R422" t="s">
        <v>285</v>
      </c>
      <c r="S422" t="s">
        <v>285</v>
      </c>
      <c r="T422" t="s">
        <v>285</v>
      </c>
      <c r="U422" t="s">
        <v>285</v>
      </c>
      <c r="V422" s="21">
        <v>7899.7939999999999</v>
      </c>
      <c r="W422" s="21">
        <v>7173.0129999999999</v>
      </c>
      <c r="X422" s="21">
        <v>6270.665</v>
      </c>
      <c r="Y422" s="21">
        <v>5756.4709999999995</v>
      </c>
      <c r="Z422" s="21">
        <v>5785.2529999999997</v>
      </c>
      <c r="AA422" s="21">
        <v>5883.6030000000001</v>
      </c>
      <c r="AB422" s="21">
        <v>5771.8140000000003</v>
      </c>
      <c r="AC422" s="21">
        <v>5927.6530000000002</v>
      </c>
      <c r="AD422" s="21">
        <v>6508.5630000000001</v>
      </c>
      <c r="AE422" s="21">
        <v>7387.2190000000001</v>
      </c>
      <c r="AF422" s="21">
        <v>8111.1670000000004</v>
      </c>
      <c r="AG422" s="21">
        <v>8865.5049999999992</v>
      </c>
      <c r="AH422" s="21">
        <v>9716.5939999999991</v>
      </c>
      <c r="AI422" s="21">
        <v>10659.102999999999</v>
      </c>
      <c r="AJ422" s="21">
        <v>11799.627</v>
      </c>
      <c r="AK422" s="21">
        <v>12849.794</v>
      </c>
      <c r="AL422" s="21">
        <v>13273.837</v>
      </c>
      <c r="AM422" s="21">
        <v>13433.123</v>
      </c>
      <c r="AN422" s="21">
        <v>14413.741</v>
      </c>
      <c r="AO422" s="21">
        <v>15494.772000000001</v>
      </c>
      <c r="AP422" s="21">
        <v>16269.51</v>
      </c>
      <c r="AQ422" s="21">
        <v>17245.681</v>
      </c>
      <c r="AR422" s="21">
        <v>17987.244999999999</v>
      </c>
      <c r="AS422" s="21">
        <v>18257.307000000001</v>
      </c>
      <c r="AT422" s="21">
        <v>18687.253000000001</v>
      </c>
      <c r="AU422" s="21">
        <v>19397.052</v>
      </c>
      <c r="AV422" s="21">
        <v>20172.898000000001</v>
      </c>
      <c r="AW422" s="21">
        <v>21019.198</v>
      </c>
      <c r="AX422" s="21">
        <v>21967.74</v>
      </c>
      <c r="AY422">
        <v>2014</v>
      </c>
    </row>
    <row r="423" spans="1:51" x14ac:dyDescent="0.25">
      <c r="A423">
        <v>916</v>
      </c>
      <c r="B423" t="s">
        <v>558</v>
      </c>
      <c r="C423" t="s">
        <v>286</v>
      </c>
      <c r="D423" t="s">
        <v>129</v>
      </c>
      <c r="E423" t="s">
        <v>287</v>
      </c>
      <c r="F423" t="s">
        <v>288</v>
      </c>
      <c r="G423" t="s">
        <v>282</v>
      </c>
      <c r="H423" t="s">
        <v>283</v>
      </c>
      <c r="I423" t="s">
        <v>559</v>
      </c>
      <c r="J423" t="s">
        <v>285</v>
      </c>
      <c r="K423" t="s">
        <v>285</v>
      </c>
      <c r="L423" t="s">
        <v>285</v>
      </c>
      <c r="M423" t="s">
        <v>285</v>
      </c>
      <c r="N423" t="s">
        <v>285</v>
      </c>
      <c r="O423" t="s">
        <v>285</v>
      </c>
      <c r="P423" t="s">
        <v>285</v>
      </c>
      <c r="Q423" t="s">
        <v>285</v>
      </c>
      <c r="R423" t="s">
        <v>285</v>
      </c>
      <c r="S423" t="s">
        <v>285</v>
      </c>
      <c r="T423" t="s">
        <v>285</v>
      </c>
      <c r="U423" t="s">
        <v>285</v>
      </c>
      <c r="V423">
        <v>2.4350000000000001</v>
      </c>
      <c r="W423">
        <v>29.881</v>
      </c>
      <c r="X423">
        <v>423.46899999999999</v>
      </c>
      <c r="Y423" s="21">
        <v>1014.19</v>
      </c>
      <c r="Z423" s="21">
        <v>1415.75</v>
      </c>
      <c r="AA423" s="21">
        <v>1672.143</v>
      </c>
      <c r="AB423" s="21">
        <v>1733.2639999999999</v>
      </c>
      <c r="AC423" s="21">
        <v>2016.4559999999999</v>
      </c>
      <c r="AD423" s="21">
        <v>2599.902</v>
      </c>
      <c r="AE423" s="21">
        <v>3250.5929999999998</v>
      </c>
      <c r="AF423" s="21">
        <v>3776.277</v>
      </c>
      <c r="AG423" s="21">
        <v>4611.9750000000004</v>
      </c>
      <c r="AH423" s="21">
        <v>5870.134</v>
      </c>
      <c r="AI423" s="21">
        <v>7590.5940000000001</v>
      </c>
      <c r="AJ423" s="21">
        <v>10213.731</v>
      </c>
      <c r="AK423" s="21">
        <v>12849.794</v>
      </c>
      <c r="AL423" s="21">
        <v>16052.919</v>
      </c>
      <c r="AM423" s="21">
        <v>17007.647000000001</v>
      </c>
      <c r="AN423" s="21">
        <v>21815.517</v>
      </c>
      <c r="AO423" s="21">
        <v>27571.888999999999</v>
      </c>
      <c r="AP423" s="21">
        <v>30346.957999999999</v>
      </c>
      <c r="AQ423" s="21">
        <v>35275.152999999998</v>
      </c>
      <c r="AR423" s="21">
        <v>38711.904000000002</v>
      </c>
      <c r="AS423" s="21">
        <v>37663.08</v>
      </c>
      <c r="AT423" s="21">
        <v>41567.862000000001</v>
      </c>
      <c r="AU423" s="21">
        <v>46864.631999999998</v>
      </c>
      <c r="AV423" s="21">
        <v>52532.9</v>
      </c>
      <c r="AW423" s="21">
        <v>58337.38</v>
      </c>
      <c r="AX423" s="21">
        <v>64477.747000000003</v>
      </c>
      <c r="AY423">
        <v>2014</v>
      </c>
    </row>
    <row r="424" spans="1:51" x14ac:dyDescent="0.25">
      <c r="A424">
        <v>916</v>
      </c>
      <c r="B424" t="s">
        <v>558</v>
      </c>
      <c r="C424" t="s">
        <v>289</v>
      </c>
      <c r="D424" t="s">
        <v>129</v>
      </c>
      <c r="E424" t="s">
        <v>287</v>
      </c>
      <c r="F424" t="s">
        <v>290</v>
      </c>
      <c r="G424" t="s">
        <v>291</v>
      </c>
      <c r="H424" t="s">
        <v>283</v>
      </c>
      <c r="I424" t="s">
        <v>292</v>
      </c>
      <c r="J424" t="s">
        <v>285</v>
      </c>
      <c r="K424" t="s">
        <v>285</v>
      </c>
      <c r="L424" t="s">
        <v>285</v>
      </c>
      <c r="M424" t="s">
        <v>285</v>
      </c>
      <c r="N424" t="s">
        <v>285</v>
      </c>
      <c r="O424" t="s">
        <v>285</v>
      </c>
      <c r="P424" t="s">
        <v>285</v>
      </c>
      <c r="Q424" t="s">
        <v>285</v>
      </c>
      <c r="R424" t="s">
        <v>285</v>
      </c>
      <c r="S424" t="s">
        <v>285</v>
      </c>
      <c r="T424" t="s">
        <v>285</v>
      </c>
      <c r="U424" t="s">
        <v>285</v>
      </c>
      <c r="V424">
        <v>2.875</v>
      </c>
      <c r="W424">
        <v>5.1520000000000001</v>
      </c>
      <c r="X424">
        <v>11.648</v>
      </c>
      <c r="Y424">
        <v>16.594000000000001</v>
      </c>
      <c r="Z424">
        <v>20.893000000000001</v>
      </c>
      <c r="AA424">
        <v>22.13</v>
      </c>
      <c r="AB424">
        <v>21.623999999999999</v>
      </c>
      <c r="AC424">
        <v>16.87</v>
      </c>
      <c r="AD424">
        <v>18.292000000000002</v>
      </c>
      <c r="AE424">
        <v>22.152999999999999</v>
      </c>
      <c r="AF424">
        <v>24.637</v>
      </c>
      <c r="AG424">
        <v>30.834</v>
      </c>
      <c r="AH424">
        <v>43.152000000000001</v>
      </c>
      <c r="AI424">
        <v>57.125</v>
      </c>
      <c r="AJ424">
        <v>81.003</v>
      </c>
      <c r="AK424">
        <v>104.85</v>
      </c>
      <c r="AL424">
        <v>133.44200000000001</v>
      </c>
      <c r="AM424">
        <v>115.309</v>
      </c>
      <c r="AN424">
        <v>148.047</v>
      </c>
      <c r="AO424">
        <v>188.04900000000001</v>
      </c>
      <c r="AP424">
        <v>203.517</v>
      </c>
      <c r="AQ424">
        <v>231.876</v>
      </c>
      <c r="AR424">
        <v>216.036</v>
      </c>
      <c r="AS424">
        <v>195.005</v>
      </c>
      <c r="AT424">
        <v>173.19900000000001</v>
      </c>
      <c r="AU424">
        <v>195.26900000000001</v>
      </c>
      <c r="AV424">
        <v>218.887</v>
      </c>
      <c r="AW424">
        <v>243.072</v>
      </c>
      <c r="AX424">
        <v>268.65699999999998</v>
      </c>
      <c r="AY424">
        <v>2014</v>
      </c>
    </row>
    <row r="425" spans="1:51" x14ac:dyDescent="0.25">
      <c r="A425">
        <v>916</v>
      </c>
      <c r="B425" t="s">
        <v>558</v>
      </c>
      <c r="C425" t="s">
        <v>293</v>
      </c>
      <c r="D425" t="s">
        <v>129</v>
      </c>
      <c r="E425" t="s">
        <v>294</v>
      </c>
      <c r="F425" t="s">
        <v>295</v>
      </c>
      <c r="G425" t="s">
        <v>296</v>
      </c>
      <c r="I425" t="s">
        <v>297</v>
      </c>
      <c r="J425" t="s">
        <v>285</v>
      </c>
      <c r="K425" t="s">
        <v>285</v>
      </c>
      <c r="L425" t="s">
        <v>285</v>
      </c>
      <c r="M425" t="s">
        <v>285</v>
      </c>
      <c r="N425" t="s">
        <v>285</v>
      </c>
      <c r="O425" t="s">
        <v>285</v>
      </c>
      <c r="P425" t="s">
        <v>285</v>
      </c>
      <c r="Q425" t="s">
        <v>285</v>
      </c>
      <c r="R425" t="s">
        <v>285</v>
      </c>
      <c r="S425" t="s">
        <v>285</v>
      </c>
      <c r="T425" t="s">
        <v>285</v>
      </c>
      <c r="U425" t="s">
        <v>285</v>
      </c>
      <c r="V425">
        <v>3.1E-2</v>
      </c>
      <c r="W425">
        <v>0.41699999999999998</v>
      </c>
      <c r="X425">
        <v>6.7530000000000001</v>
      </c>
      <c r="Y425">
        <v>17.617999999999999</v>
      </c>
      <c r="Z425">
        <v>24.472000000000001</v>
      </c>
      <c r="AA425">
        <v>28.42</v>
      </c>
      <c r="AB425">
        <v>30.03</v>
      </c>
      <c r="AC425">
        <v>34.018000000000001</v>
      </c>
      <c r="AD425">
        <v>39.945999999999998</v>
      </c>
      <c r="AE425">
        <v>44.003</v>
      </c>
      <c r="AF425">
        <v>46.557000000000002</v>
      </c>
      <c r="AG425">
        <v>52.021999999999998</v>
      </c>
      <c r="AH425">
        <v>60.414000000000001</v>
      </c>
      <c r="AI425">
        <v>71.212000000000003</v>
      </c>
      <c r="AJ425">
        <v>86.56</v>
      </c>
      <c r="AK425">
        <v>100</v>
      </c>
      <c r="AL425">
        <v>120.937</v>
      </c>
      <c r="AM425">
        <v>126.61</v>
      </c>
      <c r="AN425">
        <v>151.352</v>
      </c>
      <c r="AO425">
        <v>177.94300000000001</v>
      </c>
      <c r="AP425">
        <v>186.52699999999999</v>
      </c>
      <c r="AQ425">
        <v>204.54499999999999</v>
      </c>
      <c r="AR425">
        <v>215.21899999999999</v>
      </c>
      <c r="AS425">
        <v>206.29</v>
      </c>
      <c r="AT425">
        <v>222.44</v>
      </c>
      <c r="AU425">
        <v>241.607</v>
      </c>
      <c r="AV425">
        <v>260.41300000000001</v>
      </c>
      <c r="AW425">
        <v>277.54300000000001</v>
      </c>
      <c r="AX425">
        <v>293.51100000000002</v>
      </c>
      <c r="AY425">
        <v>2014</v>
      </c>
    </row>
    <row r="426" spans="1:51" x14ac:dyDescent="0.25">
      <c r="A426">
        <v>916</v>
      </c>
      <c r="B426" t="s">
        <v>558</v>
      </c>
      <c r="C426" t="s">
        <v>298</v>
      </c>
      <c r="D426" t="s">
        <v>129</v>
      </c>
      <c r="E426" t="s">
        <v>299</v>
      </c>
      <c r="F426" t="s">
        <v>300</v>
      </c>
      <c r="G426" t="s">
        <v>282</v>
      </c>
      <c r="H426" t="s">
        <v>283</v>
      </c>
      <c r="I426" t="s">
        <v>560</v>
      </c>
      <c r="J426" t="s">
        <v>285</v>
      </c>
      <c r="K426" t="s">
        <v>285</v>
      </c>
      <c r="L426" t="s">
        <v>285</v>
      </c>
      <c r="M426" t="s">
        <v>285</v>
      </c>
      <c r="N426" t="s">
        <v>285</v>
      </c>
      <c r="O426" t="s">
        <v>285</v>
      </c>
      <c r="P426" t="s">
        <v>285</v>
      </c>
      <c r="Q426" t="s">
        <v>285</v>
      </c>
      <c r="R426" t="s">
        <v>285</v>
      </c>
      <c r="S426" t="s">
        <v>285</v>
      </c>
      <c r="T426" t="s">
        <v>285</v>
      </c>
      <c r="U426" t="s">
        <v>285</v>
      </c>
      <c r="V426" t="s">
        <v>285</v>
      </c>
      <c r="W426" t="s">
        <v>285</v>
      </c>
      <c r="X426" t="s">
        <v>285</v>
      </c>
      <c r="Y426" t="s">
        <v>285</v>
      </c>
      <c r="Z426" t="s">
        <v>285</v>
      </c>
      <c r="AA426" t="s">
        <v>285</v>
      </c>
      <c r="AB426" t="s">
        <v>285</v>
      </c>
      <c r="AC426" t="s">
        <v>285</v>
      </c>
      <c r="AD426" t="s">
        <v>285</v>
      </c>
      <c r="AE426" t="s">
        <v>285</v>
      </c>
      <c r="AF426">
        <v>775.16300000000001</v>
      </c>
      <c r="AG426">
        <v>984.89200000000005</v>
      </c>
      <c r="AH426" s="21">
        <v>1289.8219999999999</v>
      </c>
      <c r="AI426" s="21">
        <v>1679.883</v>
      </c>
      <c r="AJ426" s="21">
        <v>2022.2</v>
      </c>
      <c r="AK426" s="21">
        <v>3045.9520000000002</v>
      </c>
      <c r="AL426" s="21">
        <v>4345.2520000000004</v>
      </c>
      <c r="AM426" s="21">
        <v>3991.72</v>
      </c>
      <c r="AN426" s="21">
        <v>4902.6930000000002</v>
      </c>
      <c r="AO426" s="21">
        <v>5997.1059999999998</v>
      </c>
      <c r="AP426" s="21">
        <v>6796.0540000000001</v>
      </c>
      <c r="AQ426" s="21">
        <v>7130.9170000000004</v>
      </c>
      <c r="AR426" s="21">
        <v>8711.4539999999997</v>
      </c>
      <c r="AS426" s="21">
        <v>8875.634</v>
      </c>
      <c r="AT426" s="21">
        <v>9636.4889999999996</v>
      </c>
      <c r="AU426" s="21">
        <v>10536.763000000001</v>
      </c>
      <c r="AV426" s="21">
        <v>11459.28</v>
      </c>
      <c r="AW426" s="21">
        <v>12455.976000000001</v>
      </c>
      <c r="AX426" s="21">
        <v>13441.898999999999</v>
      </c>
      <c r="AY426">
        <v>2014</v>
      </c>
    </row>
    <row r="427" spans="1:51" x14ac:dyDescent="0.25">
      <c r="A427">
        <v>664</v>
      </c>
      <c r="B427" t="s">
        <v>561</v>
      </c>
      <c r="C427" t="s">
        <v>279</v>
      </c>
      <c r="D427" t="s">
        <v>130</v>
      </c>
      <c r="E427" t="s">
        <v>280</v>
      </c>
      <c r="F427" t="s">
        <v>281</v>
      </c>
      <c r="G427" t="s">
        <v>282</v>
      </c>
      <c r="H427" t="s">
        <v>283</v>
      </c>
      <c r="I427" t="s">
        <v>562</v>
      </c>
      <c r="J427" s="21">
        <v>1131.7639999999999</v>
      </c>
      <c r="K427" s="21">
        <v>1178.1659999999999</v>
      </c>
      <c r="L427" s="21">
        <v>1237.691</v>
      </c>
      <c r="M427" s="21">
        <v>1257.4079999999999</v>
      </c>
      <c r="N427" s="21">
        <v>1277.528</v>
      </c>
      <c r="O427" s="21">
        <v>1329.5609999999999</v>
      </c>
      <c r="P427" s="21">
        <v>1422.3920000000001</v>
      </c>
      <c r="Q427" s="21">
        <v>1505.0429999999999</v>
      </c>
      <c r="R427" s="21">
        <v>1596.713</v>
      </c>
      <c r="S427" s="21">
        <v>1669.43</v>
      </c>
      <c r="T427" s="21">
        <v>1738.4390000000001</v>
      </c>
      <c r="U427" s="21">
        <v>1761.722</v>
      </c>
      <c r="V427" s="21">
        <v>1742.692</v>
      </c>
      <c r="W427" s="21">
        <v>1741.0409999999999</v>
      </c>
      <c r="X427" s="21">
        <v>1785.11</v>
      </c>
      <c r="Y427" s="21">
        <v>1861.635</v>
      </c>
      <c r="Z427" s="21">
        <v>1938.855</v>
      </c>
      <c r="AA427" s="21">
        <v>1946.825</v>
      </c>
      <c r="AB427" s="21">
        <v>2004.8910000000001</v>
      </c>
      <c r="AC427" s="21">
        <v>2048.9839999999999</v>
      </c>
      <c r="AD427" s="21">
        <v>2056.0929999999998</v>
      </c>
      <c r="AE427" s="21">
        <v>2137.902</v>
      </c>
      <c r="AF427" s="21">
        <v>2148.1950000000002</v>
      </c>
      <c r="AG427" s="21">
        <v>2211.5439999999999</v>
      </c>
      <c r="AH427" s="21">
        <v>2314.0509999999999</v>
      </c>
      <c r="AI427" s="21">
        <v>2445.134</v>
      </c>
      <c r="AJ427" s="21">
        <v>2588.279</v>
      </c>
      <c r="AK427" s="21">
        <v>2765.596</v>
      </c>
      <c r="AL427" s="21">
        <v>2772.0189999999998</v>
      </c>
      <c r="AM427" s="21">
        <v>2863.6880000000001</v>
      </c>
      <c r="AN427" s="21">
        <v>3104.3029999999999</v>
      </c>
      <c r="AO427" s="21">
        <v>3294.0259999999998</v>
      </c>
      <c r="AP427" s="21">
        <v>3444.0659999999998</v>
      </c>
      <c r="AQ427" s="21">
        <v>3639.9389999999999</v>
      </c>
      <c r="AR427" s="21">
        <v>3833.877</v>
      </c>
      <c r="AS427" s="21">
        <v>4083.0790000000002</v>
      </c>
      <c r="AT427" s="21">
        <v>4360.7280000000001</v>
      </c>
      <c r="AU427" s="21">
        <v>4665.9790000000003</v>
      </c>
      <c r="AV427" s="21">
        <v>4992.6009999999997</v>
      </c>
      <c r="AW427" s="21">
        <v>5341.1350000000002</v>
      </c>
      <c r="AX427" s="21">
        <v>5708.4290000000001</v>
      </c>
      <c r="AY427">
        <v>2014</v>
      </c>
    </row>
    <row r="428" spans="1:51" x14ac:dyDescent="0.25">
      <c r="A428">
        <v>664</v>
      </c>
      <c r="B428" t="s">
        <v>561</v>
      </c>
      <c r="C428" t="s">
        <v>286</v>
      </c>
      <c r="D428" t="s">
        <v>130</v>
      </c>
      <c r="E428" t="s">
        <v>287</v>
      </c>
      <c r="F428" t="s">
        <v>288</v>
      </c>
      <c r="G428" t="s">
        <v>282</v>
      </c>
      <c r="H428" t="s">
        <v>283</v>
      </c>
      <c r="I428" t="s">
        <v>562</v>
      </c>
      <c r="J428">
        <v>74.94</v>
      </c>
      <c r="K428">
        <v>86.061000000000007</v>
      </c>
      <c r="L428">
        <v>100.03400000000001</v>
      </c>
      <c r="M428">
        <v>112.748</v>
      </c>
      <c r="N428">
        <v>126.675</v>
      </c>
      <c r="O428">
        <v>143.715</v>
      </c>
      <c r="P428">
        <v>168.542</v>
      </c>
      <c r="Q428">
        <v>187.369</v>
      </c>
      <c r="R428">
        <v>209.58799999999999</v>
      </c>
      <c r="S428">
        <v>241.12700000000001</v>
      </c>
      <c r="T428">
        <v>278.50200000000001</v>
      </c>
      <c r="U428">
        <v>316.35199999999998</v>
      </c>
      <c r="V428">
        <v>364.41500000000002</v>
      </c>
      <c r="W428">
        <v>456.43400000000003</v>
      </c>
      <c r="X428">
        <v>528.10599999999999</v>
      </c>
      <c r="Y428">
        <v>614.26700000000005</v>
      </c>
      <c r="Z428">
        <v>774.78800000000001</v>
      </c>
      <c r="AA428">
        <v>866.47799999999995</v>
      </c>
      <c r="AB428">
        <v>950.11900000000003</v>
      </c>
      <c r="AC428" s="21">
        <v>1009.409</v>
      </c>
      <c r="AD428" s="21">
        <v>1076.846</v>
      </c>
      <c r="AE428" s="21">
        <v>1142.0219999999999</v>
      </c>
      <c r="AF428" s="21">
        <v>1162.623</v>
      </c>
      <c r="AG428" s="21">
        <v>1275.433</v>
      </c>
      <c r="AH428" s="21">
        <v>1430.193</v>
      </c>
      <c r="AI428" s="21">
        <v>1586.739</v>
      </c>
      <c r="AJ428" s="21">
        <v>1862.0409999999999</v>
      </c>
      <c r="AK428" s="21">
        <v>2151.3490000000002</v>
      </c>
      <c r="AL428" s="21">
        <v>2483.058</v>
      </c>
      <c r="AM428" s="21">
        <v>2863.6880000000001</v>
      </c>
      <c r="AN428" s="21">
        <v>3169.3009999999999</v>
      </c>
      <c r="AO428" s="21">
        <v>3725.9180000000001</v>
      </c>
      <c r="AP428" s="21">
        <v>4261.1509999999998</v>
      </c>
      <c r="AQ428" s="21">
        <v>4730.8010000000004</v>
      </c>
      <c r="AR428" s="21">
        <v>5357.6719999999996</v>
      </c>
      <c r="AS428" s="21">
        <v>6088.2169999999996</v>
      </c>
      <c r="AT428" s="21">
        <v>6914.7889999999998</v>
      </c>
      <c r="AU428" s="21">
        <v>7865.1840000000002</v>
      </c>
      <c r="AV428" s="21">
        <v>8915.7270000000008</v>
      </c>
      <c r="AW428" s="21">
        <v>10063.23</v>
      </c>
      <c r="AX428" s="21">
        <v>11330.189</v>
      </c>
      <c r="AY428">
        <v>2014</v>
      </c>
    </row>
    <row r="429" spans="1:51" x14ac:dyDescent="0.25">
      <c r="A429">
        <v>664</v>
      </c>
      <c r="B429" t="s">
        <v>561</v>
      </c>
      <c r="C429" t="s">
        <v>289</v>
      </c>
      <c r="D429" t="s">
        <v>130</v>
      </c>
      <c r="E429" t="s">
        <v>287</v>
      </c>
      <c r="F429" t="s">
        <v>290</v>
      </c>
      <c r="G429" t="s">
        <v>291</v>
      </c>
      <c r="H429" t="s">
        <v>283</v>
      </c>
      <c r="I429" t="s">
        <v>292</v>
      </c>
      <c r="J429">
        <v>10.099</v>
      </c>
      <c r="K429">
        <v>9.5129999999999999</v>
      </c>
      <c r="L429">
        <v>9.1590000000000007</v>
      </c>
      <c r="M429">
        <v>8.4700000000000006</v>
      </c>
      <c r="N429">
        <v>8.7880000000000003</v>
      </c>
      <c r="O429">
        <v>8.7460000000000004</v>
      </c>
      <c r="P429">
        <v>10.387</v>
      </c>
      <c r="Q429">
        <v>11.387</v>
      </c>
      <c r="R429">
        <v>11.805999999999999</v>
      </c>
      <c r="S429">
        <v>11.705</v>
      </c>
      <c r="T429">
        <v>12.18</v>
      </c>
      <c r="U429">
        <v>11.500999999999999</v>
      </c>
      <c r="V429">
        <v>11.327</v>
      </c>
      <c r="W429">
        <v>7.8689999999999998</v>
      </c>
      <c r="X429">
        <v>9.4220000000000006</v>
      </c>
      <c r="Y429">
        <v>11.944000000000001</v>
      </c>
      <c r="Z429">
        <v>13.565</v>
      </c>
      <c r="AA429">
        <v>13.742000000000001</v>
      </c>
      <c r="AB429">
        <v>15.726000000000001</v>
      </c>
      <c r="AC429">
        <v>14.353</v>
      </c>
      <c r="AD429">
        <v>14.135999999999999</v>
      </c>
      <c r="AE429">
        <v>14.531000000000001</v>
      </c>
      <c r="AF429">
        <v>14.763999999999999</v>
      </c>
      <c r="AG429">
        <v>16.795999999999999</v>
      </c>
      <c r="AH429">
        <v>18.064</v>
      </c>
      <c r="AI429">
        <v>21.001000000000001</v>
      </c>
      <c r="AJ429">
        <v>25.826000000000001</v>
      </c>
      <c r="AK429">
        <v>31.957999999999998</v>
      </c>
      <c r="AL429">
        <v>35.895000000000003</v>
      </c>
      <c r="AM429">
        <v>37.021999999999998</v>
      </c>
      <c r="AN429">
        <v>40</v>
      </c>
      <c r="AO429">
        <v>41.953000000000003</v>
      </c>
      <c r="AP429">
        <v>50.41</v>
      </c>
      <c r="AQ429">
        <v>54.930999999999997</v>
      </c>
      <c r="AR429">
        <v>60.936999999999998</v>
      </c>
      <c r="AS429">
        <v>63.121000000000002</v>
      </c>
      <c r="AT429">
        <v>68.866</v>
      </c>
      <c r="AU429">
        <v>76.757999999999996</v>
      </c>
      <c r="AV429">
        <v>85.263000000000005</v>
      </c>
      <c r="AW429">
        <v>94.302999999999997</v>
      </c>
      <c r="AX429">
        <v>104.04300000000001</v>
      </c>
      <c r="AY429">
        <v>2014</v>
      </c>
    </row>
    <row r="430" spans="1:51" x14ac:dyDescent="0.25">
      <c r="A430">
        <v>664</v>
      </c>
      <c r="B430" t="s">
        <v>561</v>
      </c>
      <c r="C430" t="s">
        <v>293</v>
      </c>
      <c r="D430" t="s">
        <v>130</v>
      </c>
      <c r="E430" t="s">
        <v>294</v>
      </c>
      <c r="F430" t="s">
        <v>295</v>
      </c>
      <c r="G430" t="s">
        <v>296</v>
      </c>
      <c r="I430" t="s">
        <v>297</v>
      </c>
      <c r="J430">
        <v>6.6219999999999999</v>
      </c>
      <c r="K430">
        <v>7.3049999999999997</v>
      </c>
      <c r="L430">
        <v>8.0820000000000007</v>
      </c>
      <c r="M430">
        <v>8.9670000000000005</v>
      </c>
      <c r="N430">
        <v>9.9160000000000004</v>
      </c>
      <c r="O430">
        <v>10.808999999999999</v>
      </c>
      <c r="P430">
        <v>11.849</v>
      </c>
      <c r="Q430">
        <v>12.449</v>
      </c>
      <c r="R430">
        <v>13.125999999999999</v>
      </c>
      <c r="S430">
        <v>14.444000000000001</v>
      </c>
      <c r="T430">
        <v>16.02</v>
      </c>
      <c r="U430">
        <v>17.957000000000001</v>
      </c>
      <c r="V430">
        <v>20.911000000000001</v>
      </c>
      <c r="W430">
        <v>26.216000000000001</v>
      </c>
      <c r="X430">
        <v>29.584</v>
      </c>
      <c r="Y430">
        <v>32.996000000000002</v>
      </c>
      <c r="Z430">
        <v>39.960999999999999</v>
      </c>
      <c r="AA430">
        <v>44.506999999999998</v>
      </c>
      <c r="AB430">
        <v>47.39</v>
      </c>
      <c r="AC430">
        <v>49.264000000000003</v>
      </c>
      <c r="AD430">
        <v>52.372999999999998</v>
      </c>
      <c r="AE430">
        <v>53.417999999999999</v>
      </c>
      <c r="AF430">
        <v>54.121000000000002</v>
      </c>
      <c r="AG430">
        <v>57.671999999999997</v>
      </c>
      <c r="AH430">
        <v>61.805</v>
      </c>
      <c r="AI430">
        <v>64.894000000000005</v>
      </c>
      <c r="AJ430">
        <v>71.941000000000003</v>
      </c>
      <c r="AK430">
        <v>77.790000000000006</v>
      </c>
      <c r="AL430">
        <v>89.575999999999993</v>
      </c>
      <c r="AM430">
        <v>100</v>
      </c>
      <c r="AN430">
        <v>102.09399999999999</v>
      </c>
      <c r="AO430">
        <v>113.111</v>
      </c>
      <c r="AP430">
        <v>123.724</v>
      </c>
      <c r="AQ430">
        <v>129.96899999999999</v>
      </c>
      <c r="AR430">
        <v>139.74600000000001</v>
      </c>
      <c r="AS430">
        <v>149.108</v>
      </c>
      <c r="AT430">
        <v>158.57</v>
      </c>
      <c r="AU430">
        <v>168.56399999999999</v>
      </c>
      <c r="AV430">
        <v>178.57900000000001</v>
      </c>
      <c r="AW430">
        <v>188.41</v>
      </c>
      <c r="AX430">
        <v>198.482</v>
      </c>
      <c r="AY430">
        <v>2014</v>
      </c>
    </row>
    <row r="431" spans="1:51" x14ac:dyDescent="0.25">
      <c r="A431">
        <v>664</v>
      </c>
      <c r="B431" t="s">
        <v>561</v>
      </c>
      <c r="C431" t="s">
        <v>298</v>
      </c>
      <c r="D431" t="s">
        <v>130</v>
      </c>
      <c r="E431" t="s">
        <v>299</v>
      </c>
      <c r="F431" t="s">
        <v>300</v>
      </c>
      <c r="G431" t="s">
        <v>282</v>
      </c>
      <c r="H431" t="s">
        <v>283</v>
      </c>
      <c r="I431" t="s">
        <v>563</v>
      </c>
      <c r="J431" t="s">
        <v>285</v>
      </c>
      <c r="K431" t="s">
        <v>285</v>
      </c>
      <c r="L431">
        <v>21.722000000000001</v>
      </c>
      <c r="M431">
        <v>22.131</v>
      </c>
      <c r="N431">
        <v>25.283999999999999</v>
      </c>
      <c r="O431">
        <v>30.064</v>
      </c>
      <c r="P431">
        <v>34.595999999999997</v>
      </c>
      <c r="Q431">
        <v>38.912999999999997</v>
      </c>
      <c r="R431">
        <v>44.819000000000003</v>
      </c>
      <c r="S431">
        <v>52.786000000000001</v>
      </c>
      <c r="T431">
        <v>64.221000000000004</v>
      </c>
      <c r="U431">
        <v>69.783000000000001</v>
      </c>
      <c r="V431">
        <v>86.078999999999994</v>
      </c>
      <c r="W431">
        <v>115.905</v>
      </c>
      <c r="X431">
        <v>133.214</v>
      </c>
      <c r="Y431">
        <v>142.846</v>
      </c>
      <c r="Z431">
        <v>158.553</v>
      </c>
      <c r="AA431">
        <v>180.92400000000001</v>
      </c>
      <c r="AB431">
        <v>195.751</v>
      </c>
      <c r="AC431">
        <v>188.35</v>
      </c>
      <c r="AD431">
        <v>203.95400000000001</v>
      </c>
      <c r="AE431">
        <v>227.89099999999999</v>
      </c>
      <c r="AF431">
        <v>245.69800000000001</v>
      </c>
      <c r="AG431">
        <v>269.17399999999998</v>
      </c>
      <c r="AH431">
        <v>288.45800000000003</v>
      </c>
      <c r="AI431">
        <v>342.30799999999999</v>
      </c>
      <c r="AJ431">
        <v>399.93</v>
      </c>
      <c r="AK431">
        <v>475.34500000000003</v>
      </c>
      <c r="AL431">
        <v>566.78099999999995</v>
      </c>
      <c r="AM431">
        <v>662.49</v>
      </c>
      <c r="AN431">
        <v>767.35900000000004</v>
      </c>
      <c r="AO431">
        <v>878.27700000000004</v>
      </c>
      <c r="AP431" s="21">
        <v>1030.232</v>
      </c>
      <c r="AQ431" s="21">
        <v>1205.0730000000001</v>
      </c>
      <c r="AR431" s="21">
        <v>1444.269</v>
      </c>
      <c r="AS431" s="21">
        <v>1737.6469999999999</v>
      </c>
      <c r="AT431" s="21">
        <v>1983.6130000000001</v>
      </c>
      <c r="AU431" s="21">
        <v>2176.7440000000001</v>
      </c>
      <c r="AV431" s="21">
        <v>2405.9340000000002</v>
      </c>
      <c r="AW431" s="21">
        <v>2675.69</v>
      </c>
      <c r="AX431" s="21">
        <v>2957.42</v>
      </c>
      <c r="AY431">
        <v>2014</v>
      </c>
    </row>
    <row r="432" spans="1:51" x14ac:dyDescent="0.25">
      <c r="A432">
        <v>826</v>
      </c>
      <c r="B432" t="s">
        <v>564</v>
      </c>
      <c r="C432" t="s">
        <v>279</v>
      </c>
      <c r="D432" t="s">
        <v>131</v>
      </c>
      <c r="E432" t="s">
        <v>280</v>
      </c>
      <c r="F432" t="s">
        <v>281</v>
      </c>
      <c r="G432" t="s">
        <v>282</v>
      </c>
      <c r="H432" t="s">
        <v>283</v>
      </c>
      <c r="I432" t="s">
        <v>565</v>
      </c>
      <c r="J432">
        <v>0.11799999999999999</v>
      </c>
      <c r="K432">
        <v>0.114</v>
      </c>
      <c r="L432">
        <v>0.122</v>
      </c>
      <c r="M432">
        <v>0.121</v>
      </c>
      <c r="N432">
        <v>0.127</v>
      </c>
      <c r="O432">
        <v>0.11799999999999999</v>
      </c>
      <c r="P432">
        <v>0.11700000000000001</v>
      </c>
      <c r="Q432">
        <v>0.106</v>
      </c>
      <c r="R432">
        <v>0.11600000000000001</v>
      </c>
      <c r="S432">
        <v>0.113</v>
      </c>
      <c r="T432">
        <v>0.11799999999999999</v>
      </c>
      <c r="U432">
        <v>0.115</v>
      </c>
      <c r="V432">
        <v>0.115</v>
      </c>
      <c r="W432">
        <v>0.11600000000000001</v>
      </c>
      <c r="X432">
        <v>0.11700000000000001</v>
      </c>
      <c r="Y432">
        <v>0.11600000000000001</v>
      </c>
      <c r="Z432">
        <v>0.12</v>
      </c>
      <c r="AA432">
        <v>0.123</v>
      </c>
      <c r="AB432">
        <v>0.13200000000000001</v>
      </c>
      <c r="AC432">
        <v>0.128</v>
      </c>
      <c r="AD432">
        <v>0.13500000000000001</v>
      </c>
      <c r="AE432">
        <v>0.13600000000000001</v>
      </c>
      <c r="AF432">
        <v>0.13600000000000001</v>
      </c>
      <c r="AG432">
        <v>0.14199999999999999</v>
      </c>
      <c r="AH432">
        <v>0.14000000000000001</v>
      </c>
      <c r="AI432">
        <v>0.14599999999999999</v>
      </c>
      <c r="AJ432">
        <v>0.14399999999999999</v>
      </c>
      <c r="AK432">
        <v>0.14699999999999999</v>
      </c>
      <c r="AL432">
        <v>0.14599999999999999</v>
      </c>
      <c r="AM432">
        <v>0.14699999999999999</v>
      </c>
      <c r="AN432">
        <v>0.14499999999999999</v>
      </c>
      <c r="AO432">
        <v>0.14499999999999999</v>
      </c>
      <c r="AP432">
        <v>0.15</v>
      </c>
      <c r="AQ432">
        <v>0.153</v>
      </c>
      <c r="AR432">
        <v>0.159</v>
      </c>
      <c r="AS432">
        <v>0.16400000000000001</v>
      </c>
      <c r="AT432">
        <v>0.16700000000000001</v>
      </c>
      <c r="AU432">
        <v>0.17100000000000001</v>
      </c>
      <c r="AV432">
        <v>0.17399999999999999</v>
      </c>
      <c r="AW432">
        <v>0.17699999999999999</v>
      </c>
      <c r="AX432">
        <v>0.17899999999999999</v>
      </c>
      <c r="AY432">
        <v>2013</v>
      </c>
    </row>
    <row r="433" spans="1:51" x14ac:dyDescent="0.25">
      <c r="A433">
        <v>826</v>
      </c>
      <c r="B433" t="s">
        <v>564</v>
      </c>
      <c r="C433" t="s">
        <v>286</v>
      </c>
      <c r="D433" t="s">
        <v>131</v>
      </c>
      <c r="E433" t="s">
        <v>287</v>
      </c>
      <c r="F433" t="s">
        <v>288</v>
      </c>
      <c r="G433" t="s">
        <v>282</v>
      </c>
      <c r="H433" t="s">
        <v>283</v>
      </c>
      <c r="I433" t="s">
        <v>565</v>
      </c>
      <c r="J433">
        <v>3.5999999999999997E-2</v>
      </c>
      <c r="K433">
        <v>3.6999999999999998E-2</v>
      </c>
      <c r="L433">
        <v>4.2000000000000003E-2</v>
      </c>
      <c r="M433">
        <v>4.3999999999999997E-2</v>
      </c>
      <c r="N433">
        <v>4.9000000000000002E-2</v>
      </c>
      <c r="O433">
        <v>4.8000000000000001E-2</v>
      </c>
      <c r="P433">
        <v>0.05</v>
      </c>
      <c r="Q433">
        <v>0.05</v>
      </c>
      <c r="R433">
        <v>5.7000000000000002E-2</v>
      </c>
      <c r="S433">
        <v>5.3999999999999999E-2</v>
      </c>
      <c r="T433">
        <v>5.2999999999999999E-2</v>
      </c>
      <c r="U433">
        <v>6.3E-2</v>
      </c>
      <c r="V433">
        <v>6.8000000000000005E-2</v>
      </c>
      <c r="W433">
        <v>7.1999999999999995E-2</v>
      </c>
      <c r="X433">
        <v>7.8E-2</v>
      </c>
      <c r="Y433">
        <v>7.8E-2</v>
      </c>
      <c r="Z433">
        <v>8.7999999999999995E-2</v>
      </c>
      <c r="AA433">
        <v>9.4E-2</v>
      </c>
      <c r="AB433">
        <v>0.108</v>
      </c>
      <c r="AC433">
        <v>0.111</v>
      </c>
      <c r="AD433">
        <v>0.121</v>
      </c>
      <c r="AE433">
        <v>0.126</v>
      </c>
      <c r="AF433">
        <v>0.13600000000000001</v>
      </c>
      <c r="AG433">
        <v>0.14499999999999999</v>
      </c>
      <c r="AH433">
        <v>0.13900000000000001</v>
      </c>
      <c r="AI433">
        <v>0.14699999999999999</v>
      </c>
      <c r="AJ433">
        <v>0.14399999999999999</v>
      </c>
      <c r="AK433">
        <v>0.156</v>
      </c>
      <c r="AL433">
        <v>0.16700000000000001</v>
      </c>
      <c r="AM433">
        <v>0.16900000000000001</v>
      </c>
      <c r="AN433">
        <v>0.17</v>
      </c>
      <c r="AO433">
        <v>0.17399999999999999</v>
      </c>
      <c r="AP433">
        <v>0.18099999999999999</v>
      </c>
      <c r="AQ433">
        <v>0.187</v>
      </c>
      <c r="AR433">
        <v>0.2</v>
      </c>
      <c r="AS433">
        <v>0.20899999999999999</v>
      </c>
      <c r="AT433">
        <v>0.214</v>
      </c>
      <c r="AU433">
        <v>0.22</v>
      </c>
      <c r="AV433">
        <v>0.22700000000000001</v>
      </c>
      <c r="AW433">
        <v>0.23400000000000001</v>
      </c>
      <c r="AX433">
        <v>0.24299999999999999</v>
      </c>
      <c r="AY433">
        <v>2013</v>
      </c>
    </row>
    <row r="434" spans="1:51" x14ac:dyDescent="0.25">
      <c r="A434">
        <v>826</v>
      </c>
      <c r="B434" t="s">
        <v>564</v>
      </c>
      <c r="C434" t="s">
        <v>289</v>
      </c>
      <c r="D434" t="s">
        <v>131</v>
      </c>
      <c r="E434" t="s">
        <v>287</v>
      </c>
      <c r="F434" t="s">
        <v>290</v>
      </c>
      <c r="G434" t="s">
        <v>291</v>
      </c>
      <c r="H434" t="s">
        <v>283</v>
      </c>
      <c r="I434" t="s">
        <v>292</v>
      </c>
      <c r="J434">
        <v>4.1000000000000002E-2</v>
      </c>
      <c r="K434">
        <v>4.2999999999999997E-2</v>
      </c>
      <c r="L434">
        <v>4.2000000000000003E-2</v>
      </c>
      <c r="M434">
        <v>0.04</v>
      </c>
      <c r="N434">
        <v>4.2999999999999997E-2</v>
      </c>
      <c r="O434">
        <v>3.3000000000000002E-2</v>
      </c>
      <c r="P434">
        <v>3.4000000000000002E-2</v>
      </c>
      <c r="Q434">
        <v>7.0999999999999994E-2</v>
      </c>
      <c r="R434">
        <v>4.4999999999999998E-2</v>
      </c>
      <c r="S434">
        <v>4.2999999999999997E-2</v>
      </c>
      <c r="T434">
        <v>4.1000000000000002E-2</v>
      </c>
      <c r="U434">
        <v>4.9000000000000002E-2</v>
      </c>
      <c r="V434">
        <v>0.05</v>
      </c>
      <c r="W434">
        <v>4.9000000000000002E-2</v>
      </c>
      <c r="X434">
        <v>5.7000000000000002E-2</v>
      </c>
      <c r="Y434">
        <v>5.8000000000000003E-2</v>
      </c>
      <c r="Z434">
        <v>6.9000000000000006E-2</v>
      </c>
      <c r="AA434">
        <v>7.0000000000000007E-2</v>
      </c>
      <c r="AB434">
        <v>6.8000000000000005E-2</v>
      </c>
      <c r="AC434">
        <v>7.1999999999999995E-2</v>
      </c>
      <c r="AD434">
        <v>7.0000000000000007E-2</v>
      </c>
      <c r="AE434">
        <v>6.5000000000000002E-2</v>
      </c>
      <c r="AF434">
        <v>7.3999999999999996E-2</v>
      </c>
      <c r="AG434">
        <v>9.4E-2</v>
      </c>
      <c r="AH434">
        <v>0.10199999999999999</v>
      </c>
      <c r="AI434">
        <v>0.112</v>
      </c>
      <c r="AJ434">
        <v>0.109</v>
      </c>
      <c r="AK434">
        <v>0.13100000000000001</v>
      </c>
      <c r="AL434">
        <v>0.14000000000000001</v>
      </c>
      <c r="AM434">
        <v>0.13200000000000001</v>
      </c>
      <c r="AN434">
        <v>0.156</v>
      </c>
      <c r="AO434">
        <v>0.18</v>
      </c>
      <c r="AP434">
        <v>0.188</v>
      </c>
      <c r="AQ434">
        <v>0.18099999999999999</v>
      </c>
      <c r="AR434">
        <v>0.18099999999999999</v>
      </c>
      <c r="AS434">
        <v>0.16400000000000001</v>
      </c>
      <c r="AT434">
        <v>0.16600000000000001</v>
      </c>
      <c r="AU434">
        <v>0.16900000000000001</v>
      </c>
      <c r="AV434">
        <v>0.17299999999999999</v>
      </c>
      <c r="AW434">
        <v>0.17499999999999999</v>
      </c>
      <c r="AX434">
        <v>0.18</v>
      </c>
      <c r="AY434">
        <v>2013</v>
      </c>
    </row>
    <row r="435" spans="1:51" x14ac:dyDescent="0.25">
      <c r="A435">
        <v>826</v>
      </c>
      <c r="B435" t="s">
        <v>564</v>
      </c>
      <c r="C435" t="s">
        <v>293</v>
      </c>
      <c r="D435" t="s">
        <v>131</v>
      </c>
      <c r="E435" t="s">
        <v>294</v>
      </c>
      <c r="F435" t="s">
        <v>295</v>
      </c>
      <c r="G435" t="s">
        <v>296</v>
      </c>
      <c r="I435" t="s">
        <v>297</v>
      </c>
      <c r="J435">
        <v>30.138000000000002</v>
      </c>
      <c r="K435">
        <v>32.459000000000003</v>
      </c>
      <c r="L435">
        <v>34.244</v>
      </c>
      <c r="M435">
        <v>36.252000000000002</v>
      </c>
      <c r="N435">
        <v>38.29</v>
      </c>
      <c r="O435">
        <v>40.142000000000003</v>
      </c>
      <c r="P435">
        <v>42.765999999999998</v>
      </c>
      <c r="Q435">
        <v>46.584000000000003</v>
      </c>
      <c r="R435">
        <v>49.283999999999999</v>
      </c>
      <c r="S435">
        <v>47.834000000000003</v>
      </c>
      <c r="T435">
        <v>44.734000000000002</v>
      </c>
      <c r="U435">
        <v>54.829000000000001</v>
      </c>
      <c r="V435">
        <v>58.921999999999997</v>
      </c>
      <c r="W435">
        <v>61.895000000000003</v>
      </c>
      <c r="X435">
        <v>66.203999999999994</v>
      </c>
      <c r="Y435">
        <v>67.123000000000005</v>
      </c>
      <c r="Z435">
        <v>73.727000000000004</v>
      </c>
      <c r="AA435">
        <v>76.355999999999995</v>
      </c>
      <c r="AB435">
        <v>82.114000000000004</v>
      </c>
      <c r="AC435">
        <v>86.63</v>
      </c>
      <c r="AD435">
        <v>89.37</v>
      </c>
      <c r="AE435">
        <v>92.846000000000004</v>
      </c>
      <c r="AF435">
        <v>99.597999999999999</v>
      </c>
      <c r="AG435">
        <v>102.3</v>
      </c>
      <c r="AH435">
        <v>99.738</v>
      </c>
      <c r="AI435">
        <v>100.254</v>
      </c>
      <c r="AJ435">
        <v>100</v>
      </c>
      <c r="AK435">
        <v>106.029</v>
      </c>
      <c r="AL435">
        <v>114.429</v>
      </c>
      <c r="AM435">
        <v>115.03700000000001</v>
      </c>
      <c r="AN435">
        <v>116.72799999999999</v>
      </c>
      <c r="AO435">
        <v>120.056</v>
      </c>
      <c r="AP435">
        <v>121.133</v>
      </c>
      <c r="AQ435">
        <v>121.922</v>
      </c>
      <c r="AR435">
        <v>125.72</v>
      </c>
      <c r="AS435">
        <v>127.48099999999999</v>
      </c>
      <c r="AT435">
        <v>127.863</v>
      </c>
      <c r="AU435">
        <v>128.822</v>
      </c>
      <c r="AV435">
        <v>130.36799999999999</v>
      </c>
      <c r="AW435">
        <v>132.51900000000001</v>
      </c>
      <c r="AX435">
        <v>135.30199999999999</v>
      </c>
      <c r="AY435">
        <v>2013</v>
      </c>
    </row>
    <row r="436" spans="1:51" x14ac:dyDescent="0.25">
      <c r="A436">
        <v>826</v>
      </c>
      <c r="B436" t="s">
        <v>564</v>
      </c>
      <c r="C436" t="s">
        <v>298</v>
      </c>
      <c r="D436" t="s">
        <v>131</v>
      </c>
      <c r="E436" t="s">
        <v>299</v>
      </c>
      <c r="F436" t="s">
        <v>300</v>
      </c>
      <c r="G436" t="s">
        <v>282</v>
      </c>
      <c r="H436" t="s">
        <v>283</v>
      </c>
      <c r="I436" t="s">
        <v>566</v>
      </c>
      <c r="J436" t="s">
        <v>285</v>
      </c>
      <c r="K436" t="s">
        <v>285</v>
      </c>
      <c r="L436" t="s">
        <v>285</v>
      </c>
      <c r="M436" t="s">
        <v>285</v>
      </c>
      <c r="N436" t="s">
        <v>285</v>
      </c>
      <c r="O436" t="s">
        <v>285</v>
      </c>
      <c r="P436" t="s">
        <v>285</v>
      </c>
      <c r="Q436" t="s">
        <v>285</v>
      </c>
      <c r="R436" t="s">
        <v>285</v>
      </c>
      <c r="S436" t="s">
        <v>285</v>
      </c>
      <c r="T436">
        <v>4.9000000000000002E-2</v>
      </c>
      <c r="U436">
        <v>4.2999999999999997E-2</v>
      </c>
      <c r="V436">
        <v>5.5E-2</v>
      </c>
      <c r="W436">
        <v>4.8000000000000001E-2</v>
      </c>
      <c r="X436">
        <v>0.05</v>
      </c>
      <c r="Y436">
        <v>6.4000000000000001E-2</v>
      </c>
      <c r="Z436">
        <v>7.0999999999999994E-2</v>
      </c>
      <c r="AA436">
        <v>7.6999999999999999E-2</v>
      </c>
      <c r="AB436">
        <v>8.8999999999999996E-2</v>
      </c>
      <c r="AC436">
        <v>9.2999999999999999E-2</v>
      </c>
      <c r="AD436">
        <v>8.5000000000000006E-2</v>
      </c>
      <c r="AE436">
        <v>0.127</v>
      </c>
      <c r="AF436">
        <v>0.13300000000000001</v>
      </c>
      <c r="AG436">
        <v>0.125</v>
      </c>
      <c r="AH436">
        <v>0.14699999999999999</v>
      </c>
      <c r="AI436">
        <v>0.14299999999999999</v>
      </c>
      <c r="AJ436">
        <v>0.123</v>
      </c>
      <c r="AK436">
        <v>0.128</v>
      </c>
      <c r="AL436">
        <v>0.14000000000000001</v>
      </c>
      <c r="AM436">
        <v>0.13500000000000001</v>
      </c>
      <c r="AN436">
        <v>0.14000000000000001</v>
      </c>
      <c r="AO436">
        <v>0.14199999999999999</v>
      </c>
      <c r="AP436">
        <v>0.16800000000000001</v>
      </c>
      <c r="AQ436">
        <v>0.159</v>
      </c>
      <c r="AR436">
        <v>0.215</v>
      </c>
      <c r="AS436">
        <v>0.223</v>
      </c>
      <c r="AT436">
        <v>0.218</v>
      </c>
      <c r="AU436">
        <v>0.214</v>
      </c>
      <c r="AV436">
        <v>0.21</v>
      </c>
      <c r="AW436">
        <v>0.19</v>
      </c>
      <c r="AX436">
        <v>0.191</v>
      </c>
      <c r="AY436">
        <v>2013</v>
      </c>
    </row>
    <row r="437" spans="1:51" x14ac:dyDescent="0.25">
      <c r="A437">
        <v>542</v>
      </c>
      <c r="B437" t="s">
        <v>567</v>
      </c>
      <c r="C437" t="s">
        <v>279</v>
      </c>
      <c r="D437" t="s">
        <v>1125</v>
      </c>
      <c r="E437" t="s">
        <v>280</v>
      </c>
      <c r="F437" t="s">
        <v>281</v>
      </c>
      <c r="G437" t="s">
        <v>282</v>
      </c>
      <c r="H437" t="s">
        <v>283</v>
      </c>
      <c r="I437" t="s">
        <v>569</v>
      </c>
      <c r="J437" s="21">
        <v>163065</v>
      </c>
      <c r="K437" s="21">
        <v>174773.9</v>
      </c>
      <c r="L437" s="21">
        <v>189219.1</v>
      </c>
      <c r="M437" s="21">
        <v>214275.5</v>
      </c>
      <c r="N437" s="21">
        <v>236652</v>
      </c>
      <c r="O437" s="21">
        <v>254991.8</v>
      </c>
      <c r="P437" s="21">
        <v>283612.3</v>
      </c>
      <c r="Q437" s="21">
        <v>318971</v>
      </c>
      <c r="R437" s="21">
        <v>356943.6</v>
      </c>
      <c r="S437" s="21">
        <v>382035.6</v>
      </c>
      <c r="T437" s="21">
        <v>419518</v>
      </c>
      <c r="U437" s="21">
        <v>462954.8</v>
      </c>
      <c r="V437" s="21">
        <v>491544.4</v>
      </c>
      <c r="W437" s="21">
        <v>525199.5</v>
      </c>
      <c r="X437" s="21">
        <v>573550</v>
      </c>
      <c r="Y437" s="21">
        <v>628442.1</v>
      </c>
      <c r="Z437" s="21">
        <v>676169.3</v>
      </c>
      <c r="AA437" s="21">
        <v>716213.2</v>
      </c>
      <c r="AB437" s="21">
        <v>677027.8</v>
      </c>
      <c r="AC437" s="21">
        <v>753590.2</v>
      </c>
      <c r="AD437" s="21">
        <v>820843.7</v>
      </c>
      <c r="AE437" s="21">
        <v>857989.5</v>
      </c>
      <c r="AF437" s="21">
        <v>921759</v>
      </c>
      <c r="AG437" s="21">
        <v>948796.1</v>
      </c>
      <c r="AH437" s="21">
        <v>995285.7</v>
      </c>
      <c r="AI437" s="21">
        <v>1034337.6</v>
      </c>
      <c r="AJ437" s="21">
        <v>1087876.3</v>
      </c>
      <c r="AK437" s="21">
        <v>1147311.3999999999</v>
      </c>
      <c r="AL437" s="21">
        <v>1179771.3</v>
      </c>
      <c r="AM437" s="21">
        <v>1188118.3999999999</v>
      </c>
      <c r="AN437" s="21">
        <v>1265308</v>
      </c>
      <c r="AO437" s="21">
        <v>1311892.7</v>
      </c>
      <c r="AP437" s="21">
        <v>1341966.3999999999</v>
      </c>
      <c r="AQ437" s="21">
        <v>1380832.7</v>
      </c>
      <c r="AR437" s="21">
        <v>1426540.3</v>
      </c>
      <c r="AS437" s="21">
        <v>1464505.32</v>
      </c>
      <c r="AT437" s="21">
        <v>1510756.898</v>
      </c>
      <c r="AU437" s="21">
        <v>1565050.355</v>
      </c>
      <c r="AV437" s="21">
        <v>1620998.7109999999</v>
      </c>
      <c r="AW437" s="21">
        <v>1679072.2490000001</v>
      </c>
      <c r="AX437" s="21">
        <v>1739014.8319999999</v>
      </c>
      <c r="AY437">
        <v>2014</v>
      </c>
    </row>
    <row r="438" spans="1:51" x14ac:dyDescent="0.25">
      <c r="A438">
        <v>542</v>
      </c>
      <c r="B438" t="s">
        <v>567</v>
      </c>
      <c r="C438" t="s">
        <v>286</v>
      </c>
      <c r="D438" t="s">
        <v>1125</v>
      </c>
      <c r="E438" t="s">
        <v>287</v>
      </c>
      <c r="F438" t="s">
        <v>288</v>
      </c>
      <c r="G438" t="s">
        <v>282</v>
      </c>
      <c r="H438" t="s">
        <v>283</v>
      </c>
      <c r="I438" t="s">
        <v>569</v>
      </c>
      <c r="J438" s="21">
        <v>39471.4</v>
      </c>
      <c r="K438" s="21">
        <v>49324</v>
      </c>
      <c r="L438" s="21">
        <v>56858.6</v>
      </c>
      <c r="M438" s="21">
        <v>67509.3</v>
      </c>
      <c r="N438" s="21">
        <v>77855.600000000006</v>
      </c>
      <c r="O438" s="21">
        <v>87239.6</v>
      </c>
      <c r="P438" s="21">
        <v>101840.2</v>
      </c>
      <c r="Q438" s="21">
        <v>120204.9</v>
      </c>
      <c r="R438" s="21">
        <v>144073.4</v>
      </c>
      <c r="S438" s="21">
        <v>163518.1</v>
      </c>
      <c r="T438" s="21">
        <v>197712.3</v>
      </c>
      <c r="U438" s="21">
        <v>238877.2</v>
      </c>
      <c r="V438" s="21">
        <v>273267.40000000002</v>
      </c>
      <c r="W438" s="21">
        <v>310073.7</v>
      </c>
      <c r="X438" s="21">
        <v>366054.2</v>
      </c>
      <c r="Y438" s="21">
        <v>428927.2</v>
      </c>
      <c r="Z438" s="21">
        <v>481140.8</v>
      </c>
      <c r="AA438" s="21">
        <v>530347.1</v>
      </c>
      <c r="AB438" s="21">
        <v>524476.69999999995</v>
      </c>
      <c r="AC438" s="21">
        <v>576872.80000000005</v>
      </c>
      <c r="AD438" s="21">
        <v>635184.5</v>
      </c>
      <c r="AE438" s="21">
        <v>688164.8</v>
      </c>
      <c r="AF438" s="21">
        <v>761938.9</v>
      </c>
      <c r="AG438" s="21">
        <v>810915.4</v>
      </c>
      <c r="AH438" s="21">
        <v>876033.1</v>
      </c>
      <c r="AI438" s="21">
        <v>919797.3</v>
      </c>
      <c r="AJ438" s="21">
        <v>966054.6</v>
      </c>
      <c r="AK438" s="21">
        <v>1043257.8</v>
      </c>
      <c r="AL438" s="21">
        <v>1104492.2</v>
      </c>
      <c r="AM438" s="21">
        <v>1151707.8</v>
      </c>
      <c r="AN438" s="21">
        <v>1265308</v>
      </c>
      <c r="AO438" s="21">
        <v>1332681</v>
      </c>
      <c r="AP438" s="21">
        <v>1377456.6</v>
      </c>
      <c r="AQ438" s="21">
        <v>1429445.4</v>
      </c>
      <c r="AR438" s="21">
        <v>1485078</v>
      </c>
      <c r="AS438" s="21">
        <v>1561136.2390000001</v>
      </c>
      <c r="AT438" s="21">
        <v>1650893.2930000001</v>
      </c>
      <c r="AU438" s="21">
        <v>1736527.679</v>
      </c>
      <c r="AV438" s="21">
        <v>1828836.074</v>
      </c>
      <c r="AW438" s="21">
        <v>1936426.317</v>
      </c>
      <c r="AX438" s="21">
        <v>2052720.5220000001</v>
      </c>
      <c r="AY438">
        <v>2014</v>
      </c>
    </row>
    <row r="439" spans="1:51" x14ac:dyDescent="0.25">
      <c r="A439">
        <v>542</v>
      </c>
      <c r="B439" t="s">
        <v>567</v>
      </c>
      <c r="C439" t="s">
        <v>289</v>
      </c>
      <c r="D439" t="s">
        <v>1125</v>
      </c>
      <c r="E439" t="s">
        <v>287</v>
      </c>
      <c r="F439" t="s">
        <v>290</v>
      </c>
      <c r="G439" t="s">
        <v>291</v>
      </c>
      <c r="H439" t="s">
        <v>283</v>
      </c>
      <c r="I439" t="s">
        <v>292</v>
      </c>
      <c r="J439">
        <v>65.221999999999994</v>
      </c>
      <c r="K439">
        <v>72.426000000000002</v>
      </c>
      <c r="L439">
        <v>77.768000000000001</v>
      </c>
      <c r="M439">
        <v>87.027000000000001</v>
      </c>
      <c r="N439">
        <v>96.596000000000004</v>
      </c>
      <c r="O439">
        <v>100.288</v>
      </c>
      <c r="P439">
        <v>115.53700000000001</v>
      </c>
      <c r="Q439">
        <v>146.13200000000001</v>
      </c>
      <c r="R439">
        <v>196.97200000000001</v>
      </c>
      <c r="S439">
        <v>243.50800000000001</v>
      </c>
      <c r="T439">
        <v>279.21499999999997</v>
      </c>
      <c r="U439">
        <v>325.71300000000002</v>
      </c>
      <c r="V439">
        <v>350.07799999999997</v>
      </c>
      <c r="W439">
        <v>386.29199999999997</v>
      </c>
      <c r="X439">
        <v>455.64499999999998</v>
      </c>
      <c r="Y439">
        <v>556.44899999999996</v>
      </c>
      <c r="Z439">
        <v>598.06299999999999</v>
      </c>
      <c r="AA439">
        <v>557.54700000000003</v>
      </c>
      <c r="AB439">
        <v>374.14</v>
      </c>
      <c r="AC439">
        <v>485.25700000000001</v>
      </c>
      <c r="AD439">
        <v>561.59500000000003</v>
      </c>
      <c r="AE439">
        <v>533.18799999999999</v>
      </c>
      <c r="AF439">
        <v>609.01700000000005</v>
      </c>
      <c r="AG439">
        <v>680.58100000000002</v>
      </c>
      <c r="AH439">
        <v>764.89200000000005</v>
      </c>
      <c r="AI439">
        <v>898.13699999999994</v>
      </c>
      <c r="AJ439" s="21">
        <v>1012.044</v>
      </c>
      <c r="AK439" s="21">
        <v>1122.6790000000001</v>
      </c>
      <c r="AL439" s="21">
        <v>1002.2190000000001</v>
      </c>
      <c r="AM439">
        <v>901.93499999999995</v>
      </c>
      <c r="AN439" s="21">
        <v>1094.499</v>
      </c>
      <c r="AO439" s="21">
        <v>1202.4639999999999</v>
      </c>
      <c r="AP439" s="21">
        <v>1222.807</v>
      </c>
      <c r="AQ439" s="21">
        <v>1305.605</v>
      </c>
      <c r="AR439" s="21">
        <v>1410.383</v>
      </c>
      <c r="AS439" s="21">
        <v>1392.952</v>
      </c>
      <c r="AT439" s="21">
        <v>1450.05</v>
      </c>
      <c r="AU439" s="21">
        <v>1545.81</v>
      </c>
      <c r="AV439" s="21">
        <v>1649.0809999999999</v>
      </c>
      <c r="AW439" s="21">
        <v>1763.3589999999999</v>
      </c>
      <c r="AX439" s="21">
        <v>1898.7629999999999</v>
      </c>
      <c r="AY439">
        <v>2014</v>
      </c>
    </row>
    <row r="440" spans="1:51" x14ac:dyDescent="0.25">
      <c r="A440">
        <v>542</v>
      </c>
      <c r="B440" t="s">
        <v>567</v>
      </c>
      <c r="C440" t="s">
        <v>293</v>
      </c>
      <c r="D440" t="s">
        <v>1125</v>
      </c>
      <c r="E440" t="s">
        <v>294</v>
      </c>
      <c r="F440" t="s">
        <v>295</v>
      </c>
      <c r="G440" t="s">
        <v>296</v>
      </c>
      <c r="I440" t="s">
        <v>297</v>
      </c>
      <c r="J440">
        <v>24.206</v>
      </c>
      <c r="K440">
        <v>28.222000000000001</v>
      </c>
      <c r="L440">
        <v>30.048999999999999</v>
      </c>
      <c r="M440">
        <v>31.506</v>
      </c>
      <c r="N440">
        <v>32.899000000000001</v>
      </c>
      <c r="O440">
        <v>34.213000000000001</v>
      </c>
      <c r="P440">
        <v>35.908000000000001</v>
      </c>
      <c r="Q440">
        <v>37.685000000000002</v>
      </c>
      <c r="R440">
        <v>40.363</v>
      </c>
      <c r="S440">
        <v>42.802</v>
      </c>
      <c r="T440">
        <v>47.128</v>
      </c>
      <c r="U440">
        <v>51.597999999999999</v>
      </c>
      <c r="V440">
        <v>55.594000000000001</v>
      </c>
      <c r="W440">
        <v>59.039000000000001</v>
      </c>
      <c r="X440">
        <v>63.823</v>
      </c>
      <c r="Y440">
        <v>68.251999999999995</v>
      </c>
      <c r="Z440">
        <v>71.156999999999996</v>
      </c>
      <c r="AA440">
        <v>74.049000000000007</v>
      </c>
      <c r="AB440">
        <v>77.468000000000004</v>
      </c>
      <c r="AC440">
        <v>76.55</v>
      </c>
      <c r="AD440">
        <v>77.382000000000005</v>
      </c>
      <c r="AE440">
        <v>80.206999999999994</v>
      </c>
      <c r="AF440">
        <v>82.661000000000001</v>
      </c>
      <c r="AG440">
        <v>85.468000000000004</v>
      </c>
      <c r="AH440">
        <v>88.018000000000001</v>
      </c>
      <c r="AI440">
        <v>88.926000000000002</v>
      </c>
      <c r="AJ440">
        <v>88.802000000000007</v>
      </c>
      <c r="AK440">
        <v>90.930999999999997</v>
      </c>
      <c r="AL440">
        <v>93.619</v>
      </c>
      <c r="AM440">
        <v>96.935000000000002</v>
      </c>
      <c r="AN440">
        <v>100</v>
      </c>
      <c r="AO440">
        <v>101.58499999999999</v>
      </c>
      <c r="AP440">
        <v>102.645</v>
      </c>
      <c r="AQ440">
        <v>103.521</v>
      </c>
      <c r="AR440">
        <v>104.10299999999999</v>
      </c>
      <c r="AS440">
        <v>106.598</v>
      </c>
      <c r="AT440">
        <v>109.276</v>
      </c>
      <c r="AU440">
        <v>110.95699999999999</v>
      </c>
      <c r="AV440">
        <v>112.822</v>
      </c>
      <c r="AW440">
        <v>115.327</v>
      </c>
      <c r="AX440">
        <v>118.039</v>
      </c>
      <c r="AY440">
        <v>2014</v>
      </c>
    </row>
    <row r="441" spans="1:51" x14ac:dyDescent="0.25">
      <c r="A441">
        <v>542</v>
      </c>
      <c r="B441" t="s">
        <v>567</v>
      </c>
      <c r="C441" t="s">
        <v>298</v>
      </c>
      <c r="D441" t="s">
        <v>1125</v>
      </c>
      <c r="E441" t="s">
        <v>299</v>
      </c>
      <c r="F441" t="s">
        <v>300</v>
      </c>
      <c r="G441" t="s">
        <v>282</v>
      </c>
      <c r="H441" t="s">
        <v>283</v>
      </c>
      <c r="I441" t="s">
        <v>570</v>
      </c>
      <c r="J441" t="s">
        <v>285</v>
      </c>
      <c r="K441" t="s">
        <v>285</v>
      </c>
      <c r="L441" t="s">
        <v>285</v>
      </c>
      <c r="M441" t="s">
        <v>285</v>
      </c>
      <c r="N441" t="s">
        <v>285</v>
      </c>
      <c r="O441" t="s">
        <v>285</v>
      </c>
      <c r="P441" t="s">
        <v>285</v>
      </c>
      <c r="Q441" t="s">
        <v>285</v>
      </c>
      <c r="R441" t="s">
        <v>285</v>
      </c>
      <c r="S441" t="s">
        <v>285</v>
      </c>
      <c r="T441" t="s">
        <v>285</v>
      </c>
      <c r="U441" t="s">
        <v>285</v>
      </c>
      <c r="V441" t="s">
        <v>285</v>
      </c>
      <c r="W441" t="s">
        <v>285</v>
      </c>
      <c r="X441" t="s">
        <v>285</v>
      </c>
      <c r="Y441" s="21">
        <v>61095</v>
      </c>
      <c r="Z441" s="21">
        <v>71299</v>
      </c>
      <c r="AA441" s="21">
        <v>77765</v>
      </c>
      <c r="AB441" s="21">
        <v>89276.570999999996</v>
      </c>
      <c r="AC441" s="21">
        <v>98984.558000000005</v>
      </c>
      <c r="AD441" s="21">
        <v>108258.65300000001</v>
      </c>
      <c r="AE441" s="21">
        <v>124132.679</v>
      </c>
      <c r="AF441" s="21">
        <v>129187.041</v>
      </c>
      <c r="AG441" s="21">
        <v>155120.50599999999</v>
      </c>
      <c r="AH441" s="21">
        <v>174436.552</v>
      </c>
      <c r="AI441" s="21">
        <v>180663.1</v>
      </c>
      <c r="AJ441" s="21">
        <v>195700.8</v>
      </c>
      <c r="AK441" s="21">
        <v>213396.122</v>
      </c>
      <c r="AL441" s="21">
        <v>229789.55900000001</v>
      </c>
      <c r="AM441" s="21">
        <v>245273.34700000001</v>
      </c>
      <c r="AN441" s="21">
        <v>246379.731</v>
      </c>
      <c r="AO441" s="21">
        <v>264870.52899999998</v>
      </c>
      <c r="AP441" s="21">
        <v>283219</v>
      </c>
      <c r="AQ441" s="21">
        <v>298734</v>
      </c>
      <c r="AR441" s="21">
        <v>296319.93400000001</v>
      </c>
      <c r="AS441" s="21">
        <v>324006.913</v>
      </c>
      <c r="AT441" s="21">
        <v>322346.50799999997</v>
      </c>
      <c r="AU441" s="21">
        <v>335843.65399999998</v>
      </c>
      <c r="AV441" s="21">
        <v>350337.61800000002</v>
      </c>
      <c r="AW441" s="21">
        <v>365692.88099999999</v>
      </c>
      <c r="AX441" s="21">
        <v>382169.57500000001</v>
      </c>
      <c r="AY441">
        <v>2014</v>
      </c>
    </row>
    <row r="442" spans="1:51" x14ac:dyDescent="0.25">
      <c r="A442">
        <v>967</v>
      </c>
      <c r="B442" t="s">
        <v>571</v>
      </c>
      <c r="C442" t="s">
        <v>279</v>
      </c>
      <c r="D442" t="s">
        <v>572</v>
      </c>
      <c r="E442" t="s">
        <v>280</v>
      </c>
      <c r="F442" t="s">
        <v>281</v>
      </c>
      <c r="G442" t="s">
        <v>282</v>
      </c>
      <c r="H442" t="s">
        <v>283</v>
      </c>
      <c r="I442" t="s">
        <v>573</v>
      </c>
      <c r="J442" t="s">
        <v>285</v>
      </c>
      <c r="K442" t="s">
        <v>285</v>
      </c>
      <c r="L442" t="s">
        <v>285</v>
      </c>
      <c r="M442" t="s">
        <v>285</v>
      </c>
      <c r="N442" t="s">
        <v>285</v>
      </c>
      <c r="O442" t="s">
        <v>285</v>
      </c>
      <c r="P442" t="s">
        <v>285</v>
      </c>
      <c r="Q442" t="s">
        <v>285</v>
      </c>
      <c r="R442" t="s">
        <v>285</v>
      </c>
      <c r="S442" t="s">
        <v>285</v>
      </c>
      <c r="T442" t="s">
        <v>285</v>
      </c>
      <c r="U442" t="s">
        <v>285</v>
      </c>
      <c r="V442" t="s">
        <v>285</v>
      </c>
      <c r="W442" t="s">
        <v>285</v>
      </c>
      <c r="X442" t="s">
        <v>285</v>
      </c>
      <c r="Y442" t="s">
        <v>285</v>
      </c>
      <c r="Z442" t="s">
        <v>285</v>
      </c>
      <c r="AA442" t="s">
        <v>285</v>
      </c>
      <c r="AB442" t="s">
        <v>285</v>
      </c>
      <c r="AC442" t="s">
        <v>285</v>
      </c>
      <c r="AD442">
        <v>3.2690000000000001</v>
      </c>
      <c r="AE442">
        <v>3.4369999999999998</v>
      </c>
      <c r="AF442">
        <v>3.4119999999999999</v>
      </c>
      <c r="AG442">
        <v>3.597</v>
      </c>
      <c r="AH442">
        <v>3.6909999999999998</v>
      </c>
      <c r="AI442">
        <v>3.8340000000000001</v>
      </c>
      <c r="AJ442">
        <v>3.964</v>
      </c>
      <c r="AK442">
        <v>4.2930000000000001</v>
      </c>
      <c r="AL442">
        <v>4.4859999999999998</v>
      </c>
      <c r="AM442">
        <v>4.6470000000000002</v>
      </c>
      <c r="AN442">
        <v>4.8010000000000002</v>
      </c>
      <c r="AO442">
        <v>5.0110000000000001</v>
      </c>
      <c r="AP442">
        <v>5.1520000000000001</v>
      </c>
      <c r="AQ442">
        <v>5.327</v>
      </c>
      <c r="AR442">
        <v>5.4729999999999999</v>
      </c>
      <c r="AS442">
        <v>5.6479999999999997</v>
      </c>
      <c r="AT442">
        <v>5.8630000000000004</v>
      </c>
      <c r="AU442">
        <v>6.1029999999999998</v>
      </c>
      <c r="AV442">
        <v>6.3529999999999998</v>
      </c>
      <c r="AW442">
        <v>6.6139999999999999</v>
      </c>
      <c r="AX442">
        <v>6.8849999999999998</v>
      </c>
      <c r="AY442">
        <v>2013</v>
      </c>
    </row>
    <row r="443" spans="1:51" x14ac:dyDescent="0.25">
      <c r="A443">
        <v>967</v>
      </c>
      <c r="B443" t="s">
        <v>571</v>
      </c>
      <c r="C443" t="s">
        <v>286</v>
      </c>
      <c r="D443" t="s">
        <v>572</v>
      </c>
      <c r="E443" t="s">
        <v>287</v>
      </c>
      <c r="F443" t="s">
        <v>288</v>
      </c>
      <c r="G443" t="s">
        <v>282</v>
      </c>
      <c r="H443" t="s">
        <v>283</v>
      </c>
      <c r="I443" t="s">
        <v>573</v>
      </c>
      <c r="J443" t="s">
        <v>285</v>
      </c>
      <c r="K443" t="s">
        <v>285</v>
      </c>
      <c r="L443" t="s">
        <v>285</v>
      </c>
      <c r="M443" t="s">
        <v>285</v>
      </c>
      <c r="N443" t="s">
        <v>285</v>
      </c>
      <c r="O443" t="s">
        <v>285</v>
      </c>
      <c r="P443" t="s">
        <v>285</v>
      </c>
      <c r="Q443" t="s">
        <v>285</v>
      </c>
      <c r="R443" t="s">
        <v>285</v>
      </c>
      <c r="S443" t="s">
        <v>285</v>
      </c>
      <c r="T443" t="s">
        <v>285</v>
      </c>
      <c r="U443" t="s">
        <v>285</v>
      </c>
      <c r="V443" t="s">
        <v>285</v>
      </c>
      <c r="W443" t="s">
        <v>285</v>
      </c>
      <c r="X443" t="s">
        <v>285</v>
      </c>
      <c r="Y443" t="s">
        <v>285</v>
      </c>
      <c r="Z443" t="s">
        <v>285</v>
      </c>
      <c r="AA443" t="s">
        <v>285</v>
      </c>
      <c r="AB443" t="s">
        <v>285</v>
      </c>
      <c r="AC443" t="s">
        <v>285</v>
      </c>
      <c r="AD443">
        <v>2.4169999999999998</v>
      </c>
      <c r="AE443">
        <v>2.831</v>
      </c>
      <c r="AF443">
        <v>2.8620000000000001</v>
      </c>
      <c r="AG443">
        <v>2.9670000000000001</v>
      </c>
      <c r="AH443">
        <v>2.9119999999999999</v>
      </c>
      <c r="AI443">
        <v>3.0030000000000001</v>
      </c>
      <c r="AJ443">
        <v>3.12</v>
      </c>
      <c r="AK443">
        <v>3.4609999999999999</v>
      </c>
      <c r="AL443">
        <v>3.883</v>
      </c>
      <c r="AM443">
        <v>4.07</v>
      </c>
      <c r="AN443">
        <v>4.4020000000000001</v>
      </c>
      <c r="AO443">
        <v>4.8150000000000004</v>
      </c>
      <c r="AP443">
        <v>5.0590000000000002</v>
      </c>
      <c r="AQ443">
        <v>5.327</v>
      </c>
      <c r="AR443">
        <v>5.5060000000000002</v>
      </c>
      <c r="AS443">
        <v>5.6550000000000002</v>
      </c>
      <c r="AT443">
        <v>5.8890000000000002</v>
      </c>
      <c r="AU443">
        <v>6.2380000000000004</v>
      </c>
      <c r="AV443">
        <v>6.6180000000000003</v>
      </c>
      <c r="AW443">
        <v>7.03</v>
      </c>
      <c r="AX443">
        <v>7.4640000000000004</v>
      </c>
      <c r="AY443">
        <v>2013</v>
      </c>
    </row>
    <row r="444" spans="1:51" x14ac:dyDescent="0.25">
      <c r="A444">
        <v>967</v>
      </c>
      <c r="B444" t="s">
        <v>571</v>
      </c>
      <c r="C444" t="s">
        <v>289</v>
      </c>
      <c r="D444" t="s">
        <v>572</v>
      </c>
      <c r="E444" t="s">
        <v>287</v>
      </c>
      <c r="F444" t="s">
        <v>290</v>
      </c>
      <c r="G444" t="s">
        <v>291</v>
      </c>
      <c r="H444" t="s">
        <v>283</v>
      </c>
      <c r="I444" t="s">
        <v>292</v>
      </c>
      <c r="J444" t="s">
        <v>285</v>
      </c>
      <c r="K444" t="s">
        <v>285</v>
      </c>
      <c r="L444" t="s">
        <v>285</v>
      </c>
      <c r="M444" t="s">
        <v>285</v>
      </c>
      <c r="N444" t="s">
        <v>285</v>
      </c>
      <c r="O444" t="s">
        <v>285</v>
      </c>
      <c r="P444" t="s">
        <v>285</v>
      </c>
      <c r="Q444" t="s">
        <v>285</v>
      </c>
      <c r="R444" t="s">
        <v>285</v>
      </c>
      <c r="S444" t="s">
        <v>285</v>
      </c>
      <c r="T444" t="s">
        <v>285</v>
      </c>
      <c r="U444" t="s">
        <v>285</v>
      </c>
      <c r="V444" t="s">
        <v>285</v>
      </c>
      <c r="W444" t="s">
        <v>285</v>
      </c>
      <c r="X444" t="s">
        <v>285</v>
      </c>
      <c r="Y444" t="s">
        <v>285</v>
      </c>
      <c r="Z444" t="s">
        <v>285</v>
      </c>
      <c r="AA444" t="s">
        <v>285</v>
      </c>
      <c r="AB444" t="s">
        <v>285</v>
      </c>
      <c r="AC444" t="s">
        <v>285</v>
      </c>
      <c r="AD444">
        <v>2.234</v>
      </c>
      <c r="AE444">
        <v>2.5350000000000001</v>
      </c>
      <c r="AF444">
        <v>2.7029999999999998</v>
      </c>
      <c r="AG444">
        <v>3.355</v>
      </c>
      <c r="AH444">
        <v>3.62</v>
      </c>
      <c r="AI444">
        <v>3.7410000000000001</v>
      </c>
      <c r="AJ444">
        <v>3.9180000000000001</v>
      </c>
      <c r="AK444">
        <v>4.7430000000000003</v>
      </c>
      <c r="AL444">
        <v>5.7140000000000004</v>
      </c>
      <c r="AM444">
        <v>5.6680000000000001</v>
      </c>
      <c r="AN444">
        <v>5.8410000000000002</v>
      </c>
      <c r="AO444">
        <v>6.6989999999999998</v>
      </c>
      <c r="AP444">
        <v>6.5030000000000001</v>
      </c>
      <c r="AQ444">
        <v>7.0750000000000002</v>
      </c>
      <c r="AR444">
        <v>7.319</v>
      </c>
      <c r="AS444">
        <v>6.3090000000000002</v>
      </c>
      <c r="AT444">
        <v>6.6040000000000001</v>
      </c>
      <c r="AU444">
        <v>7.0789999999999997</v>
      </c>
      <c r="AV444">
        <v>7.5970000000000004</v>
      </c>
      <c r="AW444">
        <v>8.16</v>
      </c>
      <c r="AX444">
        <v>8.7970000000000006</v>
      </c>
      <c r="AY444">
        <v>2013</v>
      </c>
    </row>
    <row r="445" spans="1:51" x14ac:dyDescent="0.25">
      <c r="A445">
        <v>967</v>
      </c>
      <c r="B445" t="s">
        <v>571</v>
      </c>
      <c r="C445" t="s">
        <v>293</v>
      </c>
      <c r="D445" t="s">
        <v>572</v>
      </c>
      <c r="E445" t="s">
        <v>294</v>
      </c>
      <c r="F445" t="s">
        <v>295</v>
      </c>
      <c r="G445" t="s">
        <v>296</v>
      </c>
      <c r="I445" t="s">
        <v>297</v>
      </c>
      <c r="J445" t="s">
        <v>285</v>
      </c>
      <c r="K445" t="s">
        <v>285</v>
      </c>
      <c r="L445" t="s">
        <v>285</v>
      </c>
      <c r="M445" t="s">
        <v>285</v>
      </c>
      <c r="N445" t="s">
        <v>285</v>
      </c>
      <c r="O445" t="s">
        <v>285</v>
      </c>
      <c r="P445" t="s">
        <v>285</v>
      </c>
      <c r="Q445" t="s">
        <v>285</v>
      </c>
      <c r="R445" t="s">
        <v>285</v>
      </c>
      <c r="S445" t="s">
        <v>285</v>
      </c>
      <c r="T445" t="s">
        <v>285</v>
      </c>
      <c r="U445" t="s">
        <v>285</v>
      </c>
      <c r="V445" t="s">
        <v>285</v>
      </c>
      <c r="W445" t="s">
        <v>285</v>
      </c>
      <c r="X445" t="s">
        <v>285</v>
      </c>
      <c r="Y445" t="s">
        <v>285</v>
      </c>
      <c r="Z445" t="s">
        <v>285</v>
      </c>
      <c r="AA445" t="s">
        <v>285</v>
      </c>
      <c r="AB445" t="s">
        <v>285</v>
      </c>
      <c r="AC445" t="s">
        <v>285</v>
      </c>
      <c r="AD445">
        <v>73.94</v>
      </c>
      <c r="AE445">
        <v>82.369</v>
      </c>
      <c r="AF445">
        <v>83.856999999999999</v>
      </c>
      <c r="AG445">
        <v>82.472999999999999</v>
      </c>
      <c r="AH445">
        <v>78.882000000000005</v>
      </c>
      <c r="AI445">
        <v>78.326999999999998</v>
      </c>
      <c r="AJ445">
        <v>78.713999999999999</v>
      </c>
      <c r="AK445">
        <v>80.608000000000004</v>
      </c>
      <c r="AL445">
        <v>86.552999999999997</v>
      </c>
      <c r="AM445">
        <v>87.569000000000003</v>
      </c>
      <c r="AN445">
        <v>91.686999999999998</v>
      </c>
      <c r="AO445">
        <v>96.075000000000003</v>
      </c>
      <c r="AP445">
        <v>98.188000000000002</v>
      </c>
      <c r="AQ445">
        <v>100</v>
      </c>
      <c r="AR445">
        <v>100.61</v>
      </c>
      <c r="AS445">
        <v>100.11499999999999</v>
      </c>
      <c r="AT445">
        <v>100.45399999999999</v>
      </c>
      <c r="AU445">
        <v>102.20699999999999</v>
      </c>
      <c r="AV445">
        <v>104.15900000000001</v>
      </c>
      <c r="AW445">
        <v>106.29300000000001</v>
      </c>
      <c r="AX445">
        <v>108.411</v>
      </c>
      <c r="AY445">
        <v>2013</v>
      </c>
    </row>
    <row r="446" spans="1:51" x14ac:dyDescent="0.25">
      <c r="A446">
        <v>967</v>
      </c>
      <c r="B446" t="s">
        <v>571</v>
      </c>
      <c r="C446" t="s">
        <v>298</v>
      </c>
      <c r="D446" t="s">
        <v>572</v>
      </c>
      <c r="E446" t="s">
        <v>299</v>
      </c>
      <c r="F446" t="s">
        <v>300</v>
      </c>
      <c r="G446" t="s">
        <v>282</v>
      </c>
      <c r="H446" t="s">
        <v>283</v>
      </c>
      <c r="I446" t="s">
        <v>574</v>
      </c>
      <c r="J446" t="s">
        <v>285</v>
      </c>
      <c r="K446" t="s">
        <v>285</v>
      </c>
      <c r="L446" t="s">
        <v>285</v>
      </c>
      <c r="M446" t="s">
        <v>285</v>
      </c>
      <c r="N446" t="s">
        <v>285</v>
      </c>
      <c r="O446" t="s">
        <v>285</v>
      </c>
      <c r="P446" t="s">
        <v>285</v>
      </c>
      <c r="Q446" t="s">
        <v>285</v>
      </c>
      <c r="R446" t="s">
        <v>285</v>
      </c>
      <c r="S446" t="s">
        <v>285</v>
      </c>
      <c r="T446" t="s">
        <v>285</v>
      </c>
      <c r="U446" t="s">
        <v>285</v>
      </c>
      <c r="V446" t="s">
        <v>285</v>
      </c>
      <c r="W446" t="s">
        <v>285</v>
      </c>
      <c r="X446" t="s">
        <v>285</v>
      </c>
      <c r="Y446" t="s">
        <v>285</v>
      </c>
      <c r="Z446" t="s">
        <v>285</v>
      </c>
      <c r="AA446" t="s">
        <v>285</v>
      </c>
      <c r="AB446" t="s">
        <v>285</v>
      </c>
      <c r="AC446">
        <v>4.3999999999999997E-2</v>
      </c>
      <c r="AD446">
        <v>0.20399999999999999</v>
      </c>
      <c r="AE446">
        <v>0.23899999999999999</v>
      </c>
      <c r="AF446">
        <v>0.40200000000000002</v>
      </c>
      <c r="AG446">
        <v>0.54300000000000004</v>
      </c>
      <c r="AH446">
        <v>0.749</v>
      </c>
      <c r="AI446">
        <v>0.72</v>
      </c>
      <c r="AJ446">
        <v>0.63400000000000001</v>
      </c>
      <c r="AK446">
        <v>0.65500000000000003</v>
      </c>
      <c r="AL446">
        <v>0.95</v>
      </c>
      <c r="AM446">
        <v>1.177</v>
      </c>
      <c r="AN446">
        <v>1.262</v>
      </c>
      <c r="AO446">
        <v>1.389</v>
      </c>
      <c r="AP446">
        <v>1.4510000000000001</v>
      </c>
      <c r="AQ446">
        <v>1.48</v>
      </c>
      <c r="AR446">
        <v>1.476</v>
      </c>
      <c r="AS446">
        <v>1.65</v>
      </c>
      <c r="AT446">
        <v>1.69</v>
      </c>
      <c r="AU446">
        <v>1.784</v>
      </c>
      <c r="AV446">
        <v>1.897</v>
      </c>
      <c r="AW446">
        <v>2.024</v>
      </c>
      <c r="AX446">
        <v>2.153</v>
      </c>
      <c r="AY446">
        <v>2013</v>
      </c>
    </row>
    <row r="447" spans="1:51" x14ac:dyDescent="0.25">
      <c r="A447">
        <v>443</v>
      </c>
      <c r="B447" t="s">
        <v>575</v>
      </c>
      <c r="C447" t="s">
        <v>279</v>
      </c>
      <c r="D447" t="s">
        <v>134</v>
      </c>
      <c r="E447" t="s">
        <v>280</v>
      </c>
      <c r="F447" t="s">
        <v>281</v>
      </c>
      <c r="G447" t="s">
        <v>282</v>
      </c>
      <c r="H447" t="s">
        <v>283</v>
      </c>
      <c r="I447" t="s">
        <v>576</v>
      </c>
      <c r="J447">
        <v>15.664</v>
      </c>
      <c r="K447">
        <v>12.7</v>
      </c>
      <c r="L447">
        <v>11.493</v>
      </c>
      <c r="M447">
        <v>12.097</v>
      </c>
      <c r="N447">
        <v>12.731</v>
      </c>
      <c r="O447">
        <v>12.189</v>
      </c>
      <c r="P447">
        <v>13.233000000000001</v>
      </c>
      <c r="Q447">
        <v>14.31</v>
      </c>
      <c r="R447">
        <v>12.872</v>
      </c>
      <c r="S447">
        <v>16.206</v>
      </c>
      <c r="T447">
        <v>11.955</v>
      </c>
      <c r="U447">
        <v>7.0529999999999999</v>
      </c>
      <c r="V447">
        <v>12.893000000000001</v>
      </c>
      <c r="W447">
        <v>17.422000000000001</v>
      </c>
      <c r="X447">
        <v>18.922999999999998</v>
      </c>
      <c r="Y447">
        <v>19.239000000000001</v>
      </c>
      <c r="Z447">
        <v>19.353999999999999</v>
      </c>
      <c r="AA447">
        <v>19.837</v>
      </c>
      <c r="AB447">
        <v>20.561</v>
      </c>
      <c r="AC447">
        <v>20.193999999999999</v>
      </c>
      <c r="AD447">
        <v>21.140999999999998</v>
      </c>
      <c r="AE447">
        <v>21.184999999999999</v>
      </c>
      <c r="AF447">
        <v>21.824000000000002</v>
      </c>
      <c r="AG447">
        <v>25.606999999999999</v>
      </c>
      <c r="AH447">
        <v>28.363</v>
      </c>
      <c r="AI447">
        <v>31.221</v>
      </c>
      <c r="AJ447">
        <v>33.569000000000003</v>
      </c>
      <c r="AK447">
        <v>35.58</v>
      </c>
      <c r="AL447">
        <v>36.462000000000003</v>
      </c>
      <c r="AM447">
        <v>33.881999999999998</v>
      </c>
      <c r="AN447">
        <v>33.079000000000001</v>
      </c>
      <c r="AO447">
        <v>36.587000000000003</v>
      </c>
      <c r="AP447">
        <v>39.392000000000003</v>
      </c>
      <c r="AQ447">
        <v>39.713999999999999</v>
      </c>
      <c r="AR447">
        <v>39.768000000000001</v>
      </c>
      <c r="AS447">
        <v>40.234999999999999</v>
      </c>
      <c r="AT447">
        <v>41.249000000000002</v>
      </c>
      <c r="AU447">
        <v>42.371000000000002</v>
      </c>
      <c r="AV447">
        <v>43.524999999999999</v>
      </c>
      <c r="AW447">
        <v>44.801000000000002</v>
      </c>
      <c r="AX447">
        <v>46.118000000000002</v>
      </c>
      <c r="AY447">
        <v>2014</v>
      </c>
    </row>
    <row r="448" spans="1:51" x14ac:dyDescent="0.25">
      <c r="A448">
        <v>443</v>
      </c>
      <c r="B448" t="s">
        <v>575</v>
      </c>
      <c r="C448" t="s">
        <v>286</v>
      </c>
      <c r="D448" t="s">
        <v>134</v>
      </c>
      <c r="E448" t="s">
        <v>287</v>
      </c>
      <c r="F448" t="s">
        <v>288</v>
      </c>
      <c r="G448" t="s">
        <v>282</v>
      </c>
      <c r="H448" t="s">
        <v>283</v>
      </c>
      <c r="I448" t="s">
        <v>576</v>
      </c>
      <c r="J448">
        <v>7.7640000000000002</v>
      </c>
      <c r="K448">
        <v>7.0389999999999997</v>
      </c>
      <c r="L448">
        <v>6.2140000000000004</v>
      </c>
      <c r="M448">
        <v>6.0830000000000002</v>
      </c>
      <c r="N448">
        <v>6.4249999999999998</v>
      </c>
      <c r="O448">
        <v>6.45</v>
      </c>
      <c r="P448">
        <v>5.2030000000000003</v>
      </c>
      <c r="Q448">
        <v>6.2329999999999997</v>
      </c>
      <c r="R448">
        <v>5.7729999999999997</v>
      </c>
      <c r="S448">
        <v>7.1429999999999998</v>
      </c>
      <c r="T448">
        <v>5.3280000000000003</v>
      </c>
      <c r="U448">
        <v>3.1309999999999998</v>
      </c>
      <c r="V448">
        <v>5.827</v>
      </c>
      <c r="W448">
        <v>7.2309999999999999</v>
      </c>
      <c r="X448">
        <v>7.38</v>
      </c>
      <c r="Y448">
        <v>8.1140000000000008</v>
      </c>
      <c r="Z448">
        <v>9.4290000000000003</v>
      </c>
      <c r="AA448">
        <v>9.2070000000000007</v>
      </c>
      <c r="AB448">
        <v>7.9059999999999997</v>
      </c>
      <c r="AC448">
        <v>9.17</v>
      </c>
      <c r="AD448">
        <v>11.571</v>
      </c>
      <c r="AE448">
        <v>10.696</v>
      </c>
      <c r="AF448">
        <v>11.589</v>
      </c>
      <c r="AG448">
        <v>14.257999999999999</v>
      </c>
      <c r="AH448">
        <v>17.516999999999999</v>
      </c>
      <c r="AI448">
        <v>23.594999999999999</v>
      </c>
      <c r="AJ448">
        <v>29.47</v>
      </c>
      <c r="AK448">
        <v>32.581000000000003</v>
      </c>
      <c r="AL448">
        <v>39.619999999999997</v>
      </c>
      <c r="AM448">
        <v>30.495999999999999</v>
      </c>
      <c r="AN448">
        <v>33.079000000000001</v>
      </c>
      <c r="AO448">
        <v>42.511000000000003</v>
      </c>
      <c r="AP448">
        <v>48.720999999999997</v>
      </c>
      <c r="AQ448">
        <v>49.863</v>
      </c>
      <c r="AR448">
        <v>49.104999999999997</v>
      </c>
      <c r="AS448">
        <v>36.081000000000003</v>
      </c>
      <c r="AT448">
        <v>37.636000000000003</v>
      </c>
      <c r="AU448">
        <v>41.512</v>
      </c>
      <c r="AV448">
        <v>45.539000000000001</v>
      </c>
      <c r="AW448">
        <v>49.061999999999998</v>
      </c>
      <c r="AX448">
        <v>52.27</v>
      </c>
      <c r="AY448">
        <v>2014</v>
      </c>
    </row>
    <row r="449" spans="1:51" x14ac:dyDescent="0.25">
      <c r="A449">
        <v>443</v>
      </c>
      <c r="B449" t="s">
        <v>575</v>
      </c>
      <c r="C449" t="s">
        <v>289</v>
      </c>
      <c r="D449" t="s">
        <v>134</v>
      </c>
      <c r="E449" t="s">
        <v>287</v>
      </c>
      <c r="F449" t="s">
        <v>290</v>
      </c>
      <c r="G449" t="s">
        <v>291</v>
      </c>
      <c r="H449" t="s">
        <v>283</v>
      </c>
      <c r="I449" t="s">
        <v>292</v>
      </c>
      <c r="J449">
        <v>28.724</v>
      </c>
      <c r="K449">
        <v>25.248999999999999</v>
      </c>
      <c r="L449">
        <v>21.582999999999998</v>
      </c>
      <c r="M449">
        <v>20.317</v>
      </c>
      <c r="N449">
        <v>21.457000000000001</v>
      </c>
      <c r="O449">
        <v>21.54</v>
      </c>
      <c r="P449">
        <v>17.376000000000001</v>
      </c>
      <c r="Q449">
        <v>20.817</v>
      </c>
      <c r="R449">
        <v>19.280999999999999</v>
      </c>
      <c r="S449">
        <v>23.855</v>
      </c>
      <c r="T449">
        <v>18.292999999999999</v>
      </c>
      <c r="U449">
        <v>10.826000000000001</v>
      </c>
      <c r="V449">
        <v>19.866</v>
      </c>
      <c r="W449">
        <v>23.995999999999999</v>
      </c>
      <c r="X449">
        <v>24.795999999999999</v>
      </c>
      <c r="Y449">
        <v>27.189</v>
      </c>
      <c r="Z449">
        <v>31.492000000000001</v>
      </c>
      <c r="AA449">
        <v>30.35</v>
      </c>
      <c r="AB449">
        <v>25.943999999999999</v>
      </c>
      <c r="AC449">
        <v>30.123000000000001</v>
      </c>
      <c r="AD449">
        <v>37.720999999999997</v>
      </c>
      <c r="AE449">
        <v>34.886000000000003</v>
      </c>
      <c r="AF449">
        <v>38.134999999999998</v>
      </c>
      <c r="AG449">
        <v>47.844000000000001</v>
      </c>
      <c r="AH449">
        <v>59.439</v>
      </c>
      <c r="AI449">
        <v>80.807000000000002</v>
      </c>
      <c r="AJ449">
        <v>101.559</v>
      </c>
      <c r="AK449">
        <v>114.67700000000001</v>
      </c>
      <c r="AL449">
        <v>147.40199999999999</v>
      </c>
      <c r="AM449">
        <v>105.992</v>
      </c>
      <c r="AN449">
        <v>115.401</v>
      </c>
      <c r="AO449">
        <v>154.01599999999999</v>
      </c>
      <c r="AP449">
        <v>174.06299999999999</v>
      </c>
      <c r="AQ449">
        <v>175.839</v>
      </c>
      <c r="AR449">
        <v>172.608</v>
      </c>
      <c r="AS449">
        <v>123.22799999999999</v>
      </c>
      <c r="AT449">
        <v>128.53800000000001</v>
      </c>
      <c r="AU449">
        <v>141.77600000000001</v>
      </c>
      <c r="AV449">
        <v>155.529</v>
      </c>
      <c r="AW449">
        <v>167.56200000000001</v>
      </c>
      <c r="AX449">
        <v>178.517</v>
      </c>
      <c r="AY449">
        <v>2014</v>
      </c>
    </row>
    <row r="450" spans="1:51" x14ac:dyDescent="0.25">
      <c r="A450">
        <v>443</v>
      </c>
      <c r="B450" t="s">
        <v>575</v>
      </c>
      <c r="C450" t="s">
        <v>293</v>
      </c>
      <c r="D450" t="s">
        <v>134</v>
      </c>
      <c r="E450" t="s">
        <v>294</v>
      </c>
      <c r="F450" t="s">
        <v>295</v>
      </c>
      <c r="G450" t="s">
        <v>296</v>
      </c>
      <c r="I450" t="s">
        <v>297</v>
      </c>
      <c r="J450">
        <v>49.564999999999998</v>
      </c>
      <c r="K450">
        <v>55.423999999999999</v>
      </c>
      <c r="L450">
        <v>54.067</v>
      </c>
      <c r="M450">
        <v>50.289000000000001</v>
      </c>
      <c r="N450">
        <v>50.465000000000003</v>
      </c>
      <c r="O450">
        <v>52.914000000000001</v>
      </c>
      <c r="P450">
        <v>39.317999999999998</v>
      </c>
      <c r="Q450">
        <v>43.557000000000002</v>
      </c>
      <c r="R450">
        <v>44.848999999999997</v>
      </c>
      <c r="S450">
        <v>44.076000000000001</v>
      </c>
      <c r="T450">
        <v>44.564</v>
      </c>
      <c r="U450">
        <v>44.393000000000001</v>
      </c>
      <c r="V450">
        <v>45.192999999999998</v>
      </c>
      <c r="W450">
        <v>41.502000000000002</v>
      </c>
      <c r="X450">
        <v>38.999000000000002</v>
      </c>
      <c r="Y450">
        <v>42.173999999999999</v>
      </c>
      <c r="Z450">
        <v>48.719000000000001</v>
      </c>
      <c r="AA450">
        <v>46.411999999999999</v>
      </c>
      <c r="AB450">
        <v>38.451999999999998</v>
      </c>
      <c r="AC450">
        <v>45.408999999999999</v>
      </c>
      <c r="AD450">
        <v>54.731999999999999</v>
      </c>
      <c r="AE450">
        <v>50.488999999999997</v>
      </c>
      <c r="AF450">
        <v>53.103000000000002</v>
      </c>
      <c r="AG450">
        <v>55.677999999999997</v>
      </c>
      <c r="AH450">
        <v>61.759</v>
      </c>
      <c r="AI450">
        <v>75.575000000000003</v>
      </c>
      <c r="AJ450">
        <v>87.787999999999997</v>
      </c>
      <c r="AK450">
        <v>91.569000000000003</v>
      </c>
      <c r="AL450">
        <v>108.65900000000001</v>
      </c>
      <c r="AM450">
        <v>90.006</v>
      </c>
      <c r="AN450">
        <v>100</v>
      </c>
      <c r="AO450">
        <v>116.18899999999999</v>
      </c>
      <c r="AP450">
        <v>123.68300000000001</v>
      </c>
      <c r="AQ450">
        <v>125.554</v>
      </c>
      <c r="AR450">
        <v>123.47799999999999</v>
      </c>
      <c r="AS450">
        <v>89.676000000000002</v>
      </c>
      <c r="AT450">
        <v>91.242000000000004</v>
      </c>
      <c r="AU450">
        <v>97.972999999999999</v>
      </c>
      <c r="AV450">
        <v>104.627</v>
      </c>
      <c r="AW450">
        <v>109.511</v>
      </c>
      <c r="AX450">
        <v>113.339</v>
      </c>
      <c r="AY450">
        <v>2014</v>
      </c>
    </row>
    <row r="451" spans="1:51" x14ac:dyDescent="0.25">
      <c r="A451">
        <v>443</v>
      </c>
      <c r="B451" t="s">
        <v>575</v>
      </c>
      <c r="C451" t="s">
        <v>298</v>
      </c>
      <c r="D451" t="s">
        <v>134</v>
      </c>
      <c r="E451" t="s">
        <v>299</v>
      </c>
      <c r="F451" t="s">
        <v>300</v>
      </c>
      <c r="G451" t="s">
        <v>282</v>
      </c>
      <c r="H451" t="s">
        <v>283</v>
      </c>
      <c r="I451" t="s">
        <v>577</v>
      </c>
      <c r="J451" t="s">
        <v>285</v>
      </c>
      <c r="K451" t="s">
        <v>285</v>
      </c>
      <c r="L451" t="s">
        <v>285</v>
      </c>
      <c r="M451" t="s">
        <v>285</v>
      </c>
      <c r="N451" t="s">
        <v>285</v>
      </c>
      <c r="O451" t="s">
        <v>285</v>
      </c>
      <c r="P451" t="s">
        <v>285</v>
      </c>
      <c r="Q451" t="s">
        <v>285</v>
      </c>
      <c r="R451" t="s">
        <v>285</v>
      </c>
      <c r="S451" t="s">
        <v>285</v>
      </c>
      <c r="T451">
        <v>4.9180000000000001</v>
      </c>
      <c r="U451">
        <v>6.3920000000000003</v>
      </c>
      <c r="V451">
        <v>5.2919999999999998</v>
      </c>
      <c r="W451">
        <v>4.4379999999999997</v>
      </c>
      <c r="X451">
        <v>4.319</v>
      </c>
      <c r="Y451">
        <v>4.4290000000000003</v>
      </c>
      <c r="Z451">
        <v>4.1980000000000004</v>
      </c>
      <c r="AA451">
        <v>4.0209999999999999</v>
      </c>
      <c r="AB451">
        <v>4.1120000000000001</v>
      </c>
      <c r="AC451">
        <v>4.1189999999999998</v>
      </c>
      <c r="AD451">
        <v>4.32</v>
      </c>
      <c r="AE451">
        <v>4.6840000000000002</v>
      </c>
      <c r="AF451">
        <v>4.8520000000000003</v>
      </c>
      <c r="AG451">
        <v>5.2809999999999997</v>
      </c>
      <c r="AH451">
        <v>5.9909999999999997</v>
      </c>
      <c r="AI451">
        <v>6.6349999999999998</v>
      </c>
      <c r="AJ451">
        <v>9.4049999999999994</v>
      </c>
      <c r="AK451">
        <v>9.8089999999999993</v>
      </c>
      <c r="AL451">
        <v>16.009</v>
      </c>
      <c r="AM451">
        <v>12.868</v>
      </c>
      <c r="AN451">
        <v>14.805999999999999</v>
      </c>
      <c r="AO451">
        <v>16.619</v>
      </c>
      <c r="AP451">
        <v>18.241</v>
      </c>
      <c r="AQ451">
        <v>18.841999999999999</v>
      </c>
      <c r="AR451">
        <v>20.803999999999998</v>
      </c>
      <c r="AS451">
        <v>19.585999999999999</v>
      </c>
      <c r="AT451">
        <v>19.670999999999999</v>
      </c>
      <c r="AU451">
        <v>20.795000000000002</v>
      </c>
      <c r="AV451">
        <v>22.023</v>
      </c>
      <c r="AW451">
        <v>23.262</v>
      </c>
      <c r="AX451">
        <v>24.613</v>
      </c>
      <c r="AY451">
        <v>2014</v>
      </c>
    </row>
    <row r="452" spans="1:51" x14ac:dyDescent="0.25">
      <c r="A452">
        <v>917</v>
      </c>
      <c r="B452" t="s">
        <v>578</v>
      </c>
      <c r="C452" t="s">
        <v>279</v>
      </c>
      <c r="D452" t="s">
        <v>135</v>
      </c>
      <c r="E452" t="s">
        <v>280</v>
      </c>
      <c r="F452" t="s">
        <v>281</v>
      </c>
      <c r="G452" t="s">
        <v>282</v>
      </c>
      <c r="H452" t="s">
        <v>283</v>
      </c>
      <c r="I452" t="s">
        <v>579</v>
      </c>
      <c r="J452" t="s">
        <v>285</v>
      </c>
      <c r="K452" t="s">
        <v>285</v>
      </c>
      <c r="L452" t="s">
        <v>285</v>
      </c>
      <c r="M452" t="s">
        <v>285</v>
      </c>
      <c r="N452" t="s">
        <v>285</v>
      </c>
      <c r="O452" t="s">
        <v>285</v>
      </c>
      <c r="P452" t="s">
        <v>285</v>
      </c>
      <c r="Q452" t="s">
        <v>285</v>
      </c>
      <c r="R452" t="s">
        <v>285</v>
      </c>
      <c r="S452" t="s">
        <v>285</v>
      </c>
      <c r="T452" t="s">
        <v>285</v>
      </c>
      <c r="U452" t="s">
        <v>285</v>
      </c>
      <c r="V452">
        <v>24.556000000000001</v>
      </c>
      <c r="W452">
        <v>21.361999999999998</v>
      </c>
      <c r="X452">
        <v>17.131</v>
      </c>
      <c r="Y452">
        <v>16.146000000000001</v>
      </c>
      <c r="Z452">
        <v>17.289000000000001</v>
      </c>
      <c r="AA452">
        <v>19.001000000000001</v>
      </c>
      <c r="AB452">
        <v>19.399999999999999</v>
      </c>
      <c r="AC452">
        <v>20.117999999999999</v>
      </c>
      <c r="AD452">
        <v>21.204000000000001</v>
      </c>
      <c r="AE452">
        <v>22.327999999999999</v>
      </c>
      <c r="AF452">
        <v>22.323</v>
      </c>
      <c r="AG452">
        <v>23.885000000000002</v>
      </c>
      <c r="AH452">
        <v>25.564</v>
      </c>
      <c r="AI452">
        <v>25.523</v>
      </c>
      <c r="AJ452">
        <v>26.314</v>
      </c>
      <c r="AK452">
        <v>28.562000000000001</v>
      </c>
      <c r="AL452">
        <v>30.722999999999999</v>
      </c>
      <c r="AM452">
        <v>31.614000000000001</v>
      </c>
      <c r="AN452">
        <v>31.465</v>
      </c>
      <c r="AO452">
        <v>33.338999999999999</v>
      </c>
      <c r="AP452">
        <v>33.039000000000001</v>
      </c>
      <c r="AQ452">
        <v>36.520000000000003</v>
      </c>
      <c r="AR452">
        <v>37.835000000000001</v>
      </c>
      <c r="AS452">
        <v>38.591000000000001</v>
      </c>
      <c r="AT452">
        <v>39.994</v>
      </c>
      <c r="AU452">
        <v>41.835999999999999</v>
      </c>
      <c r="AV452">
        <v>43.866999999999997</v>
      </c>
      <c r="AW452">
        <v>46.158000000000001</v>
      </c>
      <c r="AX452">
        <v>48.603999999999999</v>
      </c>
      <c r="AY452">
        <v>2014</v>
      </c>
    </row>
    <row r="453" spans="1:51" x14ac:dyDescent="0.25">
      <c r="A453">
        <v>917</v>
      </c>
      <c r="B453" t="s">
        <v>578</v>
      </c>
      <c r="C453" t="s">
        <v>286</v>
      </c>
      <c r="D453" t="s">
        <v>135</v>
      </c>
      <c r="E453" t="s">
        <v>287</v>
      </c>
      <c r="F453" t="s">
        <v>288</v>
      </c>
      <c r="G453" t="s">
        <v>282</v>
      </c>
      <c r="H453" t="s">
        <v>283</v>
      </c>
      <c r="I453" t="s">
        <v>579</v>
      </c>
      <c r="J453" t="s">
        <v>285</v>
      </c>
      <c r="K453" t="s">
        <v>285</v>
      </c>
      <c r="L453" t="s">
        <v>285</v>
      </c>
      <c r="M453" t="s">
        <v>285</v>
      </c>
      <c r="N453" t="s">
        <v>285</v>
      </c>
      <c r="O453" t="s">
        <v>285</v>
      </c>
      <c r="P453" t="s">
        <v>285</v>
      </c>
      <c r="Q453" t="s">
        <v>285</v>
      </c>
      <c r="R453" t="s">
        <v>285</v>
      </c>
      <c r="S453" t="s">
        <v>285</v>
      </c>
      <c r="T453" t="s">
        <v>285</v>
      </c>
      <c r="U453" t="s">
        <v>285</v>
      </c>
      <c r="V453">
        <v>0.74099999999999999</v>
      </c>
      <c r="W453">
        <v>5.3550000000000004</v>
      </c>
      <c r="X453">
        <v>12.061</v>
      </c>
      <c r="Y453">
        <v>16.146000000000001</v>
      </c>
      <c r="Z453">
        <v>23.4</v>
      </c>
      <c r="AA453">
        <v>30.672999999999998</v>
      </c>
      <c r="AB453">
        <v>34.17</v>
      </c>
      <c r="AC453">
        <v>48.726999999999997</v>
      </c>
      <c r="AD453">
        <v>65.358000000000004</v>
      </c>
      <c r="AE453">
        <v>73.882999999999996</v>
      </c>
      <c r="AF453">
        <v>75.367000000000004</v>
      </c>
      <c r="AG453">
        <v>83.872</v>
      </c>
      <c r="AH453">
        <v>94.350999999999999</v>
      </c>
      <c r="AI453">
        <v>100.899</v>
      </c>
      <c r="AJ453">
        <v>113.8</v>
      </c>
      <c r="AK453">
        <v>141.898</v>
      </c>
      <c r="AL453">
        <v>187.99199999999999</v>
      </c>
      <c r="AM453">
        <v>201.22300000000001</v>
      </c>
      <c r="AN453">
        <v>220.369</v>
      </c>
      <c r="AO453">
        <v>285.98899999999998</v>
      </c>
      <c r="AP453">
        <v>310.471</v>
      </c>
      <c r="AQ453">
        <v>355.29500000000002</v>
      </c>
      <c r="AR453">
        <v>397.27699999999999</v>
      </c>
      <c r="AS453">
        <v>436.32799999999997</v>
      </c>
      <c r="AT453">
        <v>489.89499999999998</v>
      </c>
      <c r="AU453">
        <v>546.91800000000001</v>
      </c>
      <c r="AV453">
        <v>607.13499999999999</v>
      </c>
      <c r="AW453">
        <v>669.09699999999998</v>
      </c>
      <c r="AX453">
        <v>732.74099999999999</v>
      </c>
      <c r="AY453">
        <v>2014</v>
      </c>
    </row>
    <row r="454" spans="1:51" x14ac:dyDescent="0.25">
      <c r="A454">
        <v>917</v>
      </c>
      <c r="B454" t="s">
        <v>578</v>
      </c>
      <c r="C454" t="s">
        <v>289</v>
      </c>
      <c r="D454" t="s">
        <v>135</v>
      </c>
      <c r="E454" t="s">
        <v>287</v>
      </c>
      <c r="F454" t="s">
        <v>290</v>
      </c>
      <c r="G454" t="s">
        <v>291</v>
      </c>
      <c r="H454" t="s">
        <v>283</v>
      </c>
      <c r="I454" t="s">
        <v>292</v>
      </c>
      <c r="J454" t="s">
        <v>285</v>
      </c>
      <c r="K454" t="s">
        <v>285</v>
      </c>
      <c r="L454" t="s">
        <v>285</v>
      </c>
      <c r="M454" t="s">
        <v>285</v>
      </c>
      <c r="N454" t="s">
        <v>285</v>
      </c>
      <c r="O454" t="s">
        <v>285</v>
      </c>
      <c r="P454" t="s">
        <v>285</v>
      </c>
      <c r="Q454" t="s">
        <v>285</v>
      </c>
      <c r="R454" t="s">
        <v>285</v>
      </c>
      <c r="S454" t="s">
        <v>285</v>
      </c>
      <c r="T454" t="s">
        <v>285</v>
      </c>
      <c r="U454" t="s">
        <v>285</v>
      </c>
      <c r="V454">
        <v>0.92100000000000004</v>
      </c>
      <c r="W454">
        <v>0.66700000000000004</v>
      </c>
      <c r="X454">
        <v>1.121</v>
      </c>
      <c r="Y454">
        <v>1.4930000000000001</v>
      </c>
      <c r="Z454">
        <v>1.855</v>
      </c>
      <c r="AA454">
        <v>1.766</v>
      </c>
      <c r="AB454">
        <v>1.6739999999999999</v>
      </c>
      <c r="AC454">
        <v>1.2669999999999999</v>
      </c>
      <c r="AD454">
        <v>1.3680000000000001</v>
      </c>
      <c r="AE454">
        <v>1.526</v>
      </c>
      <c r="AF454">
        <v>1.6379999999999999</v>
      </c>
      <c r="AG454">
        <v>1.919</v>
      </c>
      <c r="AH454">
        <v>2.2149999999999999</v>
      </c>
      <c r="AI454">
        <v>2.46</v>
      </c>
      <c r="AJ454">
        <v>2.8370000000000002</v>
      </c>
      <c r="AK454">
        <v>3.8069999999999999</v>
      </c>
      <c r="AL454">
        <v>5.133</v>
      </c>
      <c r="AM454">
        <v>4.6829999999999998</v>
      </c>
      <c r="AN454">
        <v>4.806</v>
      </c>
      <c r="AO454">
        <v>6.1980000000000004</v>
      </c>
      <c r="AP454">
        <v>6.6050000000000004</v>
      </c>
      <c r="AQ454">
        <v>7.3330000000000002</v>
      </c>
      <c r="AR454">
        <v>7.4020000000000001</v>
      </c>
      <c r="AS454">
        <v>7.1580000000000004</v>
      </c>
      <c r="AT454">
        <v>7.6589999999999998</v>
      </c>
      <c r="AU454">
        <v>8.3010000000000002</v>
      </c>
      <c r="AV454">
        <v>8.9909999999999997</v>
      </c>
      <c r="AW454">
        <v>9.7149999999999999</v>
      </c>
      <c r="AX454">
        <v>10.43</v>
      </c>
      <c r="AY454">
        <v>2014</v>
      </c>
    </row>
    <row r="455" spans="1:51" x14ac:dyDescent="0.25">
      <c r="A455">
        <v>917</v>
      </c>
      <c r="B455" t="s">
        <v>578</v>
      </c>
      <c r="C455" t="s">
        <v>293</v>
      </c>
      <c r="D455" t="s">
        <v>135</v>
      </c>
      <c r="E455" t="s">
        <v>294</v>
      </c>
      <c r="F455" t="s">
        <v>295</v>
      </c>
      <c r="G455" t="s">
        <v>296</v>
      </c>
      <c r="I455" t="s">
        <v>297</v>
      </c>
      <c r="J455" t="s">
        <v>285</v>
      </c>
      <c r="K455" t="s">
        <v>285</v>
      </c>
      <c r="L455" t="s">
        <v>285</v>
      </c>
      <c r="M455" t="s">
        <v>285</v>
      </c>
      <c r="N455" t="s">
        <v>285</v>
      </c>
      <c r="O455" t="s">
        <v>285</v>
      </c>
      <c r="P455" t="s">
        <v>285</v>
      </c>
      <c r="Q455" t="s">
        <v>285</v>
      </c>
      <c r="R455" t="s">
        <v>285</v>
      </c>
      <c r="S455" t="s">
        <v>285</v>
      </c>
      <c r="T455" t="s">
        <v>285</v>
      </c>
      <c r="U455" t="s">
        <v>285</v>
      </c>
      <c r="V455">
        <v>3.0179999999999998</v>
      </c>
      <c r="W455">
        <v>25.067</v>
      </c>
      <c r="X455">
        <v>70.405000000000001</v>
      </c>
      <c r="Y455">
        <v>100</v>
      </c>
      <c r="Z455">
        <v>135.34100000000001</v>
      </c>
      <c r="AA455">
        <v>161.429</v>
      </c>
      <c r="AB455">
        <v>176.13399999999999</v>
      </c>
      <c r="AC455">
        <v>242.20599999999999</v>
      </c>
      <c r="AD455">
        <v>308.23599999999999</v>
      </c>
      <c r="AE455">
        <v>330.904</v>
      </c>
      <c r="AF455">
        <v>337.62200000000001</v>
      </c>
      <c r="AG455">
        <v>351.14100000000002</v>
      </c>
      <c r="AH455">
        <v>369.07900000000001</v>
      </c>
      <c r="AI455">
        <v>395.32799999999997</v>
      </c>
      <c r="AJ455">
        <v>432.46800000000002</v>
      </c>
      <c r="AK455">
        <v>496.80399999999997</v>
      </c>
      <c r="AL455">
        <v>611.89</v>
      </c>
      <c r="AM455">
        <v>636.49599999999998</v>
      </c>
      <c r="AN455">
        <v>700.36199999999997</v>
      </c>
      <c r="AO455">
        <v>857.81600000000003</v>
      </c>
      <c r="AP455">
        <v>939.70399999999995</v>
      </c>
      <c r="AQ455">
        <v>972.88599999999997</v>
      </c>
      <c r="AR455" s="21">
        <v>1050.0119999999999</v>
      </c>
      <c r="AS455" s="21">
        <v>1130.655</v>
      </c>
      <c r="AT455" s="21">
        <v>1224.9259999999999</v>
      </c>
      <c r="AU455" s="21">
        <v>1307.2909999999999</v>
      </c>
      <c r="AV455" s="21">
        <v>1384.029</v>
      </c>
      <c r="AW455" s="21">
        <v>1449.579</v>
      </c>
      <c r="AX455" s="21">
        <v>1507.5619999999999</v>
      </c>
      <c r="AY455">
        <v>2014</v>
      </c>
    </row>
    <row r="456" spans="1:51" x14ac:dyDescent="0.25">
      <c r="A456">
        <v>917</v>
      </c>
      <c r="B456" t="s">
        <v>578</v>
      </c>
      <c r="C456" t="s">
        <v>298</v>
      </c>
      <c r="D456" t="s">
        <v>135</v>
      </c>
      <c r="E456" t="s">
        <v>299</v>
      </c>
      <c r="F456" t="s">
        <v>300</v>
      </c>
      <c r="G456" t="s">
        <v>282</v>
      </c>
      <c r="H456" t="s">
        <v>283</v>
      </c>
      <c r="I456" t="s">
        <v>580</v>
      </c>
      <c r="J456" t="s">
        <v>285</v>
      </c>
      <c r="K456" t="s">
        <v>285</v>
      </c>
      <c r="L456" t="s">
        <v>285</v>
      </c>
      <c r="M456" t="s">
        <v>285</v>
      </c>
      <c r="N456" t="s">
        <v>285</v>
      </c>
      <c r="O456" t="s">
        <v>285</v>
      </c>
      <c r="P456" t="s">
        <v>285</v>
      </c>
      <c r="Q456" t="s">
        <v>285</v>
      </c>
      <c r="R456" t="s">
        <v>285</v>
      </c>
      <c r="S456" t="s">
        <v>285</v>
      </c>
      <c r="T456" t="s">
        <v>285</v>
      </c>
      <c r="U456" t="s">
        <v>285</v>
      </c>
      <c r="V456" t="s">
        <v>285</v>
      </c>
      <c r="W456" t="s">
        <v>285</v>
      </c>
      <c r="X456" t="s">
        <v>285</v>
      </c>
      <c r="Y456">
        <v>6.1150000000000002</v>
      </c>
      <c r="Z456">
        <v>6.6950000000000003</v>
      </c>
      <c r="AA456">
        <v>9.5570000000000004</v>
      </c>
      <c r="AB456">
        <v>12.281000000000001</v>
      </c>
      <c r="AC456">
        <v>17.506</v>
      </c>
      <c r="AD456">
        <v>19.771999999999998</v>
      </c>
      <c r="AE456">
        <v>20.777000000000001</v>
      </c>
      <c r="AF456">
        <v>22.311</v>
      </c>
      <c r="AG456">
        <v>23.977</v>
      </c>
      <c r="AH456">
        <v>27.417999999999999</v>
      </c>
      <c r="AI456">
        <v>29.873000000000001</v>
      </c>
      <c r="AJ456">
        <v>34.26</v>
      </c>
      <c r="AK456">
        <v>45.151000000000003</v>
      </c>
      <c r="AL456">
        <v>55.104999999999997</v>
      </c>
      <c r="AM456">
        <v>69.164000000000001</v>
      </c>
      <c r="AN456">
        <v>81.754000000000005</v>
      </c>
      <c r="AO456">
        <v>106.866</v>
      </c>
      <c r="AP456">
        <v>125.997</v>
      </c>
      <c r="AQ456">
        <v>135.541</v>
      </c>
      <c r="AR456">
        <v>142.435</v>
      </c>
      <c r="AS456">
        <v>166.684</v>
      </c>
      <c r="AT456">
        <v>188.369</v>
      </c>
      <c r="AU456">
        <v>205.36799999999999</v>
      </c>
      <c r="AV456">
        <v>226.64599999999999</v>
      </c>
      <c r="AW456">
        <v>238.78</v>
      </c>
      <c r="AX456">
        <v>261.779</v>
      </c>
      <c r="AY456">
        <v>2014</v>
      </c>
    </row>
    <row r="457" spans="1:51" x14ac:dyDescent="0.25">
      <c r="A457">
        <v>544</v>
      </c>
      <c r="B457" t="s">
        <v>581</v>
      </c>
      <c r="C457" t="s">
        <v>279</v>
      </c>
      <c r="D457" t="s">
        <v>136</v>
      </c>
      <c r="E457" t="s">
        <v>280</v>
      </c>
      <c r="F457" t="s">
        <v>281</v>
      </c>
      <c r="G457" t="s">
        <v>282</v>
      </c>
      <c r="H457" t="s">
        <v>283</v>
      </c>
      <c r="I457" t="s">
        <v>582</v>
      </c>
      <c r="J457" s="21">
        <v>5099.2759999999998</v>
      </c>
      <c r="K457" s="21">
        <v>5881.0889999999999</v>
      </c>
      <c r="L457" s="21">
        <v>6158.3649999999998</v>
      </c>
      <c r="M457" s="21">
        <v>6343.1319999999996</v>
      </c>
      <c r="N457" s="21">
        <v>6751.5259999999998</v>
      </c>
      <c r="O457" s="21">
        <v>7367.3729999999996</v>
      </c>
      <c r="P457" s="21">
        <v>7723.143</v>
      </c>
      <c r="Q457" s="21">
        <v>7649.0240000000003</v>
      </c>
      <c r="R457" s="21">
        <v>7488.3940000000002</v>
      </c>
      <c r="S457" s="21">
        <v>8229.2090000000007</v>
      </c>
      <c r="T457" s="21">
        <v>8779.4480000000003</v>
      </c>
      <c r="U457" s="21">
        <v>9130.5110000000004</v>
      </c>
      <c r="V457" s="21">
        <v>9769.5889999999999</v>
      </c>
      <c r="W457" s="21">
        <v>10342.754000000001</v>
      </c>
      <c r="X457" s="21">
        <v>11186.739</v>
      </c>
      <c r="Y457" s="21">
        <v>11974.84</v>
      </c>
      <c r="Z457" s="21">
        <v>12800.197</v>
      </c>
      <c r="AA457" s="21">
        <v>13684.303</v>
      </c>
      <c r="AB457" s="21">
        <v>14283.662</v>
      </c>
      <c r="AC457" s="21">
        <v>14874.293</v>
      </c>
      <c r="AD457" s="21">
        <v>15814.953</v>
      </c>
      <c r="AE457" s="21">
        <v>16546.060000000001</v>
      </c>
      <c r="AF457" s="21">
        <v>17681.983</v>
      </c>
      <c r="AG457" s="21">
        <v>18779.998</v>
      </c>
      <c r="AH457" s="21">
        <v>20098.595000000001</v>
      </c>
      <c r="AI457" s="21">
        <v>21458.597000000002</v>
      </c>
      <c r="AJ457" s="21">
        <v>23313.598000000002</v>
      </c>
      <c r="AK457" s="21">
        <v>25141.967000000001</v>
      </c>
      <c r="AL457" s="21">
        <v>27099.194</v>
      </c>
      <c r="AM457" s="21">
        <v>29132.162</v>
      </c>
      <c r="AN457" s="21">
        <v>31500.91</v>
      </c>
      <c r="AO457" s="21">
        <v>34033.735999999997</v>
      </c>
      <c r="AP457" s="21">
        <v>36721.860999999997</v>
      </c>
      <c r="AQ457" s="21">
        <v>39647.853999999999</v>
      </c>
      <c r="AR457" s="21">
        <v>42591.226000000002</v>
      </c>
      <c r="AS457" s="21">
        <v>45801.705999999998</v>
      </c>
      <c r="AT457" s="21">
        <v>49445.135999999999</v>
      </c>
      <c r="AU457" s="21">
        <v>53147.728999999999</v>
      </c>
      <c r="AV457" s="21">
        <v>56977.591999999997</v>
      </c>
      <c r="AW457" s="21">
        <v>61177.281000000003</v>
      </c>
      <c r="AX457" s="21">
        <v>65677.933999999994</v>
      </c>
      <c r="AY457">
        <v>2013</v>
      </c>
    </row>
    <row r="458" spans="1:51" x14ac:dyDescent="0.25">
      <c r="A458">
        <v>544</v>
      </c>
      <c r="B458" t="s">
        <v>581</v>
      </c>
      <c r="C458" t="s">
        <v>286</v>
      </c>
      <c r="D458" t="s">
        <v>136</v>
      </c>
      <c r="E458" t="s">
        <v>287</v>
      </c>
      <c r="F458" t="s">
        <v>288</v>
      </c>
      <c r="G458" t="s">
        <v>282</v>
      </c>
      <c r="H458" t="s">
        <v>283</v>
      </c>
      <c r="I458" t="s">
        <v>582</v>
      </c>
      <c r="J458">
        <v>10.394</v>
      </c>
      <c r="K458">
        <v>11.89</v>
      </c>
      <c r="L458">
        <v>20.821000000000002</v>
      </c>
      <c r="M458">
        <v>38.091999999999999</v>
      </c>
      <c r="N458">
        <v>54.540999999999997</v>
      </c>
      <c r="O458">
        <v>88.177999999999997</v>
      </c>
      <c r="P458">
        <v>130.167</v>
      </c>
      <c r="Q458">
        <v>169.00800000000001</v>
      </c>
      <c r="R458">
        <v>246.46</v>
      </c>
      <c r="S458">
        <v>447.81799999999998</v>
      </c>
      <c r="T458">
        <v>643.17399999999998</v>
      </c>
      <c r="U458">
        <v>757.91099999999994</v>
      </c>
      <c r="V458">
        <v>886.29399999999998</v>
      </c>
      <c r="W458">
        <v>998.30100000000004</v>
      </c>
      <c r="X458" s="21">
        <v>1163.1099999999999</v>
      </c>
      <c r="Y458" s="21">
        <v>1489.578</v>
      </c>
      <c r="Z458" s="21">
        <v>1811.848</v>
      </c>
      <c r="AA458" s="21">
        <v>2310.1660000000002</v>
      </c>
      <c r="AB458" s="21">
        <v>4286.0330000000004</v>
      </c>
      <c r="AC458" s="21">
        <v>9971.9560000000001</v>
      </c>
      <c r="AD458" s="21">
        <v>12917.501</v>
      </c>
      <c r="AE458" s="21">
        <v>14854.166999999999</v>
      </c>
      <c r="AF458" s="21">
        <v>17681.983</v>
      </c>
      <c r="AG458" s="21">
        <v>21286.992999999999</v>
      </c>
      <c r="AH458" s="21">
        <v>25151.511999999999</v>
      </c>
      <c r="AI458" s="21">
        <v>28947.784</v>
      </c>
      <c r="AJ458" s="21">
        <v>35980.923999999999</v>
      </c>
      <c r="AK458" s="21">
        <v>40467.082000000002</v>
      </c>
      <c r="AL458" s="21">
        <v>46214.711000000003</v>
      </c>
      <c r="AM458" s="21">
        <v>47562.294999999998</v>
      </c>
      <c r="AN458" s="21">
        <v>56522.565000000002</v>
      </c>
      <c r="AO458" s="21">
        <v>64727.06</v>
      </c>
      <c r="AP458" s="21">
        <v>75251.186000000002</v>
      </c>
      <c r="AQ458" s="21">
        <v>84571.997000000003</v>
      </c>
      <c r="AR458" s="21">
        <v>94035.260999999999</v>
      </c>
      <c r="AS458" s="21">
        <v>102436.886</v>
      </c>
      <c r="AT458" s="21">
        <v>111636.958</v>
      </c>
      <c r="AU458" s="21">
        <v>127051.336</v>
      </c>
      <c r="AV458" s="21">
        <v>147684.91099999999</v>
      </c>
      <c r="AW458" s="21">
        <v>166692.97700000001</v>
      </c>
      <c r="AX458" s="21">
        <v>188122.921</v>
      </c>
      <c r="AY458">
        <v>2013</v>
      </c>
    </row>
    <row r="459" spans="1:51" x14ac:dyDescent="0.25">
      <c r="A459">
        <v>544</v>
      </c>
      <c r="B459" t="s">
        <v>581</v>
      </c>
      <c r="C459" t="s">
        <v>289</v>
      </c>
      <c r="D459" t="s">
        <v>136</v>
      </c>
      <c r="E459" t="s">
        <v>287</v>
      </c>
      <c r="F459" t="s">
        <v>290</v>
      </c>
      <c r="G459" t="s">
        <v>291</v>
      </c>
      <c r="H459" t="s">
        <v>283</v>
      </c>
      <c r="I459" t="s">
        <v>292</v>
      </c>
      <c r="J459">
        <v>1.004</v>
      </c>
      <c r="K459">
        <v>0.58699999999999997</v>
      </c>
      <c r="L459">
        <v>0.58699999999999997</v>
      </c>
      <c r="M459">
        <v>1.075</v>
      </c>
      <c r="N459">
        <v>1.5389999999999999</v>
      </c>
      <c r="O459">
        <v>1.9350000000000001</v>
      </c>
      <c r="P459">
        <v>1.353</v>
      </c>
      <c r="Q459">
        <v>0.95299999999999996</v>
      </c>
      <c r="R459">
        <v>0.621</v>
      </c>
      <c r="S459">
        <v>0.76700000000000002</v>
      </c>
      <c r="T459">
        <v>0.91500000000000004</v>
      </c>
      <c r="U459">
        <v>1.0780000000000001</v>
      </c>
      <c r="V459">
        <v>1.236</v>
      </c>
      <c r="W459">
        <v>1.3919999999999999</v>
      </c>
      <c r="X459">
        <v>1.6180000000000001</v>
      </c>
      <c r="Y459">
        <v>1.88</v>
      </c>
      <c r="Z459">
        <v>1.956</v>
      </c>
      <c r="AA459">
        <v>1.8460000000000001</v>
      </c>
      <c r="AB459">
        <v>1.3</v>
      </c>
      <c r="AC459">
        <v>1.4219999999999999</v>
      </c>
      <c r="AD459">
        <v>1.5720000000000001</v>
      </c>
      <c r="AE459">
        <v>1.5649999999999999</v>
      </c>
      <c r="AF459">
        <v>1.6559999999999999</v>
      </c>
      <c r="AG459">
        <v>2.0329999999999999</v>
      </c>
      <c r="AH459">
        <v>2.3740000000000001</v>
      </c>
      <c r="AI459">
        <v>2.7170000000000001</v>
      </c>
      <c r="AJ459">
        <v>3.548</v>
      </c>
      <c r="AK459">
        <v>4.2169999999999996</v>
      </c>
      <c r="AL459">
        <v>5.2919999999999998</v>
      </c>
      <c r="AM459">
        <v>5.5819999999999999</v>
      </c>
      <c r="AN459">
        <v>6.8419999999999996</v>
      </c>
      <c r="AO459">
        <v>8.0619999999999994</v>
      </c>
      <c r="AP459">
        <v>9.4</v>
      </c>
      <c r="AQ459">
        <v>10.788</v>
      </c>
      <c r="AR459">
        <v>11.680999999999999</v>
      </c>
      <c r="AS459">
        <v>12.548</v>
      </c>
      <c r="AT459">
        <v>13.444000000000001</v>
      </c>
      <c r="AU459">
        <v>15.02</v>
      </c>
      <c r="AV459">
        <v>17.097000000000001</v>
      </c>
      <c r="AW459">
        <v>18.841999999999999</v>
      </c>
      <c r="AX459">
        <v>20.713000000000001</v>
      </c>
      <c r="AY459">
        <v>2013</v>
      </c>
    </row>
    <row r="460" spans="1:51" x14ac:dyDescent="0.25">
      <c r="A460">
        <v>544</v>
      </c>
      <c r="B460" t="s">
        <v>581</v>
      </c>
      <c r="C460" t="s">
        <v>293</v>
      </c>
      <c r="D460" t="s">
        <v>136</v>
      </c>
      <c r="E460" t="s">
        <v>294</v>
      </c>
      <c r="F460" t="s">
        <v>295</v>
      </c>
      <c r="G460" t="s">
        <v>296</v>
      </c>
      <c r="I460" t="s">
        <v>297</v>
      </c>
      <c r="J460">
        <v>0.20399999999999999</v>
      </c>
      <c r="K460">
        <v>0.20200000000000001</v>
      </c>
      <c r="L460">
        <v>0.33800000000000002</v>
      </c>
      <c r="M460">
        <v>0.60099999999999998</v>
      </c>
      <c r="N460">
        <v>0.80800000000000005</v>
      </c>
      <c r="O460">
        <v>1.1970000000000001</v>
      </c>
      <c r="P460">
        <v>1.6850000000000001</v>
      </c>
      <c r="Q460">
        <v>2.21</v>
      </c>
      <c r="R460">
        <v>3.2909999999999999</v>
      </c>
      <c r="S460">
        <v>5.4420000000000002</v>
      </c>
      <c r="T460">
        <v>7.3259999999999996</v>
      </c>
      <c r="U460">
        <v>8.3010000000000002</v>
      </c>
      <c r="V460">
        <v>9.0719999999999992</v>
      </c>
      <c r="W460">
        <v>9.6519999999999992</v>
      </c>
      <c r="X460">
        <v>10.397</v>
      </c>
      <c r="Y460">
        <v>12.439</v>
      </c>
      <c r="Z460">
        <v>14.154999999999999</v>
      </c>
      <c r="AA460">
        <v>16.882000000000001</v>
      </c>
      <c r="AB460">
        <v>30.007000000000001</v>
      </c>
      <c r="AC460">
        <v>67.042000000000002</v>
      </c>
      <c r="AD460">
        <v>81.679000000000002</v>
      </c>
      <c r="AE460">
        <v>89.775000000000006</v>
      </c>
      <c r="AF460">
        <v>100</v>
      </c>
      <c r="AG460">
        <v>113.349</v>
      </c>
      <c r="AH460">
        <v>125.14100000000001</v>
      </c>
      <c r="AI460">
        <v>134.90100000000001</v>
      </c>
      <c r="AJ460">
        <v>154.334</v>
      </c>
      <c r="AK460">
        <v>160.95400000000001</v>
      </c>
      <c r="AL460">
        <v>170.53899999999999</v>
      </c>
      <c r="AM460">
        <v>163.26400000000001</v>
      </c>
      <c r="AN460">
        <v>179.43199999999999</v>
      </c>
      <c r="AO460">
        <v>190.185</v>
      </c>
      <c r="AP460">
        <v>204.922</v>
      </c>
      <c r="AQ460">
        <v>213.30799999999999</v>
      </c>
      <c r="AR460">
        <v>220.786</v>
      </c>
      <c r="AS460">
        <v>223.65299999999999</v>
      </c>
      <c r="AT460">
        <v>225.779</v>
      </c>
      <c r="AU460">
        <v>239.053</v>
      </c>
      <c r="AV460">
        <v>259.19799999999998</v>
      </c>
      <c r="AW460">
        <v>272.47500000000002</v>
      </c>
      <c r="AX460">
        <v>286.43200000000002</v>
      </c>
      <c r="AY460">
        <v>2013</v>
      </c>
    </row>
    <row r="461" spans="1:51" x14ac:dyDescent="0.25">
      <c r="A461">
        <v>544</v>
      </c>
      <c r="B461" t="s">
        <v>581</v>
      </c>
      <c r="C461" t="s">
        <v>298</v>
      </c>
      <c r="D461" t="s">
        <v>136</v>
      </c>
      <c r="E461" t="s">
        <v>299</v>
      </c>
      <c r="F461" t="s">
        <v>300</v>
      </c>
      <c r="G461" t="s">
        <v>282</v>
      </c>
      <c r="H461" t="s">
        <v>283</v>
      </c>
      <c r="I461" t="s">
        <v>583</v>
      </c>
      <c r="J461" t="s">
        <v>285</v>
      </c>
      <c r="K461" t="s">
        <v>285</v>
      </c>
      <c r="L461" t="s">
        <v>285</v>
      </c>
      <c r="M461" t="s">
        <v>285</v>
      </c>
      <c r="N461" t="s">
        <v>285</v>
      </c>
      <c r="O461" t="s">
        <v>285</v>
      </c>
      <c r="P461" t="s">
        <v>285</v>
      </c>
      <c r="Q461" t="s">
        <v>285</v>
      </c>
      <c r="R461" t="s">
        <v>285</v>
      </c>
      <c r="S461" t="s">
        <v>285</v>
      </c>
      <c r="T461" t="s">
        <v>285</v>
      </c>
      <c r="U461" t="s">
        <v>285</v>
      </c>
      <c r="V461" t="s">
        <v>285</v>
      </c>
      <c r="W461" t="s">
        <v>285</v>
      </c>
      <c r="X461" t="s">
        <v>285</v>
      </c>
      <c r="Y461" t="s">
        <v>285</v>
      </c>
      <c r="Z461" t="s">
        <v>285</v>
      </c>
      <c r="AA461" t="s">
        <v>285</v>
      </c>
      <c r="AB461" t="s">
        <v>285</v>
      </c>
      <c r="AC461" t="s">
        <v>285</v>
      </c>
      <c r="AD461" s="21">
        <v>2822.4</v>
      </c>
      <c r="AE461" s="21">
        <v>3427.6309999999999</v>
      </c>
      <c r="AF461" s="21">
        <v>3082.8110000000001</v>
      </c>
      <c r="AG461" s="21">
        <v>4167.8280000000004</v>
      </c>
      <c r="AH461" s="21">
        <v>3721.0430000000001</v>
      </c>
      <c r="AI461" s="21">
        <v>5124.3500000000004</v>
      </c>
      <c r="AJ461" s="21">
        <v>5937.91</v>
      </c>
      <c r="AK461" s="21">
        <v>7192.402</v>
      </c>
      <c r="AL461" s="21">
        <v>7768.0469999999996</v>
      </c>
      <c r="AM461" s="21">
        <v>10056.416999999999</v>
      </c>
      <c r="AN461" s="21">
        <v>13833.215</v>
      </c>
      <c r="AO461" s="21">
        <v>14972.583000000001</v>
      </c>
      <c r="AP461" s="21">
        <v>17315.753000000001</v>
      </c>
      <c r="AQ461" s="21">
        <v>23700.881000000001</v>
      </c>
      <c r="AR461" s="21">
        <v>25738.598999999998</v>
      </c>
      <c r="AS461" s="21">
        <v>28154.059000000001</v>
      </c>
      <c r="AT461" s="21">
        <v>30872.609</v>
      </c>
      <c r="AU461" s="21">
        <v>35083.481</v>
      </c>
      <c r="AV461" s="21">
        <v>41049.226999999999</v>
      </c>
      <c r="AW461" s="21">
        <v>47461.453000000001</v>
      </c>
      <c r="AX461" s="21">
        <v>53357.368000000002</v>
      </c>
      <c r="AY461">
        <v>2013</v>
      </c>
    </row>
    <row r="462" spans="1:51" x14ac:dyDescent="0.25">
      <c r="A462">
        <v>941</v>
      </c>
      <c r="B462" t="s">
        <v>584</v>
      </c>
      <c r="C462" t="s">
        <v>279</v>
      </c>
      <c r="D462" t="s">
        <v>137</v>
      </c>
      <c r="E462" t="s">
        <v>280</v>
      </c>
      <c r="F462" t="s">
        <v>281</v>
      </c>
      <c r="G462" t="s">
        <v>282</v>
      </c>
      <c r="H462" t="s">
        <v>283</v>
      </c>
      <c r="I462" t="s">
        <v>585</v>
      </c>
      <c r="J462" t="s">
        <v>285</v>
      </c>
      <c r="K462" t="s">
        <v>285</v>
      </c>
      <c r="L462" t="s">
        <v>285</v>
      </c>
      <c r="M462" t="s">
        <v>285</v>
      </c>
      <c r="N462" t="s">
        <v>285</v>
      </c>
      <c r="O462" t="s">
        <v>285</v>
      </c>
      <c r="P462" t="s">
        <v>285</v>
      </c>
      <c r="Q462" t="s">
        <v>285</v>
      </c>
      <c r="R462" t="s">
        <v>285</v>
      </c>
      <c r="S462" t="s">
        <v>285</v>
      </c>
      <c r="T462" t="s">
        <v>285</v>
      </c>
      <c r="U462" t="s">
        <v>285</v>
      </c>
      <c r="V462">
        <v>10.847</v>
      </c>
      <c r="W462">
        <v>9.6110000000000007</v>
      </c>
      <c r="X462">
        <v>9.8219999999999992</v>
      </c>
      <c r="Y462">
        <v>9.6170000000000009</v>
      </c>
      <c r="Z462">
        <v>9.86</v>
      </c>
      <c r="AA462">
        <v>10.726000000000001</v>
      </c>
      <c r="AB462">
        <v>11.398999999999999</v>
      </c>
      <c r="AC462">
        <v>11.646000000000001</v>
      </c>
      <c r="AD462">
        <v>12.268000000000001</v>
      </c>
      <c r="AE462">
        <v>13.146000000000001</v>
      </c>
      <c r="AF462">
        <v>14.090999999999999</v>
      </c>
      <c r="AG462">
        <v>15.307</v>
      </c>
      <c r="AH462">
        <v>16.672000000000001</v>
      </c>
      <c r="AI462">
        <v>18.367999999999999</v>
      </c>
      <c r="AJ462">
        <v>20.501999999999999</v>
      </c>
      <c r="AK462">
        <v>22.51</v>
      </c>
      <c r="AL462">
        <v>21.795999999999999</v>
      </c>
      <c r="AM462">
        <v>18.704000000000001</v>
      </c>
      <c r="AN462">
        <v>18.166</v>
      </c>
      <c r="AO462">
        <v>19.074000000000002</v>
      </c>
      <c r="AP462">
        <v>19.995999999999999</v>
      </c>
      <c r="AQ462">
        <v>20.841000000000001</v>
      </c>
      <c r="AR462">
        <v>21.332999999999998</v>
      </c>
      <c r="AS462">
        <v>21.794</v>
      </c>
      <c r="AT462">
        <v>22.518999999999998</v>
      </c>
      <c r="AU462">
        <v>23.359000000000002</v>
      </c>
      <c r="AV462">
        <v>24.266999999999999</v>
      </c>
      <c r="AW462">
        <v>25.222000000000001</v>
      </c>
      <c r="AX462">
        <v>26.234000000000002</v>
      </c>
      <c r="AY462">
        <v>2013</v>
      </c>
    </row>
    <row r="463" spans="1:51" x14ac:dyDescent="0.25">
      <c r="A463">
        <v>941</v>
      </c>
      <c r="B463" t="s">
        <v>584</v>
      </c>
      <c r="C463" t="s">
        <v>286</v>
      </c>
      <c r="D463" t="s">
        <v>137</v>
      </c>
      <c r="E463" t="s">
        <v>287</v>
      </c>
      <c r="F463" t="s">
        <v>288</v>
      </c>
      <c r="G463" t="s">
        <v>282</v>
      </c>
      <c r="H463" t="s">
        <v>283</v>
      </c>
      <c r="I463" t="s">
        <v>585</v>
      </c>
      <c r="J463" t="s">
        <v>285</v>
      </c>
      <c r="K463" t="s">
        <v>285</v>
      </c>
      <c r="L463" t="s">
        <v>285</v>
      </c>
      <c r="M463" t="s">
        <v>285</v>
      </c>
      <c r="N463" t="s">
        <v>285</v>
      </c>
      <c r="O463" t="s">
        <v>285</v>
      </c>
      <c r="P463" t="s">
        <v>285</v>
      </c>
      <c r="Q463" t="s">
        <v>285</v>
      </c>
      <c r="R463" t="s">
        <v>285</v>
      </c>
      <c r="S463" t="s">
        <v>285</v>
      </c>
      <c r="T463" t="s">
        <v>285</v>
      </c>
      <c r="U463" t="s">
        <v>285</v>
      </c>
      <c r="V463">
        <v>1.768</v>
      </c>
      <c r="W463">
        <v>2.5819999999999999</v>
      </c>
      <c r="X463">
        <v>3.5960000000000001</v>
      </c>
      <c r="Y463">
        <v>4.0460000000000003</v>
      </c>
      <c r="Z463">
        <v>4.6689999999999996</v>
      </c>
      <c r="AA463">
        <v>5.3730000000000002</v>
      </c>
      <c r="AB463">
        <v>5.9820000000000002</v>
      </c>
      <c r="AC463">
        <v>6.2069999999999999</v>
      </c>
      <c r="AD463">
        <v>6.7789999999999999</v>
      </c>
      <c r="AE463">
        <v>7.4320000000000004</v>
      </c>
      <c r="AF463">
        <v>8.3780000000000001</v>
      </c>
      <c r="AG463">
        <v>9.5510000000000002</v>
      </c>
      <c r="AH463">
        <v>11.108000000000001</v>
      </c>
      <c r="AI463">
        <v>13.603999999999999</v>
      </c>
      <c r="AJ463">
        <v>17.077999999999999</v>
      </c>
      <c r="AK463">
        <v>22.536999999999999</v>
      </c>
      <c r="AL463">
        <v>24.4</v>
      </c>
      <c r="AM463">
        <v>18.893999999999998</v>
      </c>
      <c r="AN463">
        <v>18.166</v>
      </c>
      <c r="AO463">
        <v>20.297000000000001</v>
      </c>
      <c r="AP463">
        <v>22.042999999999999</v>
      </c>
      <c r="AQ463">
        <v>23.222000000000001</v>
      </c>
      <c r="AR463">
        <v>24.06</v>
      </c>
      <c r="AS463">
        <v>25.018999999999998</v>
      </c>
      <c r="AT463">
        <v>26.283999999999999</v>
      </c>
      <c r="AU463">
        <v>27.890999999999998</v>
      </c>
      <c r="AV463">
        <v>29.611999999999998</v>
      </c>
      <c r="AW463">
        <v>31.404</v>
      </c>
      <c r="AX463">
        <v>33.335999999999999</v>
      </c>
      <c r="AY463">
        <v>2013</v>
      </c>
    </row>
    <row r="464" spans="1:51" x14ac:dyDescent="0.25">
      <c r="A464">
        <v>941</v>
      </c>
      <c r="B464" t="s">
        <v>584</v>
      </c>
      <c r="C464" t="s">
        <v>289</v>
      </c>
      <c r="D464" t="s">
        <v>137</v>
      </c>
      <c r="E464" t="s">
        <v>287</v>
      </c>
      <c r="F464" t="s">
        <v>290</v>
      </c>
      <c r="G464" t="s">
        <v>291</v>
      </c>
      <c r="H464" t="s">
        <v>283</v>
      </c>
      <c r="I464" t="s">
        <v>292</v>
      </c>
      <c r="J464" t="s">
        <v>285</v>
      </c>
      <c r="K464" t="s">
        <v>285</v>
      </c>
      <c r="L464" t="s">
        <v>285</v>
      </c>
      <c r="M464" t="s">
        <v>285</v>
      </c>
      <c r="N464" t="s">
        <v>285</v>
      </c>
      <c r="O464" t="s">
        <v>285</v>
      </c>
      <c r="P464" t="s">
        <v>285</v>
      </c>
      <c r="Q464" t="s">
        <v>285</v>
      </c>
      <c r="R464" t="s">
        <v>285</v>
      </c>
      <c r="S464" t="s">
        <v>285</v>
      </c>
      <c r="T464" t="s">
        <v>285</v>
      </c>
      <c r="U464" t="s">
        <v>285</v>
      </c>
      <c r="V464">
        <v>1.6890000000000001</v>
      </c>
      <c r="W464">
        <v>2.7189999999999999</v>
      </c>
      <c r="X464">
        <v>4.5179999999999998</v>
      </c>
      <c r="Y464">
        <v>5.3920000000000003</v>
      </c>
      <c r="Z464">
        <v>5.9589999999999996</v>
      </c>
      <c r="AA464">
        <v>6.5019999999999998</v>
      </c>
      <c r="AB464">
        <v>7.1310000000000002</v>
      </c>
      <c r="AC464">
        <v>7.4560000000000004</v>
      </c>
      <c r="AD464">
        <v>7.8639999999999999</v>
      </c>
      <c r="AE464">
        <v>8.32</v>
      </c>
      <c r="AF464">
        <v>9.532</v>
      </c>
      <c r="AG464">
        <v>11.750999999999999</v>
      </c>
      <c r="AH464">
        <v>14.454000000000001</v>
      </c>
      <c r="AI464">
        <v>16.957999999999998</v>
      </c>
      <c r="AJ464">
        <v>21.436</v>
      </c>
      <c r="AK464">
        <v>30.87</v>
      </c>
      <c r="AL464">
        <v>35.834000000000003</v>
      </c>
      <c r="AM464">
        <v>26.331</v>
      </c>
      <c r="AN464">
        <v>24.111999999999998</v>
      </c>
      <c r="AO464">
        <v>28.488</v>
      </c>
      <c r="AP464">
        <v>28.343</v>
      </c>
      <c r="AQ464">
        <v>30.838000000000001</v>
      </c>
      <c r="AR464">
        <v>31.972000000000001</v>
      </c>
      <c r="AS464">
        <v>27.821999999999999</v>
      </c>
      <c r="AT464">
        <v>29.288</v>
      </c>
      <c r="AU464">
        <v>31.416</v>
      </c>
      <c r="AV464">
        <v>33.695999999999998</v>
      </c>
      <c r="AW464">
        <v>36.003</v>
      </c>
      <c r="AX464">
        <v>38.834000000000003</v>
      </c>
      <c r="AY464">
        <v>2013</v>
      </c>
    </row>
    <row r="465" spans="1:51" x14ac:dyDescent="0.25">
      <c r="A465">
        <v>941</v>
      </c>
      <c r="B465" t="s">
        <v>584</v>
      </c>
      <c r="C465" t="s">
        <v>293</v>
      </c>
      <c r="D465" t="s">
        <v>137</v>
      </c>
      <c r="E465" t="s">
        <v>294</v>
      </c>
      <c r="F465" t="s">
        <v>295</v>
      </c>
      <c r="G465" t="s">
        <v>296</v>
      </c>
      <c r="I465" t="s">
        <v>297</v>
      </c>
      <c r="J465" t="s">
        <v>285</v>
      </c>
      <c r="K465" t="s">
        <v>285</v>
      </c>
      <c r="L465" t="s">
        <v>285</v>
      </c>
      <c r="M465" t="s">
        <v>285</v>
      </c>
      <c r="N465" t="s">
        <v>285</v>
      </c>
      <c r="O465" t="s">
        <v>285</v>
      </c>
      <c r="P465" t="s">
        <v>285</v>
      </c>
      <c r="Q465" t="s">
        <v>285</v>
      </c>
      <c r="R465" t="s">
        <v>285</v>
      </c>
      <c r="S465" t="s">
        <v>285</v>
      </c>
      <c r="T465" t="s">
        <v>285</v>
      </c>
      <c r="U465" t="s">
        <v>285</v>
      </c>
      <c r="V465">
        <v>16.302</v>
      </c>
      <c r="W465">
        <v>26.870999999999999</v>
      </c>
      <c r="X465">
        <v>36.606999999999999</v>
      </c>
      <c r="Y465">
        <v>42.067</v>
      </c>
      <c r="Z465">
        <v>47.359000000000002</v>
      </c>
      <c r="AA465">
        <v>50.097999999999999</v>
      </c>
      <c r="AB465">
        <v>52.478999999999999</v>
      </c>
      <c r="AC465">
        <v>53.302</v>
      </c>
      <c r="AD465">
        <v>55.252000000000002</v>
      </c>
      <c r="AE465">
        <v>56.534999999999997</v>
      </c>
      <c r="AF465">
        <v>59.454999999999998</v>
      </c>
      <c r="AG465">
        <v>62.393000000000001</v>
      </c>
      <c r="AH465">
        <v>66.623999999999995</v>
      </c>
      <c r="AI465">
        <v>74.066000000000003</v>
      </c>
      <c r="AJ465">
        <v>83.296000000000006</v>
      </c>
      <c r="AK465">
        <v>100.116</v>
      </c>
      <c r="AL465">
        <v>111.947</v>
      </c>
      <c r="AM465">
        <v>101.015</v>
      </c>
      <c r="AN465">
        <v>100</v>
      </c>
      <c r="AO465">
        <v>106.414</v>
      </c>
      <c r="AP465">
        <v>110.236</v>
      </c>
      <c r="AQ465">
        <v>111.423</v>
      </c>
      <c r="AR465">
        <v>112.779</v>
      </c>
      <c r="AS465">
        <v>114.79600000000001</v>
      </c>
      <c r="AT465">
        <v>116.721</v>
      </c>
      <c r="AU465">
        <v>119.402</v>
      </c>
      <c r="AV465">
        <v>122.026</v>
      </c>
      <c r="AW465">
        <v>124.509</v>
      </c>
      <c r="AX465">
        <v>127.074</v>
      </c>
      <c r="AY465">
        <v>2013</v>
      </c>
    </row>
    <row r="466" spans="1:51" x14ac:dyDescent="0.25">
      <c r="A466">
        <v>941</v>
      </c>
      <c r="B466" t="s">
        <v>584</v>
      </c>
      <c r="C466" t="s">
        <v>298</v>
      </c>
      <c r="D466" t="s">
        <v>137</v>
      </c>
      <c r="E466" t="s">
        <v>299</v>
      </c>
      <c r="F466" t="s">
        <v>300</v>
      </c>
      <c r="G466" t="s">
        <v>282</v>
      </c>
      <c r="H466" t="s">
        <v>283</v>
      </c>
      <c r="I466" t="s">
        <v>586</v>
      </c>
      <c r="J466" t="s">
        <v>285</v>
      </c>
      <c r="K466" t="s">
        <v>285</v>
      </c>
      <c r="L466" t="s">
        <v>285</v>
      </c>
      <c r="M466" t="s">
        <v>285</v>
      </c>
      <c r="N466" t="s">
        <v>285</v>
      </c>
      <c r="O466" t="s">
        <v>285</v>
      </c>
      <c r="P466" t="s">
        <v>285</v>
      </c>
      <c r="Q466" t="s">
        <v>285</v>
      </c>
      <c r="R466" t="s">
        <v>285</v>
      </c>
      <c r="S466" t="s">
        <v>285</v>
      </c>
      <c r="T466" t="s">
        <v>285</v>
      </c>
      <c r="U466" t="s">
        <v>285</v>
      </c>
      <c r="V466" t="s">
        <v>285</v>
      </c>
      <c r="W466" t="s">
        <v>285</v>
      </c>
      <c r="X466" t="s">
        <v>285</v>
      </c>
      <c r="Y466" t="s">
        <v>285</v>
      </c>
      <c r="Z466" t="s">
        <v>285</v>
      </c>
      <c r="AA466" t="s">
        <v>285</v>
      </c>
      <c r="AB466">
        <v>2.23</v>
      </c>
      <c r="AC466">
        <v>2.4649999999999999</v>
      </c>
      <c r="AD466">
        <v>2.4809999999999999</v>
      </c>
      <c r="AE466">
        <v>2.5630000000000002</v>
      </c>
      <c r="AF466">
        <v>2.8769999999999998</v>
      </c>
      <c r="AG466">
        <v>3.1480000000000001</v>
      </c>
      <c r="AH466">
        <v>3.6989999999999998</v>
      </c>
      <c r="AI466">
        <v>4.6920000000000002</v>
      </c>
      <c r="AJ466">
        <v>5.7919999999999998</v>
      </c>
      <c r="AK466">
        <v>7.4779999999999998</v>
      </c>
      <c r="AL466">
        <v>8.9160000000000004</v>
      </c>
      <c r="AM466">
        <v>8.0559999999999992</v>
      </c>
      <c r="AN466">
        <v>7.718</v>
      </c>
      <c r="AO466">
        <v>7.8639999999999999</v>
      </c>
      <c r="AP466">
        <v>8.1530000000000005</v>
      </c>
      <c r="AQ466">
        <v>8.5090000000000003</v>
      </c>
      <c r="AR466">
        <v>8.9350000000000005</v>
      </c>
      <c r="AS466">
        <v>9.1349999999999998</v>
      </c>
      <c r="AT466">
        <v>9.1839999999999993</v>
      </c>
      <c r="AU466">
        <v>9.6140000000000008</v>
      </c>
      <c r="AV466">
        <v>10.096</v>
      </c>
      <c r="AW466">
        <v>10.596</v>
      </c>
      <c r="AX466">
        <v>11.06</v>
      </c>
      <c r="AY466">
        <v>2013</v>
      </c>
    </row>
    <row r="467" spans="1:51" x14ac:dyDescent="0.25">
      <c r="A467">
        <v>446</v>
      </c>
      <c r="B467" t="s">
        <v>587</v>
      </c>
      <c r="C467" t="s">
        <v>279</v>
      </c>
      <c r="D467" t="s">
        <v>138</v>
      </c>
      <c r="E467" t="s">
        <v>280</v>
      </c>
      <c r="F467" t="s">
        <v>281</v>
      </c>
      <c r="G467" t="s">
        <v>282</v>
      </c>
      <c r="H467" t="s">
        <v>283</v>
      </c>
      <c r="I467" t="s">
        <v>588</v>
      </c>
      <c r="J467" s="21">
        <v>22358.048999999999</v>
      </c>
      <c r="K467" s="21">
        <v>22480.942999999999</v>
      </c>
      <c r="L467" s="21">
        <v>14210.468000000001</v>
      </c>
      <c r="M467" s="21">
        <v>17437.637999999999</v>
      </c>
      <c r="N467" s="21">
        <v>25193.768</v>
      </c>
      <c r="O467" s="21">
        <v>31315.830999999998</v>
      </c>
      <c r="P467" s="21">
        <v>29194.73</v>
      </c>
      <c r="Q467" s="21">
        <v>34078.724999999999</v>
      </c>
      <c r="R467" s="21">
        <v>24465.493999999999</v>
      </c>
      <c r="S467" s="21">
        <v>14142.192999999999</v>
      </c>
      <c r="T467" s="21">
        <v>12244.125</v>
      </c>
      <c r="U467" s="21">
        <v>16921.381000000001</v>
      </c>
      <c r="V467" s="21">
        <v>17681.972000000002</v>
      </c>
      <c r="W467" s="21">
        <v>18919.661</v>
      </c>
      <c r="X467" s="21">
        <v>20438.866999999998</v>
      </c>
      <c r="Y467" s="21">
        <v>21765.918000000001</v>
      </c>
      <c r="Z467" s="21">
        <v>22644.870999999999</v>
      </c>
      <c r="AA467" s="21">
        <v>24952.363000000001</v>
      </c>
      <c r="AB467" s="21">
        <v>25925.505000000001</v>
      </c>
      <c r="AC467" s="21">
        <v>25718.100999999999</v>
      </c>
      <c r="AD467" s="21">
        <v>26001</v>
      </c>
      <c r="AE467" s="21">
        <v>27015.039000000001</v>
      </c>
      <c r="AF467" s="21">
        <v>27933.55</v>
      </c>
      <c r="AG467" s="21">
        <v>28408.420999999998</v>
      </c>
      <c r="AH467" s="21">
        <v>29844.724999999999</v>
      </c>
      <c r="AI467" s="21">
        <v>30650.532999999999</v>
      </c>
      <c r="AJ467" s="21">
        <v>31140.940999999999</v>
      </c>
      <c r="AK467" s="21">
        <v>34068.19</v>
      </c>
      <c r="AL467" s="21">
        <v>37168.394999999997</v>
      </c>
      <c r="AM467" s="21">
        <v>40996.74</v>
      </c>
      <c r="AN467" s="21">
        <v>44276.478999999999</v>
      </c>
      <c r="AO467" s="21">
        <v>44674.966999999997</v>
      </c>
      <c r="AP467" s="21">
        <v>45925.866000000002</v>
      </c>
      <c r="AQ467" s="21">
        <v>47074.012999999999</v>
      </c>
      <c r="AR467" s="21">
        <v>48015.493000000002</v>
      </c>
      <c r="AS467" s="21">
        <v>48975.803</v>
      </c>
      <c r="AT467" s="21">
        <v>50200.197999999997</v>
      </c>
      <c r="AU467" s="21">
        <v>51706.203999999998</v>
      </c>
      <c r="AV467" s="21">
        <v>53257.39</v>
      </c>
      <c r="AW467" s="21">
        <v>55387.686000000002</v>
      </c>
      <c r="AX467" s="21">
        <v>57603.192999999999</v>
      </c>
      <c r="AY467">
        <v>2011</v>
      </c>
    </row>
    <row r="468" spans="1:51" x14ac:dyDescent="0.25">
      <c r="A468">
        <v>446</v>
      </c>
      <c r="B468" t="s">
        <v>587</v>
      </c>
      <c r="C468" t="s">
        <v>286</v>
      </c>
      <c r="D468" t="s">
        <v>138</v>
      </c>
      <c r="E468" t="s">
        <v>287</v>
      </c>
      <c r="F468" t="s">
        <v>288</v>
      </c>
      <c r="G468" t="s">
        <v>282</v>
      </c>
      <c r="H468" t="s">
        <v>283</v>
      </c>
      <c r="I468" t="s">
        <v>588</v>
      </c>
      <c r="J468">
        <v>14</v>
      </c>
      <c r="K468">
        <v>16.8</v>
      </c>
      <c r="L468">
        <v>12.599</v>
      </c>
      <c r="M468">
        <v>16.573</v>
      </c>
      <c r="N468">
        <v>28.170999999999999</v>
      </c>
      <c r="O468">
        <v>59.329000000000001</v>
      </c>
      <c r="P468">
        <v>108.096</v>
      </c>
      <c r="Q468">
        <v>740.74300000000005</v>
      </c>
      <c r="R468" s="21">
        <v>1356</v>
      </c>
      <c r="S468" s="21">
        <v>1350</v>
      </c>
      <c r="T468" s="21">
        <v>1973</v>
      </c>
      <c r="U468" s="21">
        <v>4132</v>
      </c>
      <c r="V468" s="21">
        <v>9499</v>
      </c>
      <c r="W468" s="21">
        <v>13121.6</v>
      </c>
      <c r="X468" s="21">
        <v>15305</v>
      </c>
      <c r="Y468" s="21">
        <v>18027.607</v>
      </c>
      <c r="Z468" s="21">
        <v>20417.346000000001</v>
      </c>
      <c r="AA468" s="21">
        <v>24239</v>
      </c>
      <c r="AB468" s="21">
        <v>26212</v>
      </c>
      <c r="AC468" s="21">
        <v>26244</v>
      </c>
      <c r="AD468" s="21">
        <v>26001</v>
      </c>
      <c r="AE468" s="21">
        <v>26524</v>
      </c>
      <c r="AF468" s="21">
        <v>28780</v>
      </c>
      <c r="AG468" s="21">
        <v>29771</v>
      </c>
      <c r="AH468" s="21">
        <v>31593</v>
      </c>
      <c r="AI468" s="21">
        <v>32089</v>
      </c>
      <c r="AJ468" s="21">
        <v>32859</v>
      </c>
      <c r="AK468" s="21">
        <v>37050</v>
      </c>
      <c r="AL468" s="21">
        <v>43465</v>
      </c>
      <c r="AM468" s="21">
        <v>52974</v>
      </c>
      <c r="AN468" s="21">
        <v>57300</v>
      </c>
      <c r="AO468" s="21">
        <v>60414</v>
      </c>
      <c r="AP468" s="21">
        <v>66481</v>
      </c>
      <c r="AQ468" s="21">
        <v>71754.604999999996</v>
      </c>
      <c r="AR468" s="21">
        <v>75417.197</v>
      </c>
      <c r="AS468" s="21">
        <v>81999.883000000002</v>
      </c>
      <c r="AT468" s="21">
        <v>85969.982000000004</v>
      </c>
      <c r="AU468" s="21">
        <v>89562.062000000005</v>
      </c>
      <c r="AV468" s="21">
        <v>93775.735000000001</v>
      </c>
      <c r="AW468" s="21">
        <v>99679.942999999999</v>
      </c>
      <c r="AX468" s="21">
        <v>105955.88499999999</v>
      </c>
      <c r="AY468">
        <v>2011</v>
      </c>
    </row>
    <row r="469" spans="1:51" x14ac:dyDescent="0.25">
      <c r="A469">
        <v>446</v>
      </c>
      <c r="B469" t="s">
        <v>587</v>
      </c>
      <c r="C469" t="s">
        <v>289</v>
      </c>
      <c r="D469" t="s">
        <v>138</v>
      </c>
      <c r="E469" t="s">
        <v>287</v>
      </c>
      <c r="F469" t="s">
        <v>290</v>
      </c>
      <c r="G469" t="s">
        <v>291</v>
      </c>
      <c r="H469" t="s">
        <v>283</v>
      </c>
      <c r="I469" t="s">
        <v>292</v>
      </c>
      <c r="J469">
        <v>4.0739999999999998</v>
      </c>
      <c r="K469">
        <v>3.8940000000000001</v>
      </c>
      <c r="L469">
        <v>2.6560000000000001</v>
      </c>
      <c r="M469">
        <v>3.66</v>
      </c>
      <c r="N469">
        <v>4.327</v>
      </c>
      <c r="O469">
        <v>3.6139999999999999</v>
      </c>
      <c r="P469">
        <v>2.8170000000000002</v>
      </c>
      <c r="Q469">
        <v>3.298</v>
      </c>
      <c r="R469">
        <v>3.3140000000000001</v>
      </c>
      <c r="S469">
        <v>2.718</v>
      </c>
      <c r="T469">
        <v>2.8380000000000001</v>
      </c>
      <c r="U469">
        <v>4.452</v>
      </c>
      <c r="V469">
        <v>5.5460000000000003</v>
      </c>
      <c r="W469">
        <v>7.5350000000000001</v>
      </c>
      <c r="X469">
        <v>9.11</v>
      </c>
      <c r="Y469">
        <v>11.119</v>
      </c>
      <c r="Z469">
        <v>12.997</v>
      </c>
      <c r="AA469">
        <v>15.744999999999999</v>
      </c>
      <c r="AB469">
        <v>17.289000000000001</v>
      </c>
      <c r="AC469">
        <v>17.405000000000001</v>
      </c>
      <c r="AD469">
        <v>17.248000000000001</v>
      </c>
      <c r="AE469">
        <v>17.594999999999999</v>
      </c>
      <c r="AF469">
        <v>19.091000000000001</v>
      </c>
      <c r="AG469">
        <v>19.748999999999999</v>
      </c>
      <c r="AH469">
        <v>20.957000000000001</v>
      </c>
      <c r="AI469">
        <v>21.286000000000001</v>
      </c>
      <c r="AJ469">
        <v>21.797000000000001</v>
      </c>
      <c r="AK469">
        <v>24.577000000000002</v>
      </c>
      <c r="AL469">
        <v>28.832999999999998</v>
      </c>
      <c r="AM469">
        <v>35.14</v>
      </c>
      <c r="AN469">
        <v>38.01</v>
      </c>
      <c r="AO469">
        <v>40.076000000000001</v>
      </c>
      <c r="AP469">
        <v>44.1</v>
      </c>
      <c r="AQ469">
        <v>47.597999999999999</v>
      </c>
      <c r="AR469">
        <v>50.027999999999999</v>
      </c>
      <c r="AS469">
        <v>54.395000000000003</v>
      </c>
      <c r="AT469">
        <v>57.027999999999999</v>
      </c>
      <c r="AU469">
        <v>59.411000000000001</v>
      </c>
      <c r="AV469">
        <v>62.206000000000003</v>
      </c>
      <c r="AW469">
        <v>66.123000000000005</v>
      </c>
      <c r="AX469">
        <v>70.286000000000001</v>
      </c>
      <c r="AY469">
        <v>2011</v>
      </c>
    </row>
    <row r="470" spans="1:51" x14ac:dyDescent="0.25">
      <c r="A470">
        <v>446</v>
      </c>
      <c r="B470" t="s">
        <v>587</v>
      </c>
      <c r="C470" t="s">
        <v>293</v>
      </c>
      <c r="D470" t="s">
        <v>138</v>
      </c>
      <c r="E470" t="s">
        <v>294</v>
      </c>
      <c r="F470" t="s">
        <v>295</v>
      </c>
      <c r="G470" t="s">
        <v>296</v>
      </c>
      <c r="I470" t="s">
        <v>297</v>
      </c>
      <c r="J470">
        <v>6.3E-2</v>
      </c>
      <c r="K470">
        <v>7.4999999999999997E-2</v>
      </c>
      <c r="L470">
        <v>8.8999999999999996E-2</v>
      </c>
      <c r="M470">
        <v>9.5000000000000001E-2</v>
      </c>
      <c r="N470">
        <v>0.112</v>
      </c>
      <c r="O470">
        <v>0.189</v>
      </c>
      <c r="P470">
        <v>0.37</v>
      </c>
      <c r="Q470">
        <v>2.1739999999999999</v>
      </c>
      <c r="R470">
        <v>5.5419999999999998</v>
      </c>
      <c r="S470">
        <v>9.5459999999999994</v>
      </c>
      <c r="T470">
        <v>16.114000000000001</v>
      </c>
      <c r="U470">
        <v>24.419</v>
      </c>
      <c r="V470">
        <v>53.720999999999997</v>
      </c>
      <c r="W470">
        <v>69.353999999999999</v>
      </c>
      <c r="X470">
        <v>74.882000000000005</v>
      </c>
      <c r="Y470">
        <v>82.825000000000003</v>
      </c>
      <c r="Z470">
        <v>90.162999999999997</v>
      </c>
      <c r="AA470">
        <v>97.141000000000005</v>
      </c>
      <c r="AB470">
        <v>101.105</v>
      </c>
      <c r="AC470">
        <v>102.045</v>
      </c>
      <c r="AD470">
        <v>100</v>
      </c>
      <c r="AE470">
        <v>98.182000000000002</v>
      </c>
      <c r="AF470">
        <v>103.03</v>
      </c>
      <c r="AG470">
        <v>104.79600000000001</v>
      </c>
      <c r="AH470">
        <v>105.858</v>
      </c>
      <c r="AI470">
        <v>104.693</v>
      </c>
      <c r="AJ470">
        <v>105.517</v>
      </c>
      <c r="AK470">
        <v>108.752</v>
      </c>
      <c r="AL470">
        <v>116.941</v>
      </c>
      <c r="AM470">
        <v>129.215</v>
      </c>
      <c r="AN470">
        <v>129.41399999999999</v>
      </c>
      <c r="AO470">
        <v>135.22999999999999</v>
      </c>
      <c r="AP470">
        <v>144.75700000000001</v>
      </c>
      <c r="AQ470">
        <v>152.429</v>
      </c>
      <c r="AR470">
        <v>157.06800000000001</v>
      </c>
      <c r="AS470">
        <v>167.429</v>
      </c>
      <c r="AT470">
        <v>171.25399999999999</v>
      </c>
      <c r="AU470">
        <v>173.21299999999999</v>
      </c>
      <c r="AV470">
        <v>176.08</v>
      </c>
      <c r="AW470">
        <v>179.96799999999999</v>
      </c>
      <c r="AX470">
        <v>183.941</v>
      </c>
      <c r="AY470">
        <v>2011</v>
      </c>
    </row>
    <row r="471" spans="1:51" x14ac:dyDescent="0.25">
      <c r="A471">
        <v>446</v>
      </c>
      <c r="B471" t="s">
        <v>587</v>
      </c>
      <c r="C471" t="s">
        <v>298</v>
      </c>
      <c r="D471" t="s">
        <v>138</v>
      </c>
      <c r="E471" t="s">
        <v>299</v>
      </c>
      <c r="F471" t="s">
        <v>300</v>
      </c>
      <c r="G471" t="s">
        <v>282</v>
      </c>
      <c r="H471" t="s">
        <v>283</v>
      </c>
      <c r="I471" t="s">
        <v>589</v>
      </c>
      <c r="J471" t="s">
        <v>285</v>
      </c>
      <c r="K471" t="s">
        <v>285</v>
      </c>
      <c r="L471" t="s">
        <v>285</v>
      </c>
      <c r="M471" t="s">
        <v>285</v>
      </c>
      <c r="N471" t="s">
        <v>285</v>
      </c>
      <c r="O471" t="s">
        <v>285</v>
      </c>
      <c r="P471" t="s">
        <v>285</v>
      </c>
      <c r="Q471" t="s">
        <v>285</v>
      </c>
      <c r="R471" t="s">
        <v>285</v>
      </c>
      <c r="S471" t="s">
        <v>285</v>
      </c>
      <c r="T471" t="s">
        <v>285</v>
      </c>
      <c r="U471" t="s">
        <v>285</v>
      </c>
      <c r="V471" t="s">
        <v>285</v>
      </c>
      <c r="W471" t="s">
        <v>285</v>
      </c>
      <c r="X471" t="s">
        <v>285</v>
      </c>
      <c r="Y471" s="21">
        <v>5532.09</v>
      </c>
      <c r="Z471" s="21">
        <v>8779.8580000000002</v>
      </c>
      <c r="AA471" s="21">
        <v>9696.9619999999995</v>
      </c>
      <c r="AB471" s="21">
        <v>8970.1820000000007</v>
      </c>
      <c r="AC471" s="21">
        <v>9209.2729999999992</v>
      </c>
      <c r="AD471" s="21">
        <v>10991.882</v>
      </c>
      <c r="AE471" s="21">
        <v>10187.392</v>
      </c>
      <c r="AF471" s="21">
        <v>10444.805</v>
      </c>
      <c r="AG471" s="21">
        <v>10699.55</v>
      </c>
      <c r="AH471" s="21">
        <v>10621.575000000001</v>
      </c>
      <c r="AI471" s="21">
        <v>10183.187</v>
      </c>
      <c r="AJ471" s="21">
        <v>11995.81</v>
      </c>
      <c r="AK471" s="21">
        <v>13171.951999999999</v>
      </c>
      <c r="AL471" s="21">
        <v>15067.536</v>
      </c>
      <c r="AM471" s="21">
        <v>17122.839</v>
      </c>
      <c r="AN471" s="21">
        <v>16894.317999999999</v>
      </c>
      <c r="AO471" s="21">
        <v>17347.142</v>
      </c>
      <c r="AP471" s="21">
        <v>20058.556</v>
      </c>
      <c r="AQ471" s="21">
        <v>20434.523000000001</v>
      </c>
      <c r="AR471" s="21">
        <v>20905.324000000001</v>
      </c>
      <c r="AS471" s="21">
        <v>23797.98</v>
      </c>
      <c r="AT471" s="21">
        <v>24211.857</v>
      </c>
      <c r="AU471" s="21">
        <v>26059.835999999999</v>
      </c>
      <c r="AV471" s="21">
        <v>27908.368999999999</v>
      </c>
      <c r="AW471" s="21">
        <v>30259.34</v>
      </c>
      <c r="AX471" s="21">
        <v>32330.234</v>
      </c>
      <c r="AY471">
        <v>2013</v>
      </c>
    </row>
    <row r="472" spans="1:51" x14ac:dyDescent="0.25">
      <c r="A472">
        <v>666</v>
      </c>
      <c r="B472" t="s">
        <v>590</v>
      </c>
      <c r="C472" t="s">
        <v>279</v>
      </c>
      <c r="D472" t="s">
        <v>139</v>
      </c>
      <c r="E472" t="s">
        <v>280</v>
      </c>
      <c r="F472" t="s">
        <v>281</v>
      </c>
      <c r="G472" t="s">
        <v>282</v>
      </c>
      <c r="H472" t="s">
        <v>283</v>
      </c>
      <c r="I472" t="s">
        <v>591</v>
      </c>
      <c r="J472">
        <v>3.2109999999999999</v>
      </c>
      <c r="K472">
        <v>3.31</v>
      </c>
      <c r="L472">
        <v>3.4940000000000002</v>
      </c>
      <c r="M472">
        <v>3.5979999999999999</v>
      </c>
      <c r="N472">
        <v>3.754</v>
      </c>
      <c r="O472">
        <v>3.8780000000000001</v>
      </c>
      <c r="P472">
        <v>4.0359999999999996</v>
      </c>
      <c r="Q472">
        <v>4.1219999999999999</v>
      </c>
      <c r="R472">
        <v>4.4409999999999998</v>
      </c>
      <c r="S472">
        <v>4.6859999999999999</v>
      </c>
      <c r="T472">
        <v>4.9290000000000003</v>
      </c>
      <c r="U472">
        <v>5.1639999999999997</v>
      </c>
      <c r="V472">
        <v>5.4859999999999998</v>
      </c>
      <c r="W472">
        <v>5.6970000000000001</v>
      </c>
      <c r="X472">
        <v>5.952</v>
      </c>
      <c r="Y472">
        <v>6.1189999999999998</v>
      </c>
      <c r="Z472">
        <v>6.42</v>
      </c>
      <c r="AA472">
        <v>6.6440000000000001</v>
      </c>
      <c r="AB472">
        <v>6.7370000000000001</v>
      </c>
      <c r="AC472">
        <v>6.8440000000000003</v>
      </c>
      <c r="AD472">
        <v>7.18</v>
      </c>
      <c r="AE472">
        <v>7.415</v>
      </c>
      <c r="AF472">
        <v>7.532</v>
      </c>
      <c r="AG472">
        <v>7.8390000000000004</v>
      </c>
      <c r="AH472">
        <v>8.0269999999999992</v>
      </c>
      <c r="AI472">
        <v>8.2759999999999998</v>
      </c>
      <c r="AJ472">
        <v>8.6419999999999995</v>
      </c>
      <c r="AK472">
        <v>9.0730000000000004</v>
      </c>
      <c r="AL472">
        <v>9.5380000000000003</v>
      </c>
      <c r="AM472">
        <v>9.9689999999999994</v>
      </c>
      <c r="AN472">
        <v>10.654</v>
      </c>
      <c r="AO472">
        <v>11.135999999999999</v>
      </c>
      <c r="AP472">
        <v>11.724</v>
      </c>
      <c r="AQ472">
        <v>12.143000000000001</v>
      </c>
      <c r="AR472">
        <v>12.561999999999999</v>
      </c>
      <c r="AS472">
        <v>12.89</v>
      </c>
      <c r="AT472">
        <v>13.268000000000001</v>
      </c>
      <c r="AU472">
        <v>13.87</v>
      </c>
      <c r="AV472">
        <v>14.628</v>
      </c>
      <c r="AW472">
        <v>15.156000000000001</v>
      </c>
      <c r="AX472">
        <v>15.696</v>
      </c>
      <c r="AY472">
        <v>2014</v>
      </c>
    </row>
    <row r="473" spans="1:51" x14ac:dyDescent="0.25">
      <c r="A473">
        <v>666</v>
      </c>
      <c r="B473" t="s">
        <v>590</v>
      </c>
      <c r="C473" t="s">
        <v>286</v>
      </c>
      <c r="D473" t="s">
        <v>139</v>
      </c>
      <c r="E473" t="s">
        <v>287</v>
      </c>
      <c r="F473" t="s">
        <v>288</v>
      </c>
      <c r="G473" t="s">
        <v>282</v>
      </c>
      <c r="H473" t="s">
        <v>283</v>
      </c>
      <c r="I473" t="s">
        <v>591</v>
      </c>
      <c r="J473">
        <v>0.32</v>
      </c>
      <c r="K473">
        <v>0.36299999999999999</v>
      </c>
      <c r="L473">
        <v>0.376</v>
      </c>
      <c r="M473">
        <v>0.42499999999999999</v>
      </c>
      <c r="N473">
        <v>0.49199999999999999</v>
      </c>
      <c r="O473">
        <v>0.59899999999999998</v>
      </c>
      <c r="P473">
        <v>0.71199999999999997</v>
      </c>
      <c r="Q473">
        <v>0.83499999999999996</v>
      </c>
      <c r="R473">
        <v>1.0580000000000001</v>
      </c>
      <c r="S473">
        <v>1.2689999999999999</v>
      </c>
      <c r="T473">
        <v>1.51</v>
      </c>
      <c r="U473">
        <v>1.8280000000000001</v>
      </c>
      <c r="V473">
        <v>2.19</v>
      </c>
      <c r="W473">
        <v>2.5059999999999998</v>
      </c>
      <c r="X473">
        <v>2.871</v>
      </c>
      <c r="Y473">
        <v>3.2970000000000002</v>
      </c>
      <c r="Z473">
        <v>3.6989999999999998</v>
      </c>
      <c r="AA473">
        <v>4.181</v>
      </c>
      <c r="AB473">
        <v>4.6219999999999999</v>
      </c>
      <c r="AC473">
        <v>5.0110000000000001</v>
      </c>
      <c r="AD473">
        <v>5.5350000000000001</v>
      </c>
      <c r="AE473">
        <v>6.2919999999999998</v>
      </c>
      <c r="AF473">
        <v>7.0250000000000004</v>
      </c>
      <c r="AG473">
        <v>7.492</v>
      </c>
      <c r="AH473">
        <v>8.1549999999999994</v>
      </c>
      <c r="AI473">
        <v>8.9450000000000003</v>
      </c>
      <c r="AJ473">
        <v>10.07</v>
      </c>
      <c r="AK473">
        <v>11.808999999999999</v>
      </c>
      <c r="AL473">
        <v>13.723000000000001</v>
      </c>
      <c r="AM473">
        <v>14.699</v>
      </c>
      <c r="AN473">
        <v>16.472999999999999</v>
      </c>
      <c r="AO473">
        <v>18.43</v>
      </c>
      <c r="AP473">
        <v>19.783000000000001</v>
      </c>
      <c r="AQ473">
        <v>21.975000000000001</v>
      </c>
      <c r="AR473">
        <v>24.071000000000002</v>
      </c>
      <c r="AS473">
        <v>25.908999999999999</v>
      </c>
      <c r="AT473">
        <v>27.803999999999998</v>
      </c>
      <c r="AU473">
        <v>30.617000000000001</v>
      </c>
      <c r="AV473">
        <v>34.031999999999996</v>
      </c>
      <c r="AW473">
        <v>37.006</v>
      </c>
      <c r="AX473">
        <v>40.210999999999999</v>
      </c>
      <c r="AY473">
        <v>2014</v>
      </c>
    </row>
    <row r="474" spans="1:51" x14ac:dyDescent="0.25">
      <c r="A474">
        <v>666</v>
      </c>
      <c r="B474" t="s">
        <v>590</v>
      </c>
      <c r="C474" t="s">
        <v>289</v>
      </c>
      <c r="D474" t="s">
        <v>139</v>
      </c>
      <c r="E474" t="s">
        <v>287</v>
      </c>
      <c r="F474" t="s">
        <v>290</v>
      </c>
      <c r="G474" t="s">
        <v>291</v>
      </c>
      <c r="H474" t="s">
        <v>283</v>
      </c>
      <c r="I474" t="s">
        <v>292</v>
      </c>
      <c r="J474">
        <v>0.41099999999999998</v>
      </c>
      <c r="K474">
        <v>0.41799999999999998</v>
      </c>
      <c r="L474">
        <v>0.34799999999999998</v>
      </c>
      <c r="M474">
        <v>0.38200000000000001</v>
      </c>
      <c r="N474">
        <v>0.34200000000000003</v>
      </c>
      <c r="O474">
        <v>0.27300000000000002</v>
      </c>
      <c r="P474">
        <v>0.314</v>
      </c>
      <c r="Q474">
        <v>0.41</v>
      </c>
      <c r="R474">
        <v>0.46500000000000002</v>
      </c>
      <c r="S474">
        <v>0.48399999999999999</v>
      </c>
      <c r="T474">
        <v>0.58399999999999996</v>
      </c>
      <c r="U474">
        <v>0.66200000000000003</v>
      </c>
      <c r="V474">
        <v>0.76800000000000002</v>
      </c>
      <c r="W474">
        <v>0.76700000000000002</v>
      </c>
      <c r="X474">
        <v>0.80900000000000005</v>
      </c>
      <c r="Y474">
        <v>0.90900000000000003</v>
      </c>
      <c r="Z474">
        <v>0.86</v>
      </c>
      <c r="AA474">
        <v>0.90700000000000003</v>
      </c>
      <c r="AB474">
        <v>0.83599999999999997</v>
      </c>
      <c r="AC474">
        <v>0.82</v>
      </c>
      <c r="AD474">
        <v>0.79800000000000004</v>
      </c>
      <c r="AE474">
        <v>0.73099999999999998</v>
      </c>
      <c r="AF474">
        <v>0.66600000000000004</v>
      </c>
      <c r="AG474">
        <v>0.99</v>
      </c>
      <c r="AH474">
        <v>1.262</v>
      </c>
      <c r="AI474">
        <v>1.407</v>
      </c>
      <c r="AJ474">
        <v>1.4870000000000001</v>
      </c>
      <c r="AK474">
        <v>1.6759999999999999</v>
      </c>
      <c r="AL474">
        <v>1.661</v>
      </c>
      <c r="AM474">
        <v>1.7350000000000001</v>
      </c>
      <c r="AN474">
        <v>2.25</v>
      </c>
      <c r="AO474">
        <v>2.5379999999999998</v>
      </c>
      <c r="AP474">
        <v>2.41</v>
      </c>
      <c r="AQ474">
        <v>2.2770000000000001</v>
      </c>
      <c r="AR474">
        <v>2.2200000000000002</v>
      </c>
      <c r="AS474">
        <v>2.0350000000000001</v>
      </c>
      <c r="AT474">
        <v>2.0960000000000001</v>
      </c>
      <c r="AU474">
        <v>2.2349999999999999</v>
      </c>
      <c r="AV474">
        <v>2.4079999999999999</v>
      </c>
      <c r="AW474">
        <v>2.5379999999999998</v>
      </c>
      <c r="AX474">
        <v>2.6819999999999999</v>
      </c>
      <c r="AY474">
        <v>2014</v>
      </c>
    </row>
    <row r="475" spans="1:51" x14ac:dyDescent="0.25">
      <c r="A475">
        <v>666</v>
      </c>
      <c r="B475" t="s">
        <v>590</v>
      </c>
      <c r="C475" t="s">
        <v>293</v>
      </c>
      <c r="D475" t="s">
        <v>139</v>
      </c>
      <c r="E475" t="s">
        <v>294</v>
      </c>
      <c r="F475" t="s">
        <v>295</v>
      </c>
      <c r="G475" t="s">
        <v>296</v>
      </c>
      <c r="I475" t="s">
        <v>297</v>
      </c>
      <c r="J475">
        <v>9.9649999999999999</v>
      </c>
      <c r="K475">
        <v>10.976000000000001</v>
      </c>
      <c r="L475">
        <v>10.763</v>
      </c>
      <c r="M475">
        <v>11.811</v>
      </c>
      <c r="N475">
        <v>13.103</v>
      </c>
      <c r="O475">
        <v>15.439</v>
      </c>
      <c r="P475">
        <v>17.643999999999998</v>
      </c>
      <c r="Q475">
        <v>20.248000000000001</v>
      </c>
      <c r="R475">
        <v>23.824000000000002</v>
      </c>
      <c r="S475">
        <v>27.077999999999999</v>
      </c>
      <c r="T475">
        <v>30.63</v>
      </c>
      <c r="U475">
        <v>35.401000000000003</v>
      </c>
      <c r="V475">
        <v>39.918999999999997</v>
      </c>
      <c r="W475">
        <v>43.988</v>
      </c>
      <c r="X475">
        <v>48.244999999999997</v>
      </c>
      <c r="Y475">
        <v>53.884999999999998</v>
      </c>
      <c r="Z475">
        <v>57.62</v>
      </c>
      <c r="AA475">
        <v>62.927</v>
      </c>
      <c r="AB475">
        <v>68.597999999999999</v>
      </c>
      <c r="AC475">
        <v>73.212000000000003</v>
      </c>
      <c r="AD475">
        <v>77.085999999999999</v>
      </c>
      <c r="AE475">
        <v>84.850999999999999</v>
      </c>
      <c r="AF475">
        <v>93.266999999999996</v>
      </c>
      <c r="AG475">
        <v>95.575000000000003</v>
      </c>
      <c r="AH475">
        <v>101.6</v>
      </c>
      <c r="AI475">
        <v>108.08199999999999</v>
      </c>
      <c r="AJ475">
        <v>116.529</v>
      </c>
      <c r="AK475">
        <v>130.149</v>
      </c>
      <c r="AL475">
        <v>143.88800000000001</v>
      </c>
      <c r="AM475">
        <v>147.45400000000001</v>
      </c>
      <c r="AN475">
        <v>154.613</v>
      </c>
      <c r="AO475">
        <v>165.50399999999999</v>
      </c>
      <c r="AP475">
        <v>168.73699999999999</v>
      </c>
      <c r="AQ475">
        <v>180.965</v>
      </c>
      <c r="AR475">
        <v>191.619</v>
      </c>
      <c r="AS475">
        <v>201.001</v>
      </c>
      <c r="AT475">
        <v>209.56800000000001</v>
      </c>
      <c r="AU475">
        <v>220.749</v>
      </c>
      <c r="AV475">
        <v>232.649</v>
      </c>
      <c r="AW475">
        <v>244.17500000000001</v>
      </c>
      <c r="AX475">
        <v>256.19299999999998</v>
      </c>
      <c r="AY475">
        <v>2014</v>
      </c>
    </row>
    <row r="476" spans="1:51" x14ac:dyDescent="0.25">
      <c r="A476">
        <v>666</v>
      </c>
      <c r="B476" t="s">
        <v>590</v>
      </c>
      <c r="C476" t="s">
        <v>298</v>
      </c>
      <c r="D476" t="s">
        <v>139</v>
      </c>
      <c r="E476" t="s">
        <v>299</v>
      </c>
      <c r="F476" t="s">
        <v>300</v>
      </c>
      <c r="G476" t="s">
        <v>282</v>
      </c>
      <c r="H476" t="s">
        <v>283</v>
      </c>
      <c r="I476" t="s">
        <v>592</v>
      </c>
      <c r="J476" t="s">
        <v>285</v>
      </c>
      <c r="K476" t="s">
        <v>285</v>
      </c>
      <c r="L476">
        <v>0.13</v>
      </c>
      <c r="M476">
        <v>0.13300000000000001</v>
      </c>
      <c r="N476">
        <v>0.152</v>
      </c>
      <c r="O476">
        <v>0.22600000000000001</v>
      </c>
      <c r="P476">
        <v>0.27200000000000002</v>
      </c>
      <c r="Q476">
        <v>0.38700000000000001</v>
      </c>
      <c r="R476">
        <v>0.43099999999999999</v>
      </c>
      <c r="S476">
        <v>0.52300000000000002</v>
      </c>
      <c r="T476">
        <v>0.57299999999999995</v>
      </c>
      <c r="U476">
        <v>0.66</v>
      </c>
      <c r="V476">
        <v>0.88300000000000001</v>
      </c>
      <c r="W476">
        <v>1.032</v>
      </c>
      <c r="X476">
        <v>1.3140000000000001</v>
      </c>
      <c r="Y476">
        <v>1.575</v>
      </c>
      <c r="Z476">
        <v>1.748</v>
      </c>
      <c r="AA476">
        <v>2.1309999999999998</v>
      </c>
      <c r="AB476">
        <v>2.7240000000000002</v>
      </c>
      <c r="AC476">
        <v>2.931</v>
      </c>
      <c r="AD476">
        <v>2.4180000000000001</v>
      </c>
      <c r="AE476">
        <v>2.9470000000000001</v>
      </c>
      <c r="AF476">
        <v>3.367</v>
      </c>
      <c r="AG476">
        <v>3.5190000000000001</v>
      </c>
      <c r="AH476">
        <v>3.6389999999999998</v>
      </c>
      <c r="AI476">
        <v>4.2709999999999999</v>
      </c>
      <c r="AJ476">
        <v>5.0620000000000003</v>
      </c>
      <c r="AK476">
        <v>5.9160000000000004</v>
      </c>
      <c r="AL476">
        <v>7.7069999999999999</v>
      </c>
      <c r="AM476">
        <v>9.9090000000000007</v>
      </c>
      <c r="AN476">
        <v>9.2560000000000002</v>
      </c>
      <c r="AO476">
        <v>11.566000000000001</v>
      </c>
      <c r="AP476">
        <v>12.16</v>
      </c>
      <c r="AQ476">
        <v>13.826000000000001</v>
      </c>
      <c r="AR476">
        <v>14.428000000000001</v>
      </c>
      <c r="AS476">
        <v>16.417000000000002</v>
      </c>
      <c r="AT476">
        <v>17.027999999999999</v>
      </c>
      <c r="AU476">
        <v>18.091999999999999</v>
      </c>
      <c r="AV476">
        <v>20.106000000000002</v>
      </c>
      <c r="AW476">
        <v>21.844000000000001</v>
      </c>
      <c r="AX476">
        <v>23.675999999999998</v>
      </c>
      <c r="AY476">
        <v>2015</v>
      </c>
    </row>
    <row r="477" spans="1:51" x14ac:dyDescent="0.25">
      <c r="A477">
        <v>668</v>
      </c>
      <c r="B477" t="s">
        <v>593</v>
      </c>
      <c r="C477" t="s">
        <v>279</v>
      </c>
      <c r="D477" t="s">
        <v>140</v>
      </c>
      <c r="E477" t="s">
        <v>280</v>
      </c>
      <c r="F477" t="s">
        <v>281</v>
      </c>
      <c r="G477" t="s">
        <v>282</v>
      </c>
      <c r="H477" t="s">
        <v>283</v>
      </c>
      <c r="I477" t="s">
        <v>594</v>
      </c>
      <c r="J477" t="s">
        <v>285</v>
      </c>
      <c r="K477" t="s">
        <v>285</v>
      </c>
      <c r="L477" t="s">
        <v>285</v>
      </c>
      <c r="M477" t="s">
        <v>285</v>
      </c>
      <c r="N477" t="s">
        <v>285</v>
      </c>
      <c r="O477" t="s">
        <v>285</v>
      </c>
      <c r="P477" t="s">
        <v>285</v>
      </c>
      <c r="Q477" t="s">
        <v>285</v>
      </c>
      <c r="R477" t="s">
        <v>285</v>
      </c>
      <c r="S477" t="s">
        <v>285</v>
      </c>
      <c r="T477" t="s">
        <v>285</v>
      </c>
      <c r="U477" t="s">
        <v>285</v>
      </c>
      <c r="V477" t="s">
        <v>285</v>
      </c>
      <c r="W477" t="s">
        <v>285</v>
      </c>
      <c r="X477" t="s">
        <v>285</v>
      </c>
      <c r="Y477" t="s">
        <v>285</v>
      </c>
      <c r="Z477" t="s">
        <v>285</v>
      </c>
      <c r="AA477" t="s">
        <v>285</v>
      </c>
      <c r="AB477" t="s">
        <v>285</v>
      </c>
      <c r="AC477" t="s">
        <v>285</v>
      </c>
      <c r="AD477">
        <v>0.57799999999999996</v>
      </c>
      <c r="AE477">
        <v>0.59399999999999997</v>
      </c>
      <c r="AF477">
        <v>0.62</v>
      </c>
      <c r="AG477">
        <v>0.44500000000000001</v>
      </c>
      <c r="AH477">
        <v>0.46300000000000002</v>
      </c>
      <c r="AI477">
        <v>0.48899999999999999</v>
      </c>
      <c r="AJ477">
        <v>0.52900000000000003</v>
      </c>
      <c r="AK477">
        <v>0.59599999999999997</v>
      </c>
      <c r="AL477">
        <v>0.63200000000000001</v>
      </c>
      <c r="AM477">
        <v>0.66400000000000003</v>
      </c>
      <c r="AN477">
        <v>0.70499999999999996</v>
      </c>
      <c r="AO477">
        <v>0.75700000000000001</v>
      </c>
      <c r="AP477">
        <v>0.81899999999999995</v>
      </c>
      <c r="AQ477">
        <v>0.89</v>
      </c>
      <c r="AR477">
        <v>0.89600000000000002</v>
      </c>
      <c r="AS477">
        <v>0.90400000000000003</v>
      </c>
      <c r="AT477">
        <v>0.95499999999999996</v>
      </c>
      <c r="AU477">
        <v>1.02</v>
      </c>
      <c r="AV477">
        <v>1.095</v>
      </c>
      <c r="AW477">
        <v>1.1739999999999999</v>
      </c>
      <c r="AX477">
        <v>1.264</v>
      </c>
      <c r="AY477">
        <v>2011</v>
      </c>
    </row>
    <row r="478" spans="1:51" x14ac:dyDescent="0.25">
      <c r="A478">
        <v>668</v>
      </c>
      <c r="B478" t="s">
        <v>593</v>
      </c>
      <c r="C478" t="s">
        <v>286</v>
      </c>
      <c r="D478" t="s">
        <v>140</v>
      </c>
      <c r="E478" t="s">
        <v>287</v>
      </c>
      <c r="F478" t="s">
        <v>288</v>
      </c>
      <c r="G478" t="s">
        <v>282</v>
      </c>
      <c r="H478" t="s">
        <v>283</v>
      </c>
      <c r="I478" t="s">
        <v>594</v>
      </c>
      <c r="J478" t="s">
        <v>285</v>
      </c>
      <c r="K478" t="s">
        <v>285</v>
      </c>
      <c r="L478" t="s">
        <v>285</v>
      </c>
      <c r="M478" t="s">
        <v>285</v>
      </c>
      <c r="N478" t="s">
        <v>285</v>
      </c>
      <c r="O478" t="s">
        <v>285</v>
      </c>
      <c r="P478" t="s">
        <v>285</v>
      </c>
      <c r="Q478" t="s">
        <v>285</v>
      </c>
      <c r="R478" t="s">
        <v>285</v>
      </c>
      <c r="S478" t="s">
        <v>285</v>
      </c>
      <c r="T478" t="s">
        <v>285</v>
      </c>
      <c r="U478" t="s">
        <v>285</v>
      </c>
      <c r="V478" t="s">
        <v>285</v>
      </c>
      <c r="W478" t="s">
        <v>285</v>
      </c>
      <c r="X478" t="s">
        <v>285</v>
      </c>
      <c r="Y478" t="s">
        <v>285</v>
      </c>
      <c r="Z478" t="s">
        <v>285</v>
      </c>
      <c r="AA478" t="s">
        <v>285</v>
      </c>
      <c r="AB478" t="s">
        <v>285</v>
      </c>
      <c r="AC478" t="s">
        <v>285</v>
      </c>
      <c r="AD478">
        <v>0.58799999999999997</v>
      </c>
      <c r="AE478">
        <v>0.61399999999999999</v>
      </c>
      <c r="AF478">
        <v>0.63900000000000001</v>
      </c>
      <c r="AG478">
        <v>0.51100000000000001</v>
      </c>
      <c r="AH478">
        <v>0.58499999999999996</v>
      </c>
      <c r="AI478">
        <v>0.67500000000000004</v>
      </c>
      <c r="AJ478">
        <v>0.75700000000000001</v>
      </c>
      <c r="AK478">
        <v>0.94199999999999995</v>
      </c>
      <c r="AL478">
        <v>1.0840000000000001</v>
      </c>
      <c r="AM478">
        <v>1.1419999999999999</v>
      </c>
      <c r="AN478">
        <v>1.292</v>
      </c>
      <c r="AO478">
        <v>1.54</v>
      </c>
      <c r="AP478">
        <v>1.746</v>
      </c>
      <c r="AQ478">
        <v>1.962</v>
      </c>
      <c r="AR478">
        <v>2.0129999999999999</v>
      </c>
      <c r="AS478">
        <v>2.0150000000000001</v>
      </c>
      <c r="AT478">
        <v>2.109</v>
      </c>
      <c r="AU478">
        <v>2.282</v>
      </c>
      <c r="AV478">
        <v>2.4990000000000001</v>
      </c>
      <c r="AW478">
        <v>2.7330000000000001</v>
      </c>
      <c r="AX478">
        <v>2.984</v>
      </c>
      <c r="AY478">
        <v>2011</v>
      </c>
    </row>
    <row r="479" spans="1:51" x14ac:dyDescent="0.25">
      <c r="A479">
        <v>668</v>
      </c>
      <c r="B479" t="s">
        <v>593</v>
      </c>
      <c r="C479" t="s">
        <v>289</v>
      </c>
      <c r="D479" t="s">
        <v>140</v>
      </c>
      <c r="E479" t="s">
        <v>287</v>
      </c>
      <c r="F479" t="s">
        <v>290</v>
      </c>
      <c r="G479" t="s">
        <v>291</v>
      </c>
      <c r="H479" t="s">
        <v>283</v>
      </c>
      <c r="I479" t="s">
        <v>292</v>
      </c>
      <c r="J479" t="s">
        <v>285</v>
      </c>
      <c r="K479" t="s">
        <v>285</v>
      </c>
      <c r="L479" t="s">
        <v>285</v>
      </c>
      <c r="M479" t="s">
        <v>285</v>
      </c>
      <c r="N479" t="s">
        <v>285</v>
      </c>
      <c r="O479" t="s">
        <v>285</v>
      </c>
      <c r="P479" t="s">
        <v>285</v>
      </c>
      <c r="Q479" t="s">
        <v>285</v>
      </c>
      <c r="R479" t="s">
        <v>285</v>
      </c>
      <c r="S479" t="s">
        <v>285</v>
      </c>
      <c r="T479" t="s">
        <v>285</v>
      </c>
      <c r="U479" t="s">
        <v>285</v>
      </c>
      <c r="V479" t="s">
        <v>285</v>
      </c>
      <c r="W479" t="s">
        <v>285</v>
      </c>
      <c r="X479" t="s">
        <v>285</v>
      </c>
      <c r="Y479" t="s">
        <v>285</v>
      </c>
      <c r="Z479" t="s">
        <v>285</v>
      </c>
      <c r="AA479" t="s">
        <v>285</v>
      </c>
      <c r="AB479" t="s">
        <v>285</v>
      </c>
      <c r="AC479" t="s">
        <v>285</v>
      </c>
      <c r="AD479">
        <v>0.58799999999999997</v>
      </c>
      <c r="AE479">
        <v>0.61399999999999999</v>
      </c>
      <c r="AF479">
        <v>0.63900000000000001</v>
      </c>
      <c r="AG479">
        <v>0.51100000000000001</v>
      </c>
      <c r="AH479">
        <v>0.58499999999999996</v>
      </c>
      <c r="AI479">
        <v>0.67500000000000004</v>
      </c>
      <c r="AJ479">
        <v>0.75700000000000001</v>
      </c>
      <c r="AK479">
        <v>0.94199999999999995</v>
      </c>
      <c r="AL479">
        <v>1.0840000000000001</v>
      </c>
      <c r="AM479">
        <v>1.1419999999999999</v>
      </c>
      <c r="AN479">
        <v>1.292</v>
      </c>
      <c r="AO479">
        <v>1.54</v>
      </c>
      <c r="AP479">
        <v>1.746</v>
      </c>
      <c r="AQ479">
        <v>1.962</v>
      </c>
      <c r="AR479">
        <v>2.0129999999999999</v>
      </c>
      <c r="AS479">
        <v>2.0150000000000001</v>
      </c>
      <c r="AT479">
        <v>2.109</v>
      </c>
      <c r="AU479">
        <v>2.282</v>
      </c>
      <c r="AV479">
        <v>2.4990000000000001</v>
      </c>
      <c r="AW479">
        <v>2.7330000000000001</v>
      </c>
      <c r="AX479">
        <v>2.984</v>
      </c>
      <c r="AY479">
        <v>2011</v>
      </c>
    </row>
    <row r="480" spans="1:51" x14ac:dyDescent="0.25">
      <c r="A480">
        <v>668</v>
      </c>
      <c r="B480" t="s">
        <v>593</v>
      </c>
      <c r="C480" t="s">
        <v>293</v>
      </c>
      <c r="D480" t="s">
        <v>140</v>
      </c>
      <c r="E480" t="s">
        <v>294</v>
      </c>
      <c r="F480" t="s">
        <v>295</v>
      </c>
      <c r="G480" t="s">
        <v>296</v>
      </c>
      <c r="I480" t="s">
        <v>297</v>
      </c>
      <c r="J480" t="s">
        <v>285</v>
      </c>
      <c r="K480" t="s">
        <v>285</v>
      </c>
      <c r="L480" t="s">
        <v>285</v>
      </c>
      <c r="M480" t="s">
        <v>285</v>
      </c>
      <c r="N480" t="s">
        <v>285</v>
      </c>
      <c r="O480" t="s">
        <v>285</v>
      </c>
      <c r="P480" t="s">
        <v>285</v>
      </c>
      <c r="Q480" t="s">
        <v>285</v>
      </c>
      <c r="R480" t="s">
        <v>285</v>
      </c>
      <c r="S480" t="s">
        <v>285</v>
      </c>
      <c r="T480" t="s">
        <v>285</v>
      </c>
      <c r="U480" t="s">
        <v>285</v>
      </c>
      <c r="V480" t="s">
        <v>285</v>
      </c>
      <c r="W480" t="s">
        <v>285</v>
      </c>
      <c r="X480" t="s">
        <v>285</v>
      </c>
      <c r="Y480" t="s">
        <v>285</v>
      </c>
      <c r="Z480" t="s">
        <v>285</v>
      </c>
      <c r="AA480" t="s">
        <v>285</v>
      </c>
      <c r="AB480" t="s">
        <v>285</v>
      </c>
      <c r="AC480" t="s">
        <v>285</v>
      </c>
      <c r="AD480">
        <v>101.788</v>
      </c>
      <c r="AE480">
        <v>103.357</v>
      </c>
      <c r="AF480">
        <v>103.004</v>
      </c>
      <c r="AG480">
        <v>114.73099999999999</v>
      </c>
      <c r="AH480">
        <v>126.568</v>
      </c>
      <c r="AI480">
        <v>138.09200000000001</v>
      </c>
      <c r="AJ480">
        <v>143.06700000000001</v>
      </c>
      <c r="AK480">
        <v>157.88800000000001</v>
      </c>
      <c r="AL480">
        <v>171.46799999999999</v>
      </c>
      <c r="AM480">
        <v>171.89</v>
      </c>
      <c r="AN480">
        <v>183.357</v>
      </c>
      <c r="AO480">
        <v>203.49</v>
      </c>
      <c r="AP480">
        <v>213.083</v>
      </c>
      <c r="AQ480">
        <v>220.37799999999999</v>
      </c>
      <c r="AR480">
        <v>224.59899999999999</v>
      </c>
      <c r="AS480">
        <v>222.857</v>
      </c>
      <c r="AT480">
        <v>220.84100000000001</v>
      </c>
      <c r="AU480">
        <v>223.86500000000001</v>
      </c>
      <c r="AV480">
        <v>228.28299999999999</v>
      </c>
      <c r="AW480">
        <v>232.81399999999999</v>
      </c>
      <c r="AX480">
        <v>236.161</v>
      </c>
      <c r="AY480">
        <v>2011</v>
      </c>
    </row>
    <row r="481" spans="1:51" x14ac:dyDescent="0.25">
      <c r="A481">
        <v>668</v>
      </c>
      <c r="B481" t="s">
        <v>593</v>
      </c>
      <c r="C481" t="s">
        <v>298</v>
      </c>
      <c r="D481" t="s">
        <v>140</v>
      </c>
      <c r="E481" t="s">
        <v>299</v>
      </c>
      <c r="F481" t="s">
        <v>300</v>
      </c>
      <c r="G481" t="s">
        <v>282</v>
      </c>
      <c r="H481" t="s">
        <v>283</v>
      </c>
      <c r="I481" t="s">
        <v>595</v>
      </c>
      <c r="J481" t="s">
        <v>285</v>
      </c>
      <c r="K481" t="s">
        <v>285</v>
      </c>
      <c r="L481" t="s">
        <v>285</v>
      </c>
      <c r="M481" t="s">
        <v>285</v>
      </c>
      <c r="N481" t="s">
        <v>285</v>
      </c>
      <c r="O481" t="s">
        <v>285</v>
      </c>
      <c r="P481" t="s">
        <v>285</v>
      </c>
      <c r="Q481" t="s">
        <v>285</v>
      </c>
      <c r="R481" t="s">
        <v>285</v>
      </c>
      <c r="S481" t="s">
        <v>285</v>
      </c>
      <c r="T481" t="s">
        <v>285</v>
      </c>
      <c r="U481" t="s">
        <v>285</v>
      </c>
      <c r="V481" t="s">
        <v>285</v>
      </c>
      <c r="W481" t="s">
        <v>285</v>
      </c>
      <c r="X481" t="s">
        <v>285</v>
      </c>
      <c r="Y481" t="s">
        <v>285</v>
      </c>
      <c r="Z481" t="s">
        <v>285</v>
      </c>
      <c r="AA481" t="s">
        <v>285</v>
      </c>
      <c r="AB481" t="s">
        <v>285</v>
      </c>
      <c r="AC481" t="s">
        <v>285</v>
      </c>
      <c r="AD481">
        <v>8.4000000000000005E-2</v>
      </c>
      <c r="AE481">
        <v>7.1999999999999995E-2</v>
      </c>
      <c r="AF481">
        <v>7.9000000000000001E-2</v>
      </c>
      <c r="AG481">
        <v>4.4999999999999998E-2</v>
      </c>
      <c r="AH481">
        <v>6.9000000000000006E-2</v>
      </c>
      <c r="AI481">
        <v>7.6999999999999999E-2</v>
      </c>
      <c r="AJ481">
        <v>7.9000000000000001E-2</v>
      </c>
      <c r="AK481">
        <v>0.14799999999999999</v>
      </c>
      <c r="AL481">
        <v>0.32100000000000001</v>
      </c>
      <c r="AM481">
        <v>0.378</v>
      </c>
      <c r="AN481">
        <v>0.42</v>
      </c>
      <c r="AO481">
        <v>0.44700000000000001</v>
      </c>
      <c r="AP481">
        <v>0.52600000000000002</v>
      </c>
      <c r="AQ481">
        <v>0.64400000000000002</v>
      </c>
      <c r="AR481">
        <v>0.65</v>
      </c>
      <c r="AS481">
        <v>0.82399999999999995</v>
      </c>
      <c r="AT481">
        <v>0.83</v>
      </c>
      <c r="AU481">
        <v>0.81799999999999995</v>
      </c>
      <c r="AV481">
        <v>0.81699999999999995</v>
      </c>
      <c r="AW481">
        <v>0.88700000000000001</v>
      </c>
      <c r="AX481">
        <v>0.92400000000000004</v>
      </c>
      <c r="AY481">
        <v>2013</v>
      </c>
    </row>
    <row r="482" spans="1:51" x14ac:dyDescent="0.25">
      <c r="A482">
        <v>672</v>
      </c>
      <c r="B482" t="s">
        <v>596</v>
      </c>
      <c r="C482" t="s">
        <v>279</v>
      </c>
      <c r="D482" t="s">
        <v>141</v>
      </c>
      <c r="E482" t="s">
        <v>280</v>
      </c>
      <c r="F482" t="s">
        <v>281</v>
      </c>
      <c r="G482" t="s">
        <v>282</v>
      </c>
      <c r="H482" t="s">
        <v>283</v>
      </c>
      <c r="I482" t="s">
        <v>597</v>
      </c>
      <c r="J482">
        <v>46.284999999999997</v>
      </c>
      <c r="K482">
        <v>37.009</v>
      </c>
      <c r="L482">
        <v>37.570999999999998</v>
      </c>
      <c r="M482">
        <v>35.801000000000002</v>
      </c>
      <c r="N482">
        <v>32.828000000000003</v>
      </c>
      <c r="O482">
        <v>33.027000000000001</v>
      </c>
      <c r="P482">
        <v>29.277999999999999</v>
      </c>
      <c r="Q482">
        <v>24.972999999999999</v>
      </c>
      <c r="R482">
        <v>26.866</v>
      </c>
      <c r="S482">
        <v>28.8</v>
      </c>
      <c r="T482">
        <v>29.872</v>
      </c>
      <c r="U482">
        <v>34.548000000000002</v>
      </c>
      <c r="V482">
        <v>33.610999999999997</v>
      </c>
      <c r="W482">
        <v>32.345999999999997</v>
      </c>
      <c r="X482">
        <v>32.972000000000001</v>
      </c>
      <c r="Y482">
        <v>28.884</v>
      </c>
      <c r="Z482">
        <v>29.645</v>
      </c>
      <c r="AA482">
        <v>29.465</v>
      </c>
      <c r="AB482">
        <v>29.353999999999999</v>
      </c>
      <c r="AC482">
        <v>29.49</v>
      </c>
      <c r="AD482">
        <v>30.574999999999999</v>
      </c>
      <c r="AE482">
        <v>30.036000000000001</v>
      </c>
      <c r="AF482">
        <v>29.748000000000001</v>
      </c>
      <c r="AG482">
        <v>33.619999999999997</v>
      </c>
      <c r="AH482">
        <v>35.119999999999997</v>
      </c>
      <c r="AI482">
        <v>39.289000000000001</v>
      </c>
      <c r="AJ482">
        <v>41.843000000000004</v>
      </c>
      <c r="AK482">
        <v>44.500999999999998</v>
      </c>
      <c r="AL482">
        <v>45.688000000000002</v>
      </c>
      <c r="AM482">
        <v>45.326999999999998</v>
      </c>
      <c r="AN482">
        <v>47.603000000000002</v>
      </c>
      <c r="AO482">
        <v>18.053000000000001</v>
      </c>
      <c r="AP482">
        <v>36.915999999999997</v>
      </c>
      <c r="AQ482">
        <v>31.913</v>
      </c>
      <c r="AR482">
        <v>24.244</v>
      </c>
      <c r="AS482">
        <v>22.766999999999999</v>
      </c>
      <c r="AT482">
        <v>23.216000000000001</v>
      </c>
      <c r="AU482">
        <v>24.605</v>
      </c>
      <c r="AV482">
        <v>26.696000000000002</v>
      </c>
      <c r="AW482">
        <v>29.173999999999999</v>
      </c>
      <c r="AX482">
        <v>33.116999999999997</v>
      </c>
      <c r="AY482">
        <v>2014</v>
      </c>
    </row>
    <row r="483" spans="1:51" x14ac:dyDescent="0.25">
      <c r="A483">
        <v>672</v>
      </c>
      <c r="B483" t="s">
        <v>596</v>
      </c>
      <c r="C483" t="s">
        <v>286</v>
      </c>
      <c r="D483" t="s">
        <v>141</v>
      </c>
      <c r="E483" t="s">
        <v>287</v>
      </c>
      <c r="F483" t="s">
        <v>288</v>
      </c>
      <c r="G483" t="s">
        <v>282</v>
      </c>
      <c r="H483" t="s">
        <v>283</v>
      </c>
      <c r="I483" t="s">
        <v>597</v>
      </c>
      <c r="J483">
        <v>11.529</v>
      </c>
      <c r="K483">
        <v>9.9600000000000009</v>
      </c>
      <c r="L483">
        <v>9.93</v>
      </c>
      <c r="M483">
        <v>9.4629999999999992</v>
      </c>
      <c r="N483">
        <v>8.8610000000000007</v>
      </c>
      <c r="O483">
        <v>8.7159999999999993</v>
      </c>
      <c r="P483">
        <v>7.556</v>
      </c>
      <c r="Q483">
        <v>6.6210000000000004</v>
      </c>
      <c r="R483">
        <v>7.1689999999999996</v>
      </c>
      <c r="S483">
        <v>7.9660000000000002</v>
      </c>
      <c r="T483">
        <v>8.6720000000000006</v>
      </c>
      <c r="U483">
        <v>9.5150000000000006</v>
      </c>
      <c r="V483">
        <v>10.106999999999999</v>
      </c>
      <c r="W483">
        <v>9.8859999999999992</v>
      </c>
      <c r="X483">
        <v>10.558999999999999</v>
      </c>
      <c r="Y483">
        <v>11.314</v>
      </c>
      <c r="Z483">
        <v>12.904</v>
      </c>
      <c r="AA483">
        <v>13.938000000000001</v>
      </c>
      <c r="AB483">
        <v>14.005000000000001</v>
      </c>
      <c r="AC483">
        <v>16.686</v>
      </c>
      <c r="AD483">
        <v>19.602</v>
      </c>
      <c r="AE483">
        <v>20.64</v>
      </c>
      <c r="AF483">
        <v>26.012</v>
      </c>
      <c r="AG483">
        <v>33.618000000000002</v>
      </c>
      <c r="AH483">
        <v>43.058999999999997</v>
      </c>
      <c r="AI483">
        <v>61.932000000000002</v>
      </c>
      <c r="AJ483">
        <v>72.197999999999993</v>
      </c>
      <c r="AK483">
        <v>85.245999999999995</v>
      </c>
      <c r="AL483">
        <v>106.625</v>
      </c>
      <c r="AM483">
        <v>79.006</v>
      </c>
      <c r="AN483">
        <v>94.722999999999999</v>
      </c>
      <c r="AO483">
        <v>42.478999999999999</v>
      </c>
      <c r="AP483">
        <v>103.34</v>
      </c>
      <c r="AQ483">
        <v>83.302000000000007</v>
      </c>
      <c r="AR483">
        <v>52.32</v>
      </c>
      <c r="AS483">
        <v>40.69</v>
      </c>
      <c r="AT483">
        <v>44.225000000000001</v>
      </c>
      <c r="AU483">
        <v>49.636000000000003</v>
      </c>
      <c r="AV483">
        <v>55.970999999999997</v>
      </c>
      <c r="AW483">
        <v>62.514000000000003</v>
      </c>
      <c r="AX483">
        <v>71.224000000000004</v>
      </c>
      <c r="AY483">
        <v>2014</v>
      </c>
    </row>
    <row r="484" spans="1:51" x14ac:dyDescent="0.25">
      <c r="A484">
        <v>672</v>
      </c>
      <c r="B484" t="s">
        <v>596</v>
      </c>
      <c r="C484" t="s">
        <v>289</v>
      </c>
      <c r="D484" t="s">
        <v>141</v>
      </c>
      <c r="E484" t="s">
        <v>287</v>
      </c>
      <c r="F484" t="s">
        <v>290</v>
      </c>
      <c r="G484" t="s">
        <v>291</v>
      </c>
      <c r="H484" t="s">
        <v>283</v>
      </c>
      <c r="I484" t="s">
        <v>292</v>
      </c>
      <c r="J484">
        <v>38.941000000000003</v>
      </c>
      <c r="K484">
        <v>33.640999999999998</v>
      </c>
      <c r="L484">
        <v>33.540999999999997</v>
      </c>
      <c r="M484">
        <v>31.963000000000001</v>
      </c>
      <c r="N484">
        <v>29.93</v>
      </c>
      <c r="O484">
        <v>29.44</v>
      </c>
      <c r="P484">
        <v>23.986999999999998</v>
      </c>
      <c r="Q484">
        <v>22.294</v>
      </c>
      <c r="R484">
        <v>25.067</v>
      </c>
      <c r="S484">
        <v>26.594000000000001</v>
      </c>
      <c r="T484">
        <v>30.643999999999998</v>
      </c>
      <c r="U484">
        <v>33.908000000000001</v>
      </c>
      <c r="V484">
        <v>34.357999999999997</v>
      </c>
      <c r="W484">
        <v>30.920999999999999</v>
      </c>
      <c r="X484">
        <v>28.795999999999999</v>
      </c>
      <c r="Y484">
        <v>32.69</v>
      </c>
      <c r="Z484">
        <v>35.683</v>
      </c>
      <c r="AA484">
        <v>36.530999999999999</v>
      </c>
      <c r="AB484">
        <v>29.96</v>
      </c>
      <c r="AC484">
        <v>35.975000000000001</v>
      </c>
      <c r="AD484">
        <v>38.271000000000001</v>
      </c>
      <c r="AE484">
        <v>34.112000000000002</v>
      </c>
      <c r="AF484">
        <v>20.471</v>
      </c>
      <c r="AG484">
        <v>26.186</v>
      </c>
      <c r="AH484">
        <v>32.996000000000002</v>
      </c>
      <c r="AI484">
        <v>47.335000000000001</v>
      </c>
      <c r="AJ484">
        <v>54.975999999999999</v>
      </c>
      <c r="AK484">
        <v>67.69</v>
      </c>
      <c r="AL484">
        <v>87.236000000000004</v>
      </c>
      <c r="AM484">
        <v>63.069000000000003</v>
      </c>
      <c r="AN484">
        <v>74.804000000000002</v>
      </c>
      <c r="AO484">
        <v>34.707000000000001</v>
      </c>
      <c r="AP484">
        <v>81.915000000000006</v>
      </c>
      <c r="AQ484">
        <v>65.516000000000005</v>
      </c>
      <c r="AR484">
        <v>41.148000000000003</v>
      </c>
      <c r="AS484">
        <v>29.721</v>
      </c>
      <c r="AT484">
        <v>32.380000000000003</v>
      </c>
      <c r="AU484">
        <v>36.581000000000003</v>
      </c>
      <c r="AV484">
        <v>41.529000000000003</v>
      </c>
      <c r="AW484">
        <v>46.746000000000002</v>
      </c>
      <c r="AX484">
        <v>53.805</v>
      </c>
      <c r="AY484">
        <v>2014</v>
      </c>
    </row>
    <row r="485" spans="1:51" x14ac:dyDescent="0.25">
      <c r="A485">
        <v>672</v>
      </c>
      <c r="B485" t="s">
        <v>596</v>
      </c>
      <c r="C485" t="s">
        <v>293</v>
      </c>
      <c r="D485" t="s">
        <v>141</v>
      </c>
      <c r="E485" t="s">
        <v>294</v>
      </c>
      <c r="F485" t="s">
        <v>295</v>
      </c>
      <c r="G485" t="s">
        <v>296</v>
      </c>
      <c r="I485" t="s">
        <v>297</v>
      </c>
      <c r="J485">
        <v>24.908000000000001</v>
      </c>
      <c r="K485">
        <v>26.911000000000001</v>
      </c>
      <c r="L485">
        <v>26.43</v>
      </c>
      <c r="M485">
        <v>26.431000000000001</v>
      </c>
      <c r="N485">
        <v>26.992000000000001</v>
      </c>
      <c r="O485">
        <v>26.39</v>
      </c>
      <c r="P485">
        <v>25.806999999999999</v>
      </c>
      <c r="Q485">
        <v>26.513999999999999</v>
      </c>
      <c r="R485">
        <v>26.684999999999999</v>
      </c>
      <c r="S485">
        <v>27.658999999999999</v>
      </c>
      <c r="T485">
        <v>29.03</v>
      </c>
      <c r="U485">
        <v>27.542000000000002</v>
      </c>
      <c r="V485">
        <v>30.068999999999999</v>
      </c>
      <c r="W485">
        <v>30.562999999999999</v>
      </c>
      <c r="X485">
        <v>32.024999999999999</v>
      </c>
      <c r="Y485">
        <v>39.168999999999997</v>
      </c>
      <c r="Z485">
        <v>43.527999999999999</v>
      </c>
      <c r="AA485">
        <v>47.302999999999997</v>
      </c>
      <c r="AB485">
        <v>47.71</v>
      </c>
      <c r="AC485">
        <v>56.582000000000001</v>
      </c>
      <c r="AD485">
        <v>64.11</v>
      </c>
      <c r="AE485">
        <v>68.718000000000004</v>
      </c>
      <c r="AF485">
        <v>87.442999999999998</v>
      </c>
      <c r="AG485">
        <v>99.994</v>
      </c>
      <c r="AH485">
        <v>122.605</v>
      </c>
      <c r="AI485">
        <v>157.63300000000001</v>
      </c>
      <c r="AJ485">
        <v>172.547</v>
      </c>
      <c r="AK485">
        <v>191.55799999999999</v>
      </c>
      <c r="AL485">
        <v>233.37799999999999</v>
      </c>
      <c r="AM485">
        <v>174.30500000000001</v>
      </c>
      <c r="AN485">
        <v>198.983</v>
      </c>
      <c r="AO485">
        <v>235.30199999999999</v>
      </c>
      <c r="AP485">
        <v>279.93599999999998</v>
      </c>
      <c r="AQ485">
        <v>261.02999999999997</v>
      </c>
      <c r="AR485">
        <v>215.80699999999999</v>
      </c>
      <c r="AS485">
        <v>178.72499999999999</v>
      </c>
      <c r="AT485">
        <v>190.495</v>
      </c>
      <c r="AU485">
        <v>201.732</v>
      </c>
      <c r="AV485">
        <v>209.661</v>
      </c>
      <c r="AW485">
        <v>214.28399999999999</v>
      </c>
      <c r="AX485">
        <v>215.06899999999999</v>
      </c>
      <c r="AY485">
        <v>2014</v>
      </c>
    </row>
    <row r="486" spans="1:51" x14ac:dyDescent="0.25">
      <c r="A486">
        <v>672</v>
      </c>
      <c r="B486" t="s">
        <v>596</v>
      </c>
      <c r="C486" t="s">
        <v>298</v>
      </c>
      <c r="D486" t="s">
        <v>141</v>
      </c>
      <c r="E486" t="s">
        <v>299</v>
      </c>
      <c r="F486" t="s">
        <v>300</v>
      </c>
      <c r="G486" t="s">
        <v>282</v>
      </c>
      <c r="H486" t="s">
        <v>283</v>
      </c>
      <c r="I486" t="s">
        <v>598</v>
      </c>
      <c r="J486" t="s">
        <v>285</v>
      </c>
      <c r="K486" t="s">
        <v>285</v>
      </c>
      <c r="L486" t="s">
        <v>285</v>
      </c>
      <c r="M486" t="s">
        <v>285</v>
      </c>
      <c r="N486" t="s">
        <v>285</v>
      </c>
      <c r="O486" t="s">
        <v>285</v>
      </c>
      <c r="P486" t="s">
        <v>285</v>
      </c>
      <c r="Q486" t="s">
        <v>285</v>
      </c>
      <c r="R486" t="s">
        <v>285</v>
      </c>
      <c r="S486" t="s">
        <v>285</v>
      </c>
      <c r="T486">
        <v>2.6840000000000002</v>
      </c>
      <c r="U486">
        <v>2.698</v>
      </c>
      <c r="V486">
        <v>2.6749999999999998</v>
      </c>
      <c r="W486">
        <v>3.0830000000000002</v>
      </c>
      <c r="X486">
        <v>3.109</v>
      </c>
      <c r="Y486">
        <v>3.23</v>
      </c>
      <c r="Z486">
        <v>4.0960000000000001</v>
      </c>
      <c r="AA486">
        <v>4.9370000000000003</v>
      </c>
      <c r="AB486">
        <v>4.7489999999999997</v>
      </c>
      <c r="AC486">
        <v>4.6420000000000003</v>
      </c>
      <c r="AD486">
        <v>5.415</v>
      </c>
      <c r="AE486">
        <v>7.8769999999999998</v>
      </c>
      <c r="AF486">
        <v>10.973000000000001</v>
      </c>
      <c r="AG486">
        <v>14.475</v>
      </c>
      <c r="AH486">
        <v>18.245000000000001</v>
      </c>
      <c r="AI486">
        <v>17.994</v>
      </c>
      <c r="AJ486">
        <v>22.492999999999999</v>
      </c>
      <c r="AK486">
        <v>28.727</v>
      </c>
      <c r="AL486">
        <v>43.533999999999999</v>
      </c>
      <c r="AM486">
        <v>45.947000000000003</v>
      </c>
      <c r="AN486">
        <v>50.552</v>
      </c>
      <c r="AO486">
        <v>23.366</v>
      </c>
      <c r="AP486">
        <v>45.978000000000002</v>
      </c>
      <c r="AQ486">
        <v>58.133000000000003</v>
      </c>
      <c r="AR486">
        <v>44.177999999999997</v>
      </c>
      <c r="AS486">
        <v>40.838999999999999</v>
      </c>
      <c r="AT486">
        <v>38.283000000000001</v>
      </c>
      <c r="AU486">
        <v>41.036999999999999</v>
      </c>
      <c r="AV486">
        <v>43.12</v>
      </c>
      <c r="AW486">
        <v>44.113999999999997</v>
      </c>
      <c r="AX486">
        <v>45.673999999999999</v>
      </c>
      <c r="AY486">
        <v>2014</v>
      </c>
    </row>
    <row r="487" spans="1:51" x14ac:dyDescent="0.25">
      <c r="A487">
        <v>946</v>
      </c>
      <c r="B487" t="s">
        <v>599</v>
      </c>
      <c r="C487" t="s">
        <v>279</v>
      </c>
      <c r="D487" t="s">
        <v>143</v>
      </c>
      <c r="E487" t="s">
        <v>280</v>
      </c>
      <c r="F487" t="s">
        <v>281</v>
      </c>
      <c r="G487" t="s">
        <v>282</v>
      </c>
      <c r="H487" t="s">
        <v>283</v>
      </c>
      <c r="I487" t="s">
        <v>600</v>
      </c>
      <c r="J487" t="s">
        <v>285</v>
      </c>
      <c r="K487" t="s">
        <v>285</v>
      </c>
      <c r="L487" t="s">
        <v>285</v>
      </c>
      <c r="M487" t="s">
        <v>285</v>
      </c>
      <c r="N487" t="s">
        <v>285</v>
      </c>
      <c r="O487" t="s">
        <v>285</v>
      </c>
      <c r="P487" t="s">
        <v>285</v>
      </c>
      <c r="Q487" t="s">
        <v>285</v>
      </c>
      <c r="R487" t="s">
        <v>285</v>
      </c>
      <c r="S487" t="s">
        <v>285</v>
      </c>
      <c r="T487" t="s">
        <v>285</v>
      </c>
      <c r="U487" t="s">
        <v>285</v>
      </c>
      <c r="V487" t="s">
        <v>285</v>
      </c>
      <c r="W487" t="s">
        <v>285</v>
      </c>
      <c r="X487" t="s">
        <v>285</v>
      </c>
      <c r="Y487">
        <v>14.454000000000001</v>
      </c>
      <c r="Z487">
        <v>15.211</v>
      </c>
      <c r="AA487">
        <v>16.449000000000002</v>
      </c>
      <c r="AB487">
        <v>17.702999999999999</v>
      </c>
      <c r="AC487">
        <v>17.521999999999998</v>
      </c>
      <c r="AD487">
        <v>18.157</v>
      </c>
      <c r="AE487">
        <v>19.373000000000001</v>
      </c>
      <c r="AF487">
        <v>20.698</v>
      </c>
      <c r="AG487">
        <v>22.824999999999999</v>
      </c>
      <c r="AH487">
        <v>24.507000000000001</v>
      </c>
      <c r="AI487">
        <v>26.417000000000002</v>
      </c>
      <c r="AJ487">
        <v>28.373000000000001</v>
      </c>
      <c r="AK487">
        <v>31.518999999999998</v>
      </c>
      <c r="AL487">
        <v>32.347000000000001</v>
      </c>
      <c r="AM487">
        <v>27.555</v>
      </c>
      <c r="AN487">
        <v>28.001000000000001</v>
      </c>
      <c r="AO487">
        <v>29.713999999999999</v>
      </c>
      <c r="AP487">
        <v>30.853999999999999</v>
      </c>
      <c r="AQ487">
        <v>31.859000000000002</v>
      </c>
      <c r="AR487">
        <v>32.798999999999999</v>
      </c>
      <c r="AS487">
        <v>33.378</v>
      </c>
      <c r="AT487">
        <v>34.255000000000003</v>
      </c>
      <c r="AU487">
        <v>35.29</v>
      </c>
      <c r="AV487">
        <v>36.46</v>
      </c>
      <c r="AW487">
        <v>37.718000000000004</v>
      </c>
      <c r="AX487">
        <v>39.070999999999998</v>
      </c>
      <c r="AY487">
        <v>2013</v>
      </c>
    </row>
    <row r="488" spans="1:51" x14ac:dyDescent="0.25">
      <c r="A488">
        <v>946</v>
      </c>
      <c r="B488" t="s">
        <v>599</v>
      </c>
      <c r="C488" t="s">
        <v>286</v>
      </c>
      <c r="D488" t="s">
        <v>143</v>
      </c>
      <c r="E488" t="s">
        <v>287</v>
      </c>
      <c r="F488" t="s">
        <v>288</v>
      </c>
      <c r="G488" t="s">
        <v>282</v>
      </c>
      <c r="H488" t="s">
        <v>283</v>
      </c>
      <c r="I488" t="s">
        <v>600</v>
      </c>
      <c r="J488" t="s">
        <v>285</v>
      </c>
      <c r="K488" t="s">
        <v>285</v>
      </c>
      <c r="L488" t="s">
        <v>285</v>
      </c>
      <c r="M488" t="s">
        <v>285</v>
      </c>
      <c r="N488" t="s">
        <v>285</v>
      </c>
      <c r="O488" t="s">
        <v>285</v>
      </c>
      <c r="P488" t="s">
        <v>285</v>
      </c>
      <c r="Q488" t="s">
        <v>285</v>
      </c>
      <c r="R488" t="s">
        <v>285</v>
      </c>
      <c r="S488" t="s">
        <v>285</v>
      </c>
      <c r="T488" t="s">
        <v>285</v>
      </c>
      <c r="U488" t="s">
        <v>285</v>
      </c>
      <c r="V488" t="s">
        <v>285</v>
      </c>
      <c r="W488" t="s">
        <v>285</v>
      </c>
      <c r="X488" t="s">
        <v>285</v>
      </c>
      <c r="Y488">
        <v>7.81</v>
      </c>
      <c r="Z488">
        <v>9.7780000000000005</v>
      </c>
      <c r="AA488">
        <v>11.753</v>
      </c>
      <c r="AB488">
        <v>13.058</v>
      </c>
      <c r="AC488">
        <v>12.73</v>
      </c>
      <c r="AD488">
        <v>13.343999999999999</v>
      </c>
      <c r="AE488">
        <v>14.179</v>
      </c>
      <c r="AF488">
        <v>15.186</v>
      </c>
      <c r="AG488">
        <v>16.602</v>
      </c>
      <c r="AH488">
        <v>18.274000000000001</v>
      </c>
      <c r="AI488">
        <v>21.001999999999999</v>
      </c>
      <c r="AJ488">
        <v>24.079000000000001</v>
      </c>
      <c r="AK488">
        <v>29.041</v>
      </c>
      <c r="AL488">
        <v>32.695999999999998</v>
      </c>
      <c r="AM488">
        <v>26.934999999999999</v>
      </c>
      <c r="AN488">
        <v>28.001000000000001</v>
      </c>
      <c r="AO488">
        <v>31.247</v>
      </c>
      <c r="AP488">
        <v>33.314</v>
      </c>
      <c r="AQ488">
        <v>34.956000000000003</v>
      </c>
      <c r="AR488">
        <v>36.308999999999997</v>
      </c>
      <c r="AS488">
        <v>37.548999999999999</v>
      </c>
      <c r="AT488">
        <v>39.909999999999997</v>
      </c>
      <c r="AU488">
        <v>42.512999999999998</v>
      </c>
      <c r="AV488">
        <v>44.23</v>
      </c>
      <c r="AW488">
        <v>46.289000000000001</v>
      </c>
      <c r="AX488">
        <v>48.637999999999998</v>
      </c>
      <c r="AY488">
        <v>2013</v>
      </c>
    </row>
    <row r="489" spans="1:51" x14ac:dyDescent="0.25">
      <c r="A489">
        <v>946</v>
      </c>
      <c r="B489" t="s">
        <v>599</v>
      </c>
      <c r="C489" t="s">
        <v>289</v>
      </c>
      <c r="D489" t="s">
        <v>143</v>
      </c>
      <c r="E489" t="s">
        <v>287</v>
      </c>
      <c r="F489" t="s">
        <v>290</v>
      </c>
      <c r="G489" t="s">
        <v>291</v>
      </c>
      <c r="H489" t="s">
        <v>283</v>
      </c>
      <c r="I489" t="s">
        <v>292</v>
      </c>
      <c r="J489" t="s">
        <v>285</v>
      </c>
      <c r="K489" t="s">
        <v>285</v>
      </c>
      <c r="L489" t="s">
        <v>285</v>
      </c>
      <c r="M489" t="s">
        <v>285</v>
      </c>
      <c r="N489" t="s">
        <v>285</v>
      </c>
      <c r="O489" t="s">
        <v>285</v>
      </c>
      <c r="P489" t="s">
        <v>285</v>
      </c>
      <c r="Q489" t="s">
        <v>285</v>
      </c>
      <c r="R489" t="s">
        <v>285</v>
      </c>
      <c r="S489" t="s">
        <v>285</v>
      </c>
      <c r="T489" t="s">
        <v>285</v>
      </c>
      <c r="U489" t="s">
        <v>285</v>
      </c>
      <c r="V489" t="s">
        <v>285</v>
      </c>
      <c r="W489" t="s">
        <v>285</v>
      </c>
      <c r="X489" t="s">
        <v>285</v>
      </c>
      <c r="Y489">
        <v>6.742</v>
      </c>
      <c r="Z489">
        <v>8.44</v>
      </c>
      <c r="AA489">
        <v>10.145</v>
      </c>
      <c r="AB489">
        <v>11.272</v>
      </c>
      <c r="AC489">
        <v>10.989000000000001</v>
      </c>
      <c r="AD489">
        <v>11.519</v>
      </c>
      <c r="AE489">
        <v>12.239000000000001</v>
      </c>
      <c r="AF489">
        <v>14.26</v>
      </c>
      <c r="AG489">
        <v>18.728000000000002</v>
      </c>
      <c r="AH489">
        <v>22.692</v>
      </c>
      <c r="AI489">
        <v>26.181999999999999</v>
      </c>
      <c r="AJ489">
        <v>30.234999999999999</v>
      </c>
      <c r="AK489">
        <v>39.787999999999997</v>
      </c>
      <c r="AL489">
        <v>48.301000000000002</v>
      </c>
      <c r="AM489">
        <v>37.533000000000001</v>
      </c>
      <c r="AN489">
        <v>37.165999999999997</v>
      </c>
      <c r="AO489">
        <v>43.524999999999999</v>
      </c>
      <c r="AP489">
        <v>42.843000000000004</v>
      </c>
      <c r="AQ489">
        <v>46.417999999999999</v>
      </c>
      <c r="AR489">
        <v>48.287999999999997</v>
      </c>
      <c r="AS489">
        <v>41.776000000000003</v>
      </c>
      <c r="AT489">
        <v>44.613999999999997</v>
      </c>
      <c r="AU489">
        <v>48.051000000000002</v>
      </c>
      <c r="AV489">
        <v>50.503</v>
      </c>
      <c r="AW489">
        <v>53.268999999999998</v>
      </c>
      <c r="AX489">
        <v>56.8</v>
      </c>
      <c r="AY489">
        <v>2013</v>
      </c>
    </row>
    <row r="490" spans="1:51" x14ac:dyDescent="0.25">
      <c r="A490">
        <v>946</v>
      </c>
      <c r="B490" t="s">
        <v>599</v>
      </c>
      <c r="C490" t="s">
        <v>293</v>
      </c>
      <c r="D490" t="s">
        <v>143</v>
      </c>
      <c r="E490" t="s">
        <v>294</v>
      </c>
      <c r="F490" t="s">
        <v>295</v>
      </c>
      <c r="G490" t="s">
        <v>296</v>
      </c>
      <c r="I490" t="s">
        <v>297</v>
      </c>
      <c r="J490" t="s">
        <v>285</v>
      </c>
      <c r="K490" t="s">
        <v>285</v>
      </c>
      <c r="L490" t="s">
        <v>285</v>
      </c>
      <c r="M490" t="s">
        <v>285</v>
      </c>
      <c r="N490" t="s">
        <v>285</v>
      </c>
      <c r="O490" t="s">
        <v>285</v>
      </c>
      <c r="P490" t="s">
        <v>285</v>
      </c>
      <c r="Q490" t="s">
        <v>285</v>
      </c>
      <c r="R490" t="s">
        <v>285</v>
      </c>
      <c r="S490" t="s">
        <v>285</v>
      </c>
      <c r="T490" t="s">
        <v>285</v>
      </c>
      <c r="U490" t="s">
        <v>285</v>
      </c>
      <c r="V490" t="s">
        <v>285</v>
      </c>
      <c r="W490" t="s">
        <v>285</v>
      </c>
      <c r="X490" t="s">
        <v>285</v>
      </c>
      <c r="Y490">
        <v>54.036000000000001</v>
      </c>
      <c r="Z490">
        <v>64.278999999999996</v>
      </c>
      <c r="AA490">
        <v>71.447000000000003</v>
      </c>
      <c r="AB490">
        <v>73.762</v>
      </c>
      <c r="AC490">
        <v>72.650999999999996</v>
      </c>
      <c r="AD490">
        <v>73.494</v>
      </c>
      <c r="AE490">
        <v>73.186999999999998</v>
      </c>
      <c r="AF490">
        <v>73.367999999999995</v>
      </c>
      <c r="AG490">
        <v>72.734999999999999</v>
      </c>
      <c r="AH490">
        <v>74.566999999999993</v>
      </c>
      <c r="AI490">
        <v>79.504000000000005</v>
      </c>
      <c r="AJ490">
        <v>84.866</v>
      </c>
      <c r="AK490">
        <v>92.138000000000005</v>
      </c>
      <c r="AL490">
        <v>101.07899999999999</v>
      </c>
      <c r="AM490">
        <v>97.748999999999995</v>
      </c>
      <c r="AN490">
        <v>100</v>
      </c>
      <c r="AO490">
        <v>105.16200000000001</v>
      </c>
      <c r="AP490">
        <v>107.973</v>
      </c>
      <c r="AQ490">
        <v>109.72</v>
      </c>
      <c r="AR490">
        <v>110.702</v>
      </c>
      <c r="AS490">
        <v>112.495</v>
      </c>
      <c r="AT490">
        <v>116.506</v>
      </c>
      <c r="AU490">
        <v>120.465</v>
      </c>
      <c r="AV490">
        <v>121.31100000000001</v>
      </c>
      <c r="AW490">
        <v>122.723</v>
      </c>
      <c r="AX490">
        <v>124.485</v>
      </c>
      <c r="AY490">
        <v>2013</v>
      </c>
    </row>
    <row r="491" spans="1:51" x14ac:dyDescent="0.25">
      <c r="A491">
        <v>946</v>
      </c>
      <c r="B491" t="s">
        <v>599</v>
      </c>
      <c r="C491" t="s">
        <v>298</v>
      </c>
      <c r="D491" t="s">
        <v>143</v>
      </c>
      <c r="E491" t="s">
        <v>299</v>
      </c>
      <c r="F491" t="s">
        <v>300</v>
      </c>
      <c r="G491" t="s">
        <v>282</v>
      </c>
      <c r="H491" t="s">
        <v>283</v>
      </c>
      <c r="I491" t="s">
        <v>601</v>
      </c>
      <c r="J491" t="s">
        <v>285</v>
      </c>
      <c r="K491" t="s">
        <v>285</v>
      </c>
      <c r="L491" t="s">
        <v>285</v>
      </c>
      <c r="M491" t="s">
        <v>285</v>
      </c>
      <c r="N491" t="s">
        <v>285</v>
      </c>
      <c r="O491" t="s">
        <v>285</v>
      </c>
      <c r="P491" t="s">
        <v>285</v>
      </c>
      <c r="Q491" t="s">
        <v>285</v>
      </c>
      <c r="R491" t="s">
        <v>285</v>
      </c>
      <c r="S491" t="s">
        <v>285</v>
      </c>
      <c r="T491">
        <v>0.312</v>
      </c>
      <c r="U491">
        <v>0.311</v>
      </c>
      <c r="V491">
        <v>0.311</v>
      </c>
      <c r="W491">
        <v>1.19</v>
      </c>
      <c r="X491">
        <v>1.7909999999999999</v>
      </c>
      <c r="Y491">
        <v>2.5680000000000001</v>
      </c>
      <c r="Z491">
        <v>3.1160000000000001</v>
      </c>
      <c r="AA491">
        <v>3.8220000000000001</v>
      </c>
      <c r="AB491">
        <v>4.7939999999999996</v>
      </c>
      <c r="AC491">
        <v>5.0170000000000003</v>
      </c>
      <c r="AD491">
        <v>4.7949999999999999</v>
      </c>
      <c r="AE491">
        <v>4.9729999999999999</v>
      </c>
      <c r="AF491">
        <v>5.0419999999999998</v>
      </c>
      <c r="AG491">
        <v>5.3449999999999998</v>
      </c>
      <c r="AH491">
        <v>6.0540000000000003</v>
      </c>
      <c r="AI491">
        <v>7.02</v>
      </c>
      <c r="AJ491">
        <v>8.1229999999999993</v>
      </c>
      <c r="AK491">
        <v>10.004</v>
      </c>
      <c r="AL491">
        <v>12.11</v>
      </c>
      <c r="AM491">
        <v>11.757</v>
      </c>
      <c r="AN491">
        <v>11.55</v>
      </c>
      <c r="AO491">
        <v>12.981</v>
      </c>
      <c r="AP491">
        <v>11.744</v>
      </c>
      <c r="AQ491">
        <v>12.135999999999999</v>
      </c>
      <c r="AR491">
        <v>12.391999999999999</v>
      </c>
      <c r="AS491">
        <v>12.805</v>
      </c>
      <c r="AT491">
        <v>13.47</v>
      </c>
      <c r="AU491">
        <v>14.226000000000001</v>
      </c>
      <c r="AV491">
        <v>14.978999999999999</v>
      </c>
      <c r="AW491">
        <v>15.849</v>
      </c>
      <c r="AX491">
        <v>16.712</v>
      </c>
      <c r="AY491">
        <v>2013</v>
      </c>
    </row>
    <row r="492" spans="1:51" x14ac:dyDescent="0.25">
      <c r="A492">
        <v>137</v>
      </c>
      <c r="B492" t="s">
        <v>602</v>
      </c>
      <c r="C492" t="s">
        <v>279</v>
      </c>
      <c r="D492" t="s">
        <v>144</v>
      </c>
      <c r="E492" t="s">
        <v>280</v>
      </c>
      <c r="F492" t="s">
        <v>281</v>
      </c>
      <c r="G492" t="s">
        <v>282</v>
      </c>
      <c r="H492" t="s">
        <v>283</v>
      </c>
      <c r="I492" t="s">
        <v>603</v>
      </c>
      <c r="J492">
        <v>11.246</v>
      </c>
      <c r="K492">
        <v>11.336</v>
      </c>
      <c r="L492">
        <v>11.454000000000001</v>
      </c>
      <c r="M492">
        <v>11.67</v>
      </c>
      <c r="N492">
        <v>12.222</v>
      </c>
      <c r="O492">
        <v>12.906000000000001</v>
      </c>
      <c r="P492">
        <v>14.194000000000001</v>
      </c>
      <c r="Q492">
        <v>14.755000000000001</v>
      </c>
      <c r="R492">
        <v>16.004000000000001</v>
      </c>
      <c r="S492">
        <v>17.571999999999999</v>
      </c>
      <c r="T492">
        <v>18.506</v>
      </c>
      <c r="U492">
        <v>20.106000000000002</v>
      </c>
      <c r="V492">
        <v>20.472000000000001</v>
      </c>
      <c r="W492">
        <v>21.332000000000001</v>
      </c>
      <c r="X492">
        <v>22.146999999999998</v>
      </c>
      <c r="Y492">
        <v>22.463999999999999</v>
      </c>
      <c r="Z492">
        <v>22.805</v>
      </c>
      <c r="AA492">
        <v>24.158999999999999</v>
      </c>
      <c r="AB492">
        <v>25.727</v>
      </c>
      <c r="AC492">
        <v>27.893999999999998</v>
      </c>
      <c r="AD492">
        <v>30.248000000000001</v>
      </c>
      <c r="AE492">
        <v>30.899000000000001</v>
      </c>
      <c r="AF492">
        <v>32.018000000000001</v>
      </c>
      <c r="AG492">
        <v>32.466000000000001</v>
      </c>
      <c r="AH492">
        <v>33.898000000000003</v>
      </c>
      <c r="AI492">
        <v>34.988</v>
      </c>
      <c r="AJ492">
        <v>36.776000000000003</v>
      </c>
      <c r="AK492">
        <v>39.863999999999997</v>
      </c>
      <c r="AL492">
        <v>39.527999999999999</v>
      </c>
      <c r="AM492">
        <v>37.402000000000001</v>
      </c>
      <c r="AN492">
        <v>39.526000000000003</v>
      </c>
      <c r="AO492">
        <v>40.554000000000002</v>
      </c>
      <c r="AP492">
        <v>40.262</v>
      </c>
      <c r="AQ492">
        <v>42.045999999999999</v>
      </c>
      <c r="AR492">
        <v>44.396000000000001</v>
      </c>
      <c r="AS492">
        <v>46.344000000000001</v>
      </c>
      <c r="AT492">
        <v>47.906999999999996</v>
      </c>
      <c r="AU492">
        <v>49.433</v>
      </c>
      <c r="AV492">
        <v>50.933</v>
      </c>
      <c r="AW492">
        <v>52.478999999999999</v>
      </c>
      <c r="AX492">
        <v>54.070999999999998</v>
      </c>
      <c r="AY492">
        <v>2014</v>
      </c>
    </row>
    <row r="493" spans="1:51" x14ac:dyDescent="0.25">
      <c r="A493">
        <v>137</v>
      </c>
      <c r="B493" t="s">
        <v>602</v>
      </c>
      <c r="C493" t="s">
        <v>286</v>
      </c>
      <c r="D493" t="s">
        <v>144</v>
      </c>
      <c r="E493" t="s">
        <v>287</v>
      </c>
      <c r="F493" t="s">
        <v>288</v>
      </c>
      <c r="G493" t="s">
        <v>282</v>
      </c>
      <c r="H493" t="s">
        <v>283</v>
      </c>
      <c r="I493" t="s">
        <v>603</v>
      </c>
      <c r="J493">
        <v>4.7009999999999996</v>
      </c>
      <c r="K493">
        <v>5.133</v>
      </c>
      <c r="L493">
        <v>5.1840000000000002</v>
      </c>
      <c r="M493">
        <v>5.7030000000000003</v>
      </c>
      <c r="N493">
        <v>6.3230000000000004</v>
      </c>
      <c r="O493">
        <v>6.702</v>
      </c>
      <c r="P493">
        <v>7.3650000000000002</v>
      </c>
      <c r="Q493">
        <v>7.6609999999999996</v>
      </c>
      <c r="R493">
        <v>8.5399999999999991</v>
      </c>
      <c r="S493">
        <v>9.7530000000000001</v>
      </c>
      <c r="T493">
        <v>10.53</v>
      </c>
      <c r="U493">
        <v>11.648999999999999</v>
      </c>
      <c r="V493">
        <v>12.303000000000001</v>
      </c>
      <c r="W493">
        <v>13.586</v>
      </c>
      <c r="X493">
        <v>14.605</v>
      </c>
      <c r="Y493">
        <v>15.159000000000001</v>
      </c>
      <c r="Z493">
        <v>15.848000000000001</v>
      </c>
      <c r="AA493">
        <v>16.474</v>
      </c>
      <c r="AB493">
        <v>17.472000000000001</v>
      </c>
      <c r="AC493">
        <v>19.952000000000002</v>
      </c>
      <c r="AD493">
        <v>23.201000000000001</v>
      </c>
      <c r="AE493">
        <v>23.526</v>
      </c>
      <c r="AF493">
        <v>24.768000000000001</v>
      </c>
      <c r="AG493">
        <v>25.876999999999999</v>
      </c>
      <c r="AH493">
        <v>27.661000000000001</v>
      </c>
      <c r="AI493">
        <v>29.734000000000002</v>
      </c>
      <c r="AJ493">
        <v>33.408999999999999</v>
      </c>
      <c r="AK493">
        <v>36.765999999999998</v>
      </c>
      <c r="AL493">
        <v>37.646999999999998</v>
      </c>
      <c r="AM493">
        <v>36.268000000000001</v>
      </c>
      <c r="AN493">
        <v>39.526000000000003</v>
      </c>
      <c r="AO493">
        <v>42.226999999999997</v>
      </c>
      <c r="AP493">
        <v>43.561</v>
      </c>
      <c r="AQ493">
        <v>46.314999999999998</v>
      </c>
      <c r="AR493">
        <v>49.427999999999997</v>
      </c>
      <c r="AS493">
        <v>52.067</v>
      </c>
      <c r="AT493">
        <v>54.796999999999997</v>
      </c>
      <c r="AU493">
        <v>57.656999999999996</v>
      </c>
      <c r="AV493">
        <v>60.720999999999997</v>
      </c>
      <c r="AW493">
        <v>63.994999999999997</v>
      </c>
      <c r="AX493">
        <v>67.5</v>
      </c>
      <c r="AY493">
        <v>2014</v>
      </c>
    </row>
    <row r="494" spans="1:51" x14ac:dyDescent="0.25">
      <c r="A494">
        <v>137</v>
      </c>
      <c r="B494" t="s">
        <v>602</v>
      </c>
      <c r="C494" t="s">
        <v>289</v>
      </c>
      <c r="D494" t="s">
        <v>144</v>
      </c>
      <c r="E494" t="s">
        <v>287</v>
      </c>
      <c r="F494" t="s">
        <v>290</v>
      </c>
      <c r="G494" t="s">
        <v>291</v>
      </c>
      <c r="H494" t="s">
        <v>283</v>
      </c>
      <c r="I494" t="s">
        <v>292</v>
      </c>
      <c r="J494">
        <v>6.4939999999999998</v>
      </c>
      <c r="K494">
        <v>5.601</v>
      </c>
      <c r="L494">
        <v>4.5990000000000002</v>
      </c>
      <c r="M494">
        <v>4.5149999999999997</v>
      </c>
      <c r="N494">
        <v>4.4260000000000002</v>
      </c>
      <c r="O494">
        <v>4.5880000000000001</v>
      </c>
      <c r="P494">
        <v>6.6790000000000003</v>
      </c>
      <c r="Q494">
        <v>8.2889999999999997</v>
      </c>
      <c r="R494">
        <v>9.3889999999999993</v>
      </c>
      <c r="S494">
        <v>9.9979999999999993</v>
      </c>
      <c r="T494">
        <v>12.747</v>
      </c>
      <c r="U494">
        <v>13.815</v>
      </c>
      <c r="V494">
        <v>15.476000000000001</v>
      </c>
      <c r="W494">
        <v>15.864000000000001</v>
      </c>
      <c r="X494">
        <v>17.652999999999999</v>
      </c>
      <c r="Y494">
        <v>20.768000000000001</v>
      </c>
      <c r="Z494">
        <v>20.657</v>
      </c>
      <c r="AA494">
        <v>18.603000000000002</v>
      </c>
      <c r="AB494">
        <v>19.445</v>
      </c>
      <c r="AC494">
        <v>21.285</v>
      </c>
      <c r="AD494">
        <v>21.437999999999999</v>
      </c>
      <c r="AE494">
        <v>21.07</v>
      </c>
      <c r="AF494">
        <v>23.390999999999998</v>
      </c>
      <c r="AG494">
        <v>29.263000000000002</v>
      </c>
      <c r="AH494">
        <v>34.390999999999998</v>
      </c>
      <c r="AI494">
        <v>37.040999999999997</v>
      </c>
      <c r="AJ494">
        <v>41.95</v>
      </c>
      <c r="AK494">
        <v>50.393000000000001</v>
      </c>
      <c r="AL494">
        <v>55.405999999999999</v>
      </c>
      <c r="AM494">
        <v>50.514000000000003</v>
      </c>
      <c r="AN494">
        <v>52.445999999999998</v>
      </c>
      <c r="AO494">
        <v>58.753999999999998</v>
      </c>
      <c r="AP494">
        <v>56.000999999999998</v>
      </c>
      <c r="AQ494">
        <v>61.514000000000003</v>
      </c>
      <c r="AR494">
        <v>65.683000000000007</v>
      </c>
      <c r="AS494">
        <v>57.929000000000002</v>
      </c>
      <c r="AT494">
        <v>61.256999999999998</v>
      </c>
      <c r="AU494">
        <v>65.168999999999997</v>
      </c>
      <c r="AV494">
        <v>69.331999999999994</v>
      </c>
      <c r="AW494">
        <v>73.644999999999996</v>
      </c>
      <c r="AX494">
        <v>78.826999999999998</v>
      </c>
      <c r="AY494">
        <v>2014</v>
      </c>
    </row>
    <row r="495" spans="1:51" x14ac:dyDescent="0.25">
      <c r="A495">
        <v>137</v>
      </c>
      <c r="B495" t="s">
        <v>602</v>
      </c>
      <c r="C495" t="s">
        <v>293</v>
      </c>
      <c r="D495" t="s">
        <v>144</v>
      </c>
      <c r="E495" t="s">
        <v>294</v>
      </c>
      <c r="F495" t="s">
        <v>295</v>
      </c>
      <c r="G495" t="s">
        <v>296</v>
      </c>
      <c r="I495" t="s">
        <v>297</v>
      </c>
      <c r="J495">
        <v>41.798000000000002</v>
      </c>
      <c r="K495">
        <v>45.280999999999999</v>
      </c>
      <c r="L495">
        <v>45.264000000000003</v>
      </c>
      <c r="M495">
        <v>48.872999999999998</v>
      </c>
      <c r="N495">
        <v>51.738999999999997</v>
      </c>
      <c r="O495">
        <v>51.929000000000002</v>
      </c>
      <c r="P495">
        <v>51.886000000000003</v>
      </c>
      <c r="Q495">
        <v>51.918999999999997</v>
      </c>
      <c r="R495">
        <v>53.36</v>
      </c>
      <c r="S495">
        <v>55.506</v>
      </c>
      <c r="T495">
        <v>56.901000000000003</v>
      </c>
      <c r="U495">
        <v>57.938000000000002</v>
      </c>
      <c r="V495">
        <v>60.098999999999997</v>
      </c>
      <c r="W495">
        <v>63.688000000000002</v>
      </c>
      <c r="X495">
        <v>65.944000000000003</v>
      </c>
      <c r="Y495">
        <v>67.481999999999999</v>
      </c>
      <c r="Z495">
        <v>69.495000000000005</v>
      </c>
      <c r="AA495">
        <v>68.191999999999993</v>
      </c>
      <c r="AB495">
        <v>67.911000000000001</v>
      </c>
      <c r="AC495">
        <v>71.528999999999996</v>
      </c>
      <c r="AD495">
        <v>76.701999999999998</v>
      </c>
      <c r="AE495">
        <v>76.135999999999996</v>
      </c>
      <c r="AF495">
        <v>77.355000000000004</v>
      </c>
      <c r="AG495">
        <v>79.706999999999994</v>
      </c>
      <c r="AH495">
        <v>81.599999999999994</v>
      </c>
      <c r="AI495">
        <v>84.981999999999999</v>
      </c>
      <c r="AJ495">
        <v>90.844999999999999</v>
      </c>
      <c r="AK495">
        <v>92.228999999999999</v>
      </c>
      <c r="AL495">
        <v>95.242999999999995</v>
      </c>
      <c r="AM495">
        <v>96.968999999999994</v>
      </c>
      <c r="AN495">
        <v>100</v>
      </c>
      <c r="AO495">
        <v>104.125</v>
      </c>
      <c r="AP495">
        <v>108.19499999999999</v>
      </c>
      <c r="AQ495">
        <v>110.154</v>
      </c>
      <c r="AR495">
        <v>111.336</v>
      </c>
      <c r="AS495">
        <v>112.35</v>
      </c>
      <c r="AT495">
        <v>114.381</v>
      </c>
      <c r="AU495">
        <v>116.636</v>
      </c>
      <c r="AV495">
        <v>119.21599999999999</v>
      </c>
      <c r="AW495">
        <v>121.94499999999999</v>
      </c>
      <c r="AX495">
        <v>124.836</v>
      </c>
      <c r="AY495">
        <v>2014</v>
      </c>
    </row>
    <row r="496" spans="1:51" x14ac:dyDescent="0.25">
      <c r="A496">
        <v>137</v>
      </c>
      <c r="B496" t="s">
        <v>602</v>
      </c>
      <c r="C496" t="s">
        <v>298</v>
      </c>
      <c r="D496" t="s">
        <v>144</v>
      </c>
      <c r="E496" t="s">
        <v>299</v>
      </c>
      <c r="F496" t="s">
        <v>300</v>
      </c>
      <c r="G496" t="s">
        <v>282</v>
      </c>
      <c r="H496" t="s">
        <v>283</v>
      </c>
      <c r="I496" t="s">
        <v>604</v>
      </c>
      <c r="J496" t="s">
        <v>285</v>
      </c>
      <c r="K496" t="s">
        <v>285</v>
      </c>
      <c r="L496" t="s">
        <v>285</v>
      </c>
      <c r="M496" t="s">
        <v>285</v>
      </c>
      <c r="N496" t="s">
        <v>285</v>
      </c>
      <c r="O496" t="s">
        <v>285</v>
      </c>
      <c r="P496" t="s">
        <v>285</v>
      </c>
      <c r="Q496" t="s">
        <v>285</v>
      </c>
      <c r="R496" t="s">
        <v>285</v>
      </c>
      <c r="S496" t="s">
        <v>285</v>
      </c>
      <c r="T496" t="s">
        <v>285</v>
      </c>
      <c r="U496" t="s">
        <v>285</v>
      </c>
      <c r="V496" t="s">
        <v>285</v>
      </c>
      <c r="W496" t="s">
        <v>285</v>
      </c>
      <c r="X496" t="s">
        <v>285</v>
      </c>
      <c r="Y496">
        <v>6.12</v>
      </c>
      <c r="Z496">
        <v>6.601</v>
      </c>
      <c r="AA496">
        <v>6.7619999999999996</v>
      </c>
      <c r="AB496">
        <v>7.25</v>
      </c>
      <c r="AC496">
        <v>7.8860000000000001</v>
      </c>
      <c r="AD496">
        <v>8.4169999999999998</v>
      </c>
      <c r="AE496">
        <v>8.7159999999999993</v>
      </c>
      <c r="AF496">
        <v>10.042999999999999</v>
      </c>
      <c r="AG496">
        <v>10.907</v>
      </c>
      <c r="AH496">
        <v>11.778</v>
      </c>
      <c r="AI496">
        <v>12.66</v>
      </c>
      <c r="AJ496">
        <v>13.192</v>
      </c>
      <c r="AK496">
        <v>13.715999999999999</v>
      </c>
      <c r="AL496">
        <v>14.794</v>
      </c>
      <c r="AM496">
        <v>16.266999999999999</v>
      </c>
      <c r="AN496">
        <v>17.312000000000001</v>
      </c>
      <c r="AO496">
        <v>17.952000000000002</v>
      </c>
      <c r="AP496">
        <v>19.058</v>
      </c>
      <c r="AQ496">
        <v>19.727</v>
      </c>
      <c r="AR496">
        <v>20.745000000000001</v>
      </c>
      <c r="AS496">
        <v>21.759</v>
      </c>
      <c r="AT496">
        <v>22.745999999999999</v>
      </c>
      <c r="AU496">
        <v>23.867999999999999</v>
      </c>
      <c r="AV496">
        <v>25.158000000000001</v>
      </c>
      <c r="AW496">
        <v>26.518999999999998</v>
      </c>
      <c r="AX496">
        <v>27.989000000000001</v>
      </c>
      <c r="AY496">
        <v>2014</v>
      </c>
    </row>
    <row r="497" spans="1:51" x14ac:dyDescent="0.25">
      <c r="A497">
        <v>962</v>
      </c>
      <c r="B497" t="s">
        <v>605</v>
      </c>
      <c r="C497" t="s">
        <v>279</v>
      </c>
      <c r="D497" t="s">
        <v>1126</v>
      </c>
      <c r="E497" t="s">
        <v>280</v>
      </c>
      <c r="F497" t="s">
        <v>281</v>
      </c>
      <c r="G497" t="s">
        <v>282</v>
      </c>
      <c r="H497" t="s">
        <v>283</v>
      </c>
      <c r="I497" t="s">
        <v>606</v>
      </c>
      <c r="J497" t="s">
        <v>285</v>
      </c>
      <c r="K497" t="s">
        <v>285</v>
      </c>
      <c r="L497" t="s">
        <v>285</v>
      </c>
      <c r="M497" t="s">
        <v>285</v>
      </c>
      <c r="N497" t="s">
        <v>285</v>
      </c>
      <c r="O497" t="s">
        <v>285</v>
      </c>
      <c r="P497" t="s">
        <v>285</v>
      </c>
      <c r="Q497" t="s">
        <v>285</v>
      </c>
      <c r="R497" t="s">
        <v>285</v>
      </c>
      <c r="S497" t="s">
        <v>285</v>
      </c>
      <c r="T497" t="s">
        <v>285</v>
      </c>
      <c r="U497" t="s">
        <v>285</v>
      </c>
      <c r="V497">
        <v>269.26499999999999</v>
      </c>
      <c r="W497">
        <v>249.07</v>
      </c>
      <c r="X497">
        <v>244.58699999999999</v>
      </c>
      <c r="Y497">
        <v>241.89699999999999</v>
      </c>
      <c r="Z497">
        <v>244.79900000000001</v>
      </c>
      <c r="AA497">
        <v>248.10599999999999</v>
      </c>
      <c r="AB497">
        <v>256.49400000000003</v>
      </c>
      <c r="AC497">
        <v>267.64600000000002</v>
      </c>
      <c r="AD497">
        <v>279.79399999999998</v>
      </c>
      <c r="AE497">
        <v>271.21199999999999</v>
      </c>
      <c r="AF497">
        <v>275.26299999999998</v>
      </c>
      <c r="AG497">
        <v>281.38099999999997</v>
      </c>
      <c r="AH497">
        <v>294.53300000000002</v>
      </c>
      <c r="AI497">
        <v>308.447</v>
      </c>
      <c r="AJ497">
        <v>324.29199999999997</v>
      </c>
      <c r="AK497">
        <v>345.28500000000003</v>
      </c>
      <c r="AL497">
        <v>364.17899999999997</v>
      </c>
      <c r="AM497">
        <v>362.87299999999999</v>
      </c>
      <c r="AN497">
        <v>375.06200000000001</v>
      </c>
      <c r="AO497">
        <v>383.83699999999999</v>
      </c>
      <c r="AP497">
        <v>382.08600000000001</v>
      </c>
      <c r="AQ497">
        <v>392.27</v>
      </c>
      <c r="AR497">
        <v>407.04899999999998</v>
      </c>
      <c r="AS497">
        <v>420.07499999999999</v>
      </c>
      <c r="AT497">
        <v>433.517</v>
      </c>
      <c r="AU497">
        <v>447.82299999999998</v>
      </c>
      <c r="AV497">
        <v>463.04899999999998</v>
      </c>
      <c r="AW497">
        <v>479.71899999999999</v>
      </c>
      <c r="AX497">
        <v>497.94799999999998</v>
      </c>
      <c r="AY497">
        <v>2014</v>
      </c>
    </row>
    <row r="498" spans="1:51" x14ac:dyDescent="0.25">
      <c r="A498">
        <v>962</v>
      </c>
      <c r="B498" t="s">
        <v>605</v>
      </c>
      <c r="C498" t="s">
        <v>286</v>
      </c>
      <c r="D498" t="s">
        <v>1126</v>
      </c>
      <c r="E498" t="s">
        <v>287</v>
      </c>
      <c r="F498" t="s">
        <v>288</v>
      </c>
      <c r="G498" t="s">
        <v>282</v>
      </c>
      <c r="H498" t="s">
        <v>283</v>
      </c>
      <c r="I498" t="s">
        <v>606</v>
      </c>
      <c r="J498" t="s">
        <v>285</v>
      </c>
      <c r="K498" t="s">
        <v>285</v>
      </c>
      <c r="L498" t="s">
        <v>285</v>
      </c>
      <c r="M498" t="s">
        <v>285</v>
      </c>
      <c r="N498" t="s">
        <v>285</v>
      </c>
      <c r="O498" t="s">
        <v>285</v>
      </c>
      <c r="P498" t="s">
        <v>285</v>
      </c>
      <c r="Q498" t="s">
        <v>285</v>
      </c>
      <c r="R498" t="s">
        <v>285</v>
      </c>
      <c r="S498" t="s">
        <v>285</v>
      </c>
      <c r="T498" t="s">
        <v>285</v>
      </c>
      <c r="U498" t="s">
        <v>285</v>
      </c>
      <c r="V498">
        <v>12.407999999999999</v>
      </c>
      <c r="W498">
        <v>62.244999999999997</v>
      </c>
      <c r="X498">
        <v>154.03</v>
      </c>
      <c r="Y498">
        <v>178.345</v>
      </c>
      <c r="Z498">
        <v>185.62899999999999</v>
      </c>
      <c r="AA498">
        <v>195.607</v>
      </c>
      <c r="AB498">
        <v>205.029</v>
      </c>
      <c r="AC498">
        <v>219.91800000000001</v>
      </c>
      <c r="AD498">
        <v>248.64599999999999</v>
      </c>
      <c r="AE498">
        <v>252.393</v>
      </c>
      <c r="AF498">
        <v>258.58100000000002</v>
      </c>
      <c r="AG498">
        <v>268.69299999999998</v>
      </c>
      <c r="AH498">
        <v>280.78699999999998</v>
      </c>
      <c r="AI498">
        <v>308.447</v>
      </c>
      <c r="AJ498">
        <v>334.839</v>
      </c>
      <c r="AK498">
        <v>372.88900000000001</v>
      </c>
      <c r="AL498">
        <v>414.89</v>
      </c>
      <c r="AM498">
        <v>414.62200000000001</v>
      </c>
      <c r="AN498">
        <v>437.29700000000003</v>
      </c>
      <c r="AO498">
        <v>464.18599999999998</v>
      </c>
      <c r="AP498">
        <v>466.70299999999997</v>
      </c>
      <c r="AQ498">
        <v>499.56</v>
      </c>
      <c r="AR498">
        <v>525.84299999999996</v>
      </c>
      <c r="AS498">
        <v>549.18200000000002</v>
      </c>
      <c r="AT498">
        <v>574.46299999999997</v>
      </c>
      <c r="AU498">
        <v>602.44000000000005</v>
      </c>
      <c r="AV498">
        <v>633.38800000000003</v>
      </c>
      <c r="AW498">
        <v>668.26400000000001</v>
      </c>
      <c r="AX498">
        <v>707.53099999999995</v>
      </c>
      <c r="AY498">
        <v>2014</v>
      </c>
    </row>
    <row r="499" spans="1:51" x14ac:dyDescent="0.25">
      <c r="A499">
        <v>962</v>
      </c>
      <c r="B499" t="s">
        <v>605</v>
      </c>
      <c r="C499" t="s">
        <v>289</v>
      </c>
      <c r="D499" t="s">
        <v>1126</v>
      </c>
      <c r="E499" t="s">
        <v>287</v>
      </c>
      <c r="F499" t="s">
        <v>290</v>
      </c>
      <c r="G499" t="s">
        <v>291</v>
      </c>
      <c r="H499" t="s">
        <v>283</v>
      </c>
      <c r="I499" t="s">
        <v>292</v>
      </c>
      <c r="J499" t="s">
        <v>285</v>
      </c>
      <c r="K499" t="s">
        <v>285</v>
      </c>
      <c r="L499" t="s">
        <v>285</v>
      </c>
      <c r="M499" t="s">
        <v>285</v>
      </c>
      <c r="N499" t="s">
        <v>285</v>
      </c>
      <c r="O499" t="s">
        <v>285</v>
      </c>
      <c r="P499" t="s">
        <v>285</v>
      </c>
      <c r="Q499" t="s">
        <v>285</v>
      </c>
      <c r="R499" t="s">
        <v>285</v>
      </c>
      <c r="S499" t="s">
        <v>285</v>
      </c>
      <c r="T499" t="s">
        <v>285</v>
      </c>
      <c r="U499" t="s">
        <v>285</v>
      </c>
      <c r="V499">
        <v>2.4430000000000001</v>
      </c>
      <c r="W499">
        <v>2.6869999999999998</v>
      </c>
      <c r="X499">
        <v>3.5609999999999999</v>
      </c>
      <c r="Y499">
        <v>4.6870000000000003</v>
      </c>
      <c r="Z499">
        <v>4.6420000000000003</v>
      </c>
      <c r="AA499">
        <v>3.9279999999999999</v>
      </c>
      <c r="AB499">
        <v>3.7639999999999998</v>
      </c>
      <c r="AC499">
        <v>3.867</v>
      </c>
      <c r="AD499">
        <v>3.774</v>
      </c>
      <c r="AE499">
        <v>3.7090000000000001</v>
      </c>
      <c r="AF499">
        <v>3.9910000000000001</v>
      </c>
      <c r="AG499">
        <v>4.9459999999999997</v>
      </c>
      <c r="AH499">
        <v>5.6840000000000002</v>
      </c>
      <c r="AI499">
        <v>6.2569999999999997</v>
      </c>
      <c r="AJ499">
        <v>6.86</v>
      </c>
      <c r="AK499">
        <v>8.3369999999999997</v>
      </c>
      <c r="AL499">
        <v>9.9120000000000008</v>
      </c>
      <c r="AM499">
        <v>9.4</v>
      </c>
      <c r="AN499">
        <v>9.4149999999999991</v>
      </c>
      <c r="AO499">
        <v>10.659000000000001</v>
      </c>
      <c r="AP499">
        <v>9.7509999999999994</v>
      </c>
      <c r="AQ499">
        <v>10.773999999999999</v>
      </c>
      <c r="AR499">
        <v>11.342000000000001</v>
      </c>
      <c r="AS499">
        <v>10.087999999999999</v>
      </c>
      <c r="AT499">
        <v>10.564</v>
      </c>
      <c r="AU499">
        <v>11.188000000000001</v>
      </c>
      <c r="AV499">
        <v>11.901999999999999</v>
      </c>
      <c r="AW499">
        <v>12.711</v>
      </c>
      <c r="AX499">
        <v>13.699</v>
      </c>
      <c r="AY499">
        <v>2014</v>
      </c>
    </row>
    <row r="500" spans="1:51" x14ac:dyDescent="0.25">
      <c r="A500">
        <v>962</v>
      </c>
      <c r="B500" t="s">
        <v>605</v>
      </c>
      <c r="C500" t="s">
        <v>293</v>
      </c>
      <c r="D500" t="s">
        <v>1126</v>
      </c>
      <c r="E500" t="s">
        <v>294</v>
      </c>
      <c r="F500" t="s">
        <v>295</v>
      </c>
      <c r="G500" t="s">
        <v>296</v>
      </c>
      <c r="I500" t="s">
        <v>297</v>
      </c>
      <c r="J500" t="s">
        <v>285</v>
      </c>
      <c r="K500" t="s">
        <v>285</v>
      </c>
      <c r="L500" t="s">
        <v>285</v>
      </c>
      <c r="M500" t="s">
        <v>285</v>
      </c>
      <c r="N500" t="s">
        <v>285</v>
      </c>
      <c r="O500" t="s">
        <v>285</v>
      </c>
      <c r="P500" t="s">
        <v>285</v>
      </c>
      <c r="Q500" t="s">
        <v>285</v>
      </c>
      <c r="R500" t="s">
        <v>285</v>
      </c>
      <c r="S500" t="s">
        <v>285</v>
      </c>
      <c r="T500" t="s">
        <v>285</v>
      </c>
      <c r="U500" t="s">
        <v>285</v>
      </c>
      <c r="V500">
        <v>4.6079999999999997</v>
      </c>
      <c r="W500">
        <v>24.991</v>
      </c>
      <c r="X500">
        <v>62.975999999999999</v>
      </c>
      <c r="Y500">
        <v>73.727999999999994</v>
      </c>
      <c r="Z500">
        <v>75.828999999999994</v>
      </c>
      <c r="AA500">
        <v>78.84</v>
      </c>
      <c r="AB500">
        <v>79.935000000000002</v>
      </c>
      <c r="AC500">
        <v>82.168000000000006</v>
      </c>
      <c r="AD500">
        <v>88.867999999999995</v>
      </c>
      <c r="AE500">
        <v>93.061000000000007</v>
      </c>
      <c r="AF500">
        <v>93.94</v>
      </c>
      <c r="AG500">
        <v>95.491</v>
      </c>
      <c r="AH500">
        <v>95.332999999999998</v>
      </c>
      <c r="AI500">
        <v>100</v>
      </c>
      <c r="AJ500">
        <v>103.252</v>
      </c>
      <c r="AK500">
        <v>107.995</v>
      </c>
      <c r="AL500">
        <v>113.925</v>
      </c>
      <c r="AM500">
        <v>114.261</v>
      </c>
      <c r="AN500">
        <v>116.593</v>
      </c>
      <c r="AO500">
        <v>120.93300000000001</v>
      </c>
      <c r="AP500">
        <v>122.146</v>
      </c>
      <c r="AQ500">
        <v>127.351</v>
      </c>
      <c r="AR500">
        <v>129.184</v>
      </c>
      <c r="AS500">
        <v>130.73400000000001</v>
      </c>
      <c r="AT500">
        <v>132.512</v>
      </c>
      <c r="AU500">
        <v>134.52600000000001</v>
      </c>
      <c r="AV500">
        <v>136.786</v>
      </c>
      <c r="AW500">
        <v>139.303</v>
      </c>
      <c r="AX500">
        <v>142.089</v>
      </c>
      <c r="AY500">
        <v>2014</v>
      </c>
    </row>
    <row r="501" spans="1:51" x14ac:dyDescent="0.25">
      <c r="A501">
        <v>962</v>
      </c>
      <c r="B501" t="s">
        <v>605</v>
      </c>
      <c r="C501" t="s">
        <v>298</v>
      </c>
      <c r="D501" t="s">
        <v>1126</v>
      </c>
      <c r="E501" t="s">
        <v>299</v>
      </c>
      <c r="F501" t="s">
        <v>300</v>
      </c>
      <c r="G501" t="s">
        <v>282</v>
      </c>
      <c r="H501" t="s">
        <v>283</v>
      </c>
      <c r="I501" t="s">
        <v>607</v>
      </c>
      <c r="J501" t="s">
        <v>285</v>
      </c>
      <c r="K501" t="s">
        <v>285</v>
      </c>
      <c r="L501" t="s">
        <v>285</v>
      </c>
      <c r="M501" t="s">
        <v>285</v>
      </c>
      <c r="N501" t="s">
        <v>285</v>
      </c>
      <c r="O501" t="s">
        <v>285</v>
      </c>
      <c r="P501" t="s">
        <v>285</v>
      </c>
      <c r="Q501" t="s">
        <v>285</v>
      </c>
      <c r="R501" t="s">
        <v>285</v>
      </c>
      <c r="S501" t="s">
        <v>285</v>
      </c>
      <c r="T501" t="s">
        <v>285</v>
      </c>
      <c r="U501" t="s">
        <v>285</v>
      </c>
      <c r="V501" t="s">
        <v>285</v>
      </c>
      <c r="W501" t="s">
        <v>285</v>
      </c>
      <c r="X501" t="s">
        <v>285</v>
      </c>
      <c r="Y501" t="s">
        <v>285</v>
      </c>
      <c r="Z501" t="s">
        <v>285</v>
      </c>
      <c r="AA501">
        <v>64.408000000000001</v>
      </c>
      <c r="AB501">
        <v>67.274000000000001</v>
      </c>
      <c r="AC501">
        <v>72.962000000000003</v>
      </c>
      <c r="AD501">
        <v>79.628</v>
      </c>
      <c r="AE501">
        <v>94.299000000000007</v>
      </c>
      <c r="AF501">
        <v>98.757999999999996</v>
      </c>
      <c r="AG501">
        <v>96.728999999999999</v>
      </c>
      <c r="AH501">
        <v>95.795000000000002</v>
      </c>
      <c r="AI501">
        <v>100.217</v>
      </c>
      <c r="AJ501">
        <v>105.31699999999999</v>
      </c>
      <c r="AK501">
        <v>117.26900000000001</v>
      </c>
      <c r="AL501">
        <v>140.07400000000001</v>
      </c>
      <c r="AM501">
        <v>139.15600000000001</v>
      </c>
      <c r="AN501">
        <v>142.167</v>
      </c>
      <c r="AO501">
        <v>147.87</v>
      </c>
      <c r="AP501">
        <v>155.21100000000001</v>
      </c>
      <c r="AQ501">
        <v>158.964</v>
      </c>
      <c r="AR501">
        <v>167.33500000000001</v>
      </c>
      <c r="AS501">
        <v>181.66200000000001</v>
      </c>
      <c r="AT501">
        <v>189.375</v>
      </c>
      <c r="AU501">
        <v>194.953</v>
      </c>
      <c r="AV501">
        <v>204.96799999999999</v>
      </c>
      <c r="AW501">
        <v>216.25299999999999</v>
      </c>
      <c r="AX501">
        <v>228.96</v>
      </c>
      <c r="AY501">
        <v>2014</v>
      </c>
    </row>
    <row r="502" spans="1:51" x14ac:dyDescent="0.25">
      <c r="A502">
        <v>674</v>
      </c>
      <c r="B502" t="s">
        <v>608</v>
      </c>
      <c r="C502" t="s">
        <v>279</v>
      </c>
      <c r="D502" t="s">
        <v>146</v>
      </c>
      <c r="E502" t="s">
        <v>280</v>
      </c>
      <c r="F502" t="s">
        <v>281</v>
      </c>
      <c r="G502" t="s">
        <v>282</v>
      </c>
      <c r="H502" t="s">
        <v>283</v>
      </c>
      <c r="I502" t="s">
        <v>609</v>
      </c>
      <c r="J502" s="21">
        <v>4211.6779999999999</v>
      </c>
      <c r="K502" s="21">
        <v>3798.9340000000002</v>
      </c>
      <c r="L502" s="21">
        <v>3726.7539999999999</v>
      </c>
      <c r="M502" s="21">
        <v>3760.2950000000001</v>
      </c>
      <c r="N502" s="21">
        <v>3826.4830000000002</v>
      </c>
      <c r="O502" s="21">
        <v>3870.73</v>
      </c>
      <c r="P502" s="21">
        <v>3946.605</v>
      </c>
      <c r="Q502" s="21">
        <v>3992.9740000000002</v>
      </c>
      <c r="R502" s="21">
        <v>4129.0119999999997</v>
      </c>
      <c r="S502" s="21">
        <v>4297.2650000000003</v>
      </c>
      <c r="T502" s="21">
        <v>4431.7219999999998</v>
      </c>
      <c r="U502" s="21">
        <v>4152.2420000000002</v>
      </c>
      <c r="V502" s="21">
        <v>4201.2749999999996</v>
      </c>
      <c r="W502" s="21">
        <v>4289.4989999999998</v>
      </c>
      <c r="X502" s="21">
        <v>4287.6930000000002</v>
      </c>
      <c r="Y502" s="21">
        <v>4359.6660000000002</v>
      </c>
      <c r="Z502" s="21">
        <v>4453.5820000000003</v>
      </c>
      <c r="AA502" s="21">
        <v>4618.0739999999996</v>
      </c>
      <c r="AB502" s="21">
        <v>4798.9679999999998</v>
      </c>
      <c r="AC502" s="21">
        <v>5024.482</v>
      </c>
      <c r="AD502" s="21">
        <v>5248.4160000000002</v>
      </c>
      <c r="AE502" s="21">
        <v>5562.2839999999997</v>
      </c>
      <c r="AF502" s="21">
        <v>4872.1170000000002</v>
      </c>
      <c r="AG502" s="21">
        <v>5348.8490000000002</v>
      </c>
      <c r="AH502" s="21">
        <v>5630.0379999999996</v>
      </c>
      <c r="AI502" s="21">
        <v>5897.7939999999999</v>
      </c>
      <c r="AJ502" s="21">
        <v>6216.1869999999999</v>
      </c>
      <c r="AK502" s="21">
        <v>6615.2659999999996</v>
      </c>
      <c r="AL502" s="21">
        <v>7091.9989999999998</v>
      </c>
      <c r="AM502" s="21">
        <v>6756.8130000000001</v>
      </c>
      <c r="AN502" s="21">
        <v>6774.5860000000002</v>
      </c>
      <c r="AO502" s="21">
        <v>6873.1239999999998</v>
      </c>
      <c r="AP502" s="21">
        <v>7081.2039999999997</v>
      </c>
      <c r="AQ502" s="21">
        <v>7241.4889999999996</v>
      </c>
      <c r="AR502" s="21">
        <v>7481.6009999999997</v>
      </c>
      <c r="AS502" s="21">
        <v>7736.0690000000004</v>
      </c>
      <c r="AT502" s="21">
        <v>8092.1210000000001</v>
      </c>
      <c r="AU502" s="21">
        <v>8456.6080000000002</v>
      </c>
      <c r="AV502" s="21">
        <v>8837.3829999999998</v>
      </c>
      <c r="AW502" s="21">
        <v>9235.0380000000005</v>
      </c>
      <c r="AX502" s="21">
        <v>9696.7900000000009</v>
      </c>
      <c r="AY502">
        <v>2014</v>
      </c>
    </row>
    <row r="503" spans="1:51" x14ac:dyDescent="0.25">
      <c r="A503">
        <v>674</v>
      </c>
      <c r="B503" t="s">
        <v>608</v>
      </c>
      <c r="C503" t="s">
        <v>286</v>
      </c>
      <c r="D503" t="s">
        <v>146</v>
      </c>
      <c r="E503" t="s">
        <v>287</v>
      </c>
      <c r="F503" t="s">
        <v>288</v>
      </c>
      <c r="G503" t="s">
        <v>282</v>
      </c>
      <c r="H503" t="s">
        <v>283</v>
      </c>
      <c r="I503" t="s">
        <v>609</v>
      </c>
      <c r="J503">
        <v>170.8</v>
      </c>
      <c r="K503">
        <v>195.363</v>
      </c>
      <c r="L503">
        <v>246.642</v>
      </c>
      <c r="M503">
        <v>302.30500000000001</v>
      </c>
      <c r="N503">
        <v>339</v>
      </c>
      <c r="O503">
        <v>378.64</v>
      </c>
      <c r="P503">
        <v>440.76</v>
      </c>
      <c r="Q503">
        <v>548.64</v>
      </c>
      <c r="R503">
        <v>687.36</v>
      </c>
      <c r="S503">
        <v>801.06</v>
      </c>
      <c r="T503">
        <v>920.78</v>
      </c>
      <c r="U503">
        <v>982.72</v>
      </c>
      <c r="V503" s="21">
        <v>1118.6199999999999</v>
      </c>
      <c r="W503" s="21">
        <v>1290.18</v>
      </c>
      <c r="X503" s="21">
        <v>1826.24</v>
      </c>
      <c r="Y503" s="21">
        <v>2695.7350000000001</v>
      </c>
      <c r="Z503" s="21">
        <v>3244.89</v>
      </c>
      <c r="AA503" s="21">
        <v>3610.027</v>
      </c>
      <c r="AB503" s="21">
        <v>4068.3490000000002</v>
      </c>
      <c r="AC503" s="21">
        <v>4676.7860000000001</v>
      </c>
      <c r="AD503" s="21">
        <v>5248.4160000000002</v>
      </c>
      <c r="AE503" s="21">
        <v>5968.616</v>
      </c>
      <c r="AF503" s="21">
        <v>6008.37</v>
      </c>
      <c r="AG503" s="21">
        <v>6778.63</v>
      </c>
      <c r="AH503" s="21">
        <v>8155.5730000000003</v>
      </c>
      <c r="AI503" s="21">
        <v>10093.834000000001</v>
      </c>
      <c r="AJ503" s="21">
        <v>11816.688</v>
      </c>
      <c r="AK503" s="21">
        <v>13759.733</v>
      </c>
      <c r="AL503" s="21">
        <v>16080.898999999999</v>
      </c>
      <c r="AM503" s="21">
        <v>16726.272000000001</v>
      </c>
      <c r="AN503" s="21">
        <v>18245.13</v>
      </c>
      <c r="AO503" s="21">
        <v>20033.884999999998</v>
      </c>
      <c r="AP503" s="21">
        <v>21773.587</v>
      </c>
      <c r="AQ503" s="21">
        <v>23397.022000000001</v>
      </c>
      <c r="AR503" s="21">
        <v>25774.535</v>
      </c>
      <c r="AS503" s="21">
        <v>28695</v>
      </c>
      <c r="AT503" s="21">
        <v>32320.937999999998</v>
      </c>
      <c r="AU503" s="21">
        <v>35790</v>
      </c>
      <c r="AV503" s="21">
        <v>39341</v>
      </c>
      <c r="AW503" s="21">
        <v>43209</v>
      </c>
      <c r="AX503" s="21">
        <v>47669</v>
      </c>
      <c r="AY503">
        <v>2014</v>
      </c>
    </row>
    <row r="504" spans="1:51" x14ac:dyDescent="0.25">
      <c r="A504">
        <v>674</v>
      </c>
      <c r="B504" t="s">
        <v>608</v>
      </c>
      <c r="C504" t="s">
        <v>289</v>
      </c>
      <c r="D504" t="s">
        <v>146</v>
      </c>
      <c r="E504" t="s">
        <v>287</v>
      </c>
      <c r="F504" t="s">
        <v>290</v>
      </c>
      <c r="G504" t="s">
        <v>291</v>
      </c>
      <c r="H504" t="s">
        <v>283</v>
      </c>
      <c r="I504" t="s">
        <v>292</v>
      </c>
      <c r="J504">
        <v>4.0419999999999998</v>
      </c>
      <c r="K504">
        <v>3.5950000000000002</v>
      </c>
      <c r="L504">
        <v>3.5259999999999998</v>
      </c>
      <c r="M504">
        <v>3.512</v>
      </c>
      <c r="N504">
        <v>2.9390000000000001</v>
      </c>
      <c r="O504">
        <v>2.8580000000000001</v>
      </c>
      <c r="P504">
        <v>3.258</v>
      </c>
      <c r="Q504">
        <v>2.5659999999999998</v>
      </c>
      <c r="R504">
        <v>2.4420000000000002</v>
      </c>
      <c r="S504">
        <v>2.4980000000000002</v>
      </c>
      <c r="T504">
        <v>3.081</v>
      </c>
      <c r="U504">
        <v>2.677</v>
      </c>
      <c r="V504">
        <v>3.0009999999999999</v>
      </c>
      <c r="W504">
        <v>3.371</v>
      </c>
      <c r="X504">
        <v>2.9769999999999999</v>
      </c>
      <c r="Y504">
        <v>3.16</v>
      </c>
      <c r="Z504">
        <v>3.9950000000000001</v>
      </c>
      <c r="AA504">
        <v>3.5459999999999998</v>
      </c>
      <c r="AB504">
        <v>3.738</v>
      </c>
      <c r="AC504">
        <v>3.7210000000000001</v>
      </c>
      <c r="AD504">
        <v>3.8780000000000001</v>
      </c>
      <c r="AE504">
        <v>4.53</v>
      </c>
      <c r="AF504">
        <v>4.3970000000000002</v>
      </c>
      <c r="AG504">
        <v>5.4740000000000002</v>
      </c>
      <c r="AH504">
        <v>4.3639999999999999</v>
      </c>
      <c r="AI504">
        <v>5.0389999999999997</v>
      </c>
      <c r="AJ504">
        <v>5.516</v>
      </c>
      <c r="AK504">
        <v>7.343</v>
      </c>
      <c r="AL504">
        <v>9.4130000000000003</v>
      </c>
      <c r="AM504">
        <v>8.5500000000000007</v>
      </c>
      <c r="AN504">
        <v>8.73</v>
      </c>
      <c r="AO504">
        <v>9.8930000000000007</v>
      </c>
      <c r="AP504">
        <v>9.92</v>
      </c>
      <c r="AQ504">
        <v>10.602</v>
      </c>
      <c r="AR504">
        <v>10.673999999999999</v>
      </c>
      <c r="AS504">
        <v>9.5139999999999993</v>
      </c>
      <c r="AT504">
        <v>9.17</v>
      </c>
      <c r="AU504">
        <v>9.75</v>
      </c>
      <c r="AV504">
        <v>10.404999999999999</v>
      </c>
      <c r="AW504">
        <v>11.13</v>
      </c>
      <c r="AX504">
        <v>11.89</v>
      </c>
      <c r="AY504">
        <v>2014</v>
      </c>
    </row>
    <row r="505" spans="1:51" x14ac:dyDescent="0.25">
      <c r="A505">
        <v>674</v>
      </c>
      <c r="B505" t="s">
        <v>608</v>
      </c>
      <c r="C505" t="s">
        <v>293</v>
      </c>
      <c r="D505" t="s">
        <v>146</v>
      </c>
      <c r="E505" t="s">
        <v>294</v>
      </c>
      <c r="F505" t="s">
        <v>295</v>
      </c>
      <c r="G505" t="s">
        <v>296</v>
      </c>
      <c r="I505" t="s">
        <v>297</v>
      </c>
      <c r="J505">
        <v>4.0549999999999997</v>
      </c>
      <c r="K505">
        <v>5.1429999999999998</v>
      </c>
      <c r="L505">
        <v>6.6180000000000003</v>
      </c>
      <c r="M505">
        <v>8.0389999999999997</v>
      </c>
      <c r="N505">
        <v>8.859</v>
      </c>
      <c r="O505">
        <v>9.782</v>
      </c>
      <c r="P505">
        <v>11.167999999999999</v>
      </c>
      <c r="Q505">
        <v>13.74</v>
      </c>
      <c r="R505">
        <v>16.646999999999998</v>
      </c>
      <c r="S505">
        <v>18.640999999999998</v>
      </c>
      <c r="T505">
        <v>20.777000000000001</v>
      </c>
      <c r="U505">
        <v>23.667000000000002</v>
      </c>
      <c r="V505">
        <v>26.626000000000001</v>
      </c>
      <c r="W505">
        <v>30.077999999999999</v>
      </c>
      <c r="X505">
        <v>42.593000000000004</v>
      </c>
      <c r="Y505">
        <v>61.834000000000003</v>
      </c>
      <c r="Z505">
        <v>72.86</v>
      </c>
      <c r="AA505">
        <v>78.171999999999997</v>
      </c>
      <c r="AB505">
        <v>84.775000000000006</v>
      </c>
      <c r="AC505">
        <v>93.08</v>
      </c>
      <c r="AD505">
        <v>100</v>
      </c>
      <c r="AE505">
        <v>107.30500000000001</v>
      </c>
      <c r="AF505">
        <v>123.322</v>
      </c>
      <c r="AG505">
        <v>126.73099999999999</v>
      </c>
      <c r="AH505">
        <v>144.858</v>
      </c>
      <c r="AI505">
        <v>171.14599999999999</v>
      </c>
      <c r="AJ505">
        <v>190.095</v>
      </c>
      <c r="AK505">
        <v>208</v>
      </c>
      <c r="AL505">
        <v>226.74700000000001</v>
      </c>
      <c r="AM505">
        <v>247.547</v>
      </c>
      <c r="AN505">
        <v>269.31700000000001</v>
      </c>
      <c r="AO505">
        <v>291.48099999999999</v>
      </c>
      <c r="AP505">
        <v>307.48399999999998</v>
      </c>
      <c r="AQ505">
        <v>323.09699999999998</v>
      </c>
      <c r="AR505">
        <v>344.50599999999997</v>
      </c>
      <c r="AS505">
        <v>370.92500000000001</v>
      </c>
      <c r="AT505">
        <v>399.41199999999998</v>
      </c>
      <c r="AU505">
        <v>423.21899999999999</v>
      </c>
      <c r="AV505">
        <v>445.166</v>
      </c>
      <c r="AW505">
        <v>467.88099999999997</v>
      </c>
      <c r="AX505">
        <v>491.596</v>
      </c>
      <c r="AY505">
        <v>2014</v>
      </c>
    </row>
    <row r="506" spans="1:51" x14ac:dyDescent="0.25">
      <c r="A506">
        <v>674</v>
      </c>
      <c r="B506" t="s">
        <v>608</v>
      </c>
      <c r="C506" t="s">
        <v>298</v>
      </c>
      <c r="D506" t="s">
        <v>146</v>
      </c>
      <c r="E506" t="s">
        <v>299</v>
      </c>
      <c r="F506" t="s">
        <v>300</v>
      </c>
      <c r="G506" t="s">
        <v>282</v>
      </c>
      <c r="H506" t="s">
        <v>283</v>
      </c>
      <c r="I506" t="s">
        <v>610</v>
      </c>
      <c r="J506">
        <v>50</v>
      </c>
      <c r="K506">
        <v>47</v>
      </c>
      <c r="L506">
        <v>47.8</v>
      </c>
      <c r="M506">
        <v>54.2</v>
      </c>
      <c r="N506">
        <v>62.8</v>
      </c>
      <c r="O506">
        <v>59.7</v>
      </c>
      <c r="P506">
        <v>65.099999999999994</v>
      </c>
      <c r="Q506">
        <v>71.400000000000006</v>
      </c>
      <c r="R506">
        <v>102.6</v>
      </c>
      <c r="S506">
        <v>157.6</v>
      </c>
      <c r="T506">
        <v>156.80000000000001</v>
      </c>
      <c r="U506">
        <v>161.1</v>
      </c>
      <c r="V506">
        <v>224.2</v>
      </c>
      <c r="W506">
        <v>265.60000000000002</v>
      </c>
      <c r="X506">
        <v>360.8</v>
      </c>
      <c r="Y506">
        <v>474.8</v>
      </c>
      <c r="Z506">
        <v>576.70000000000005</v>
      </c>
      <c r="AA506">
        <v>627.29999999999995</v>
      </c>
      <c r="AB506">
        <v>811.2</v>
      </c>
      <c r="AC506">
        <v>832.1</v>
      </c>
      <c r="AD506">
        <v>961.6</v>
      </c>
      <c r="AE506" s="21">
        <v>1097.0999999999999</v>
      </c>
      <c r="AF506">
        <v>909.9</v>
      </c>
      <c r="AG506" s="21">
        <v>1307.0999999999999</v>
      </c>
      <c r="AH506" s="21">
        <v>2054.1</v>
      </c>
      <c r="AI506" s="21">
        <v>2154</v>
      </c>
      <c r="AJ506" s="21">
        <v>2531.1999999999998</v>
      </c>
      <c r="AK506" s="21">
        <v>2569.6999999999998</v>
      </c>
      <c r="AL506" s="21">
        <v>2878.7</v>
      </c>
      <c r="AM506" s="21">
        <v>2353.1999999999998</v>
      </c>
      <c r="AN506" s="21">
        <v>2562.1</v>
      </c>
      <c r="AO506" s="21">
        <v>2816.9</v>
      </c>
      <c r="AP506" s="21">
        <v>2926.8</v>
      </c>
      <c r="AQ506" s="21">
        <v>3482.6</v>
      </c>
      <c r="AR506" s="21">
        <v>3796.9</v>
      </c>
      <c r="AS506" s="21">
        <v>4789.5</v>
      </c>
      <c r="AT506" s="21">
        <v>4973.7</v>
      </c>
      <c r="AU506" s="21">
        <v>5757.5</v>
      </c>
      <c r="AV506" s="21">
        <v>6431.5</v>
      </c>
      <c r="AW506" s="21">
        <v>7202.4</v>
      </c>
      <c r="AX506" s="21">
        <v>8069.8</v>
      </c>
      <c r="AY506">
        <v>2014</v>
      </c>
    </row>
    <row r="507" spans="1:51" x14ac:dyDescent="0.25">
      <c r="A507">
        <v>676</v>
      </c>
      <c r="B507" t="s">
        <v>611</v>
      </c>
      <c r="C507" t="s">
        <v>279</v>
      </c>
      <c r="D507" t="s">
        <v>147</v>
      </c>
      <c r="E507" t="s">
        <v>280</v>
      </c>
      <c r="F507" t="s">
        <v>281</v>
      </c>
      <c r="G507" t="s">
        <v>282</v>
      </c>
      <c r="H507" t="s">
        <v>283</v>
      </c>
      <c r="I507" t="s">
        <v>612</v>
      </c>
      <c r="J507">
        <v>375.80399999999997</v>
      </c>
      <c r="K507">
        <v>356.09300000000002</v>
      </c>
      <c r="L507">
        <v>365.053</v>
      </c>
      <c r="M507">
        <v>378.53699999999998</v>
      </c>
      <c r="N507">
        <v>398.875</v>
      </c>
      <c r="O507">
        <v>417.10700000000003</v>
      </c>
      <c r="P507">
        <v>416.21100000000001</v>
      </c>
      <c r="Q507">
        <v>422.976</v>
      </c>
      <c r="R507">
        <v>436.41500000000002</v>
      </c>
      <c r="S507">
        <v>442.28300000000002</v>
      </c>
      <c r="T507">
        <v>467.459</v>
      </c>
      <c r="U507">
        <v>508.26900000000001</v>
      </c>
      <c r="V507">
        <v>470.99799999999999</v>
      </c>
      <c r="W507">
        <v>516.64700000000005</v>
      </c>
      <c r="X507">
        <v>463.36399999999998</v>
      </c>
      <c r="Y507">
        <v>527.44500000000005</v>
      </c>
      <c r="Z507">
        <v>580.07799999999997</v>
      </c>
      <c r="AA507">
        <v>618.28899999999999</v>
      </c>
      <c r="AB507">
        <v>624.84900000000005</v>
      </c>
      <c r="AC507">
        <v>646.976</v>
      </c>
      <c r="AD507">
        <v>651.99300000000005</v>
      </c>
      <c r="AE507">
        <v>625.41999999999996</v>
      </c>
      <c r="AF507">
        <v>636.42999999999995</v>
      </c>
      <c r="AG507">
        <v>672.74199999999996</v>
      </c>
      <c r="AH507">
        <v>709.20799999999997</v>
      </c>
      <c r="AI507">
        <v>732.39</v>
      </c>
      <c r="AJ507">
        <v>766.81299999999999</v>
      </c>
      <c r="AK507">
        <v>840.42700000000002</v>
      </c>
      <c r="AL507">
        <v>904.63300000000004</v>
      </c>
      <c r="AM507">
        <v>979.97199999999998</v>
      </c>
      <c r="AN507" s="21">
        <v>1047.336</v>
      </c>
      <c r="AO507" s="21">
        <v>1098.174</v>
      </c>
      <c r="AP507" s="21">
        <v>1118.883</v>
      </c>
      <c r="AQ507" s="21">
        <v>1177.0650000000001</v>
      </c>
      <c r="AR507" s="21">
        <v>1244.1579999999999</v>
      </c>
      <c r="AS507" s="21">
        <v>1293.6469999999999</v>
      </c>
      <c r="AT507" s="21">
        <v>1358.329</v>
      </c>
      <c r="AU507" s="21">
        <v>1430.32</v>
      </c>
      <c r="AV507" s="21">
        <v>1508.9880000000001</v>
      </c>
      <c r="AW507" s="21">
        <v>1599.527</v>
      </c>
      <c r="AX507" s="21">
        <v>1695.499</v>
      </c>
      <c r="AY507">
        <v>2014</v>
      </c>
    </row>
    <row r="508" spans="1:51" x14ac:dyDescent="0.25">
      <c r="A508">
        <v>676</v>
      </c>
      <c r="B508" t="s">
        <v>611</v>
      </c>
      <c r="C508" t="s">
        <v>286</v>
      </c>
      <c r="D508" t="s">
        <v>147</v>
      </c>
      <c r="E508" t="s">
        <v>287</v>
      </c>
      <c r="F508" t="s">
        <v>288</v>
      </c>
      <c r="G508" t="s">
        <v>282</v>
      </c>
      <c r="H508" t="s">
        <v>283</v>
      </c>
      <c r="I508" t="s">
        <v>612</v>
      </c>
      <c r="J508">
        <v>1.7430000000000001</v>
      </c>
      <c r="K508">
        <v>1.9219999999999999</v>
      </c>
      <c r="L508">
        <v>2.16</v>
      </c>
      <c r="M508">
        <v>2.492</v>
      </c>
      <c r="N508">
        <v>2.9609999999999999</v>
      </c>
      <c r="O508">
        <v>3.3730000000000002</v>
      </c>
      <c r="P508">
        <v>3.8109999999999999</v>
      </c>
      <c r="Q508">
        <v>4.4459999999999997</v>
      </c>
      <c r="R508">
        <v>5.9269999999999996</v>
      </c>
      <c r="S508">
        <v>7.282</v>
      </c>
      <c r="T508">
        <v>8.1829999999999998</v>
      </c>
      <c r="U508">
        <v>10.712</v>
      </c>
      <c r="V508">
        <v>11.244</v>
      </c>
      <c r="W508">
        <v>15.808999999999999</v>
      </c>
      <c r="X508">
        <v>18.177</v>
      </c>
      <c r="Y508">
        <v>37.036999999999999</v>
      </c>
      <c r="Z508">
        <v>60.552</v>
      </c>
      <c r="AA508">
        <v>75.942999999999998</v>
      </c>
      <c r="AB508">
        <v>94.325000000000003</v>
      </c>
      <c r="AC508">
        <v>135.77199999999999</v>
      </c>
      <c r="AD508">
        <v>180.02199999999999</v>
      </c>
      <c r="AE508">
        <v>214.233</v>
      </c>
      <c r="AF508">
        <v>268.06599999999997</v>
      </c>
      <c r="AG508">
        <v>312.67700000000002</v>
      </c>
      <c r="AH508">
        <v>378.56400000000002</v>
      </c>
      <c r="AI508">
        <v>432.93</v>
      </c>
      <c r="AJ508">
        <v>543.78499999999997</v>
      </c>
      <c r="AK508">
        <v>620.42200000000003</v>
      </c>
      <c r="AL508">
        <v>747.72299999999996</v>
      </c>
      <c r="AM508">
        <v>873.98199999999997</v>
      </c>
      <c r="AN508" s="21">
        <v>1047.336</v>
      </c>
      <c r="AO508" s="21">
        <v>1252.75</v>
      </c>
      <c r="AP508" s="21">
        <v>1501.7329999999999</v>
      </c>
      <c r="AQ508" s="21">
        <v>2011.12</v>
      </c>
      <c r="AR508" s="21">
        <v>2569.6909999999998</v>
      </c>
      <c r="AS508" s="21">
        <v>3187.0549999999998</v>
      </c>
      <c r="AT508" s="21">
        <v>3763.4160000000002</v>
      </c>
      <c r="AU508" s="21">
        <v>4275.76</v>
      </c>
      <c r="AV508" s="21">
        <v>4851.2510000000002</v>
      </c>
      <c r="AW508" s="21">
        <v>5483.2049999999999</v>
      </c>
      <c r="AX508" s="21">
        <v>6179.8779999999997</v>
      </c>
      <c r="AY508">
        <v>2014</v>
      </c>
    </row>
    <row r="509" spans="1:51" x14ac:dyDescent="0.25">
      <c r="A509">
        <v>676</v>
      </c>
      <c r="B509" t="s">
        <v>611</v>
      </c>
      <c r="C509" t="s">
        <v>289</v>
      </c>
      <c r="D509" t="s">
        <v>147</v>
      </c>
      <c r="E509" t="s">
        <v>287</v>
      </c>
      <c r="F509" t="s">
        <v>290</v>
      </c>
      <c r="G509" t="s">
        <v>291</v>
      </c>
      <c r="H509" t="s">
        <v>283</v>
      </c>
      <c r="I509" t="s">
        <v>292</v>
      </c>
      <c r="J509">
        <v>2.1459999999999999</v>
      </c>
      <c r="K509">
        <v>2.1459999999999999</v>
      </c>
      <c r="L509">
        <v>2.0459999999999998</v>
      </c>
      <c r="M509">
        <v>2.121</v>
      </c>
      <c r="N509">
        <v>2.0950000000000002</v>
      </c>
      <c r="O509">
        <v>1.962</v>
      </c>
      <c r="P509">
        <v>2.048</v>
      </c>
      <c r="Q509">
        <v>2.0129999999999999</v>
      </c>
      <c r="R509">
        <v>2.3140000000000001</v>
      </c>
      <c r="S509">
        <v>2.6389999999999998</v>
      </c>
      <c r="T509">
        <v>2.9990000000000001</v>
      </c>
      <c r="U509">
        <v>3.8210000000000002</v>
      </c>
      <c r="V509">
        <v>3.12</v>
      </c>
      <c r="W509">
        <v>3.5910000000000002</v>
      </c>
      <c r="X509">
        <v>2.081</v>
      </c>
      <c r="Y509">
        <v>2.423</v>
      </c>
      <c r="Z509">
        <v>3.956</v>
      </c>
      <c r="AA509">
        <v>4.6189999999999998</v>
      </c>
      <c r="AB509">
        <v>3.036</v>
      </c>
      <c r="AC509">
        <v>3.08</v>
      </c>
      <c r="AD509">
        <v>3.0230000000000001</v>
      </c>
      <c r="AE509">
        <v>2.9670000000000001</v>
      </c>
      <c r="AF509">
        <v>3.496</v>
      </c>
      <c r="AG509">
        <v>3.2109999999999999</v>
      </c>
      <c r="AH509">
        <v>3.476</v>
      </c>
      <c r="AI509">
        <v>3.6560000000000001</v>
      </c>
      <c r="AJ509">
        <v>3.9980000000000002</v>
      </c>
      <c r="AK509">
        <v>4.431</v>
      </c>
      <c r="AL509">
        <v>5.3209999999999997</v>
      </c>
      <c r="AM509">
        <v>6.1950000000000003</v>
      </c>
      <c r="AN509">
        <v>6.9569999999999999</v>
      </c>
      <c r="AO509">
        <v>7.984</v>
      </c>
      <c r="AP509">
        <v>5.9809999999999999</v>
      </c>
      <c r="AQ509">
        <v>5.4320000000000004</v>
      </c>
      <c r="AR509">
        <v>6.0549999999999997</v>
      </c>
      <c r="AS509">
        <v>6.3879999999999999</v>
      </c>
      <c r="AT509">
        <v>6.149</v>
      </c>
      <c r="AU509">
        <v>6.4889999999999999</v>
      </c>
      <c r="AV509">
        <v>6.8979999999999997</v>
      </c>
      <c r="AW509">
        <v>7.3739999999999997</v>
      </c>
      <c r="AX509">
        <v>7.9119999999999999</v>
      </c>
      <c r="AY509">
        <v>2014</v>
      </c>
    </row>
    <row r="510" spans="1:51" x14ac:dyDescent="0.25">
      <c r="A510">
        <v>676</v>
      </c>
      <c r="B510" t="s">
        <v>611</v>
      </c>
      <c r="C510" t="s">
        <v>293</v>
      </c>
      <c r="D510" t="s">
        <v>147</v>
      </c>
      <c r="E510" t="s">
        <v>294</v>
      </c>
      <c r="F510" t="s">
        <v>295</v>
      </c>
      <c r="G510" t="s">
        <v>296</v>
      </c>
      <c r="I510" t="s">
        <v>297</v>
      </c>
      <c r="J510">
        <v>0.46400000000000002</v>
      </c>
      <c r="K510">
        <v>0.54</v>
      </c>
      <c r="L510">
        <v>0.59199999999999997</v>
      </c>
      <c r="M510">
        <v>0.65800000000000003</v>
      </c>
      <c r="N510">
        <v>0.74199999999999999</v>
      </c>
      <c r="O510">
        <v>0.80900000000000005</v>
      </c>
      <c r="P510">
        <v>0.91600000000000004</v>
      </c>
      <c r="Q510">
        <v>1.0509999999999999</v>
      </c>
      <c r="R510">
        <v>1.3580000000000001</v>
      </c>
      <c r="S510">
        <v>1.6459999999999999</v>
      </c>
      <c r="T510">
        <v>1.7509999999999999</v>
      </c>
      <c r="U510">
        <v>2.1070000000000002</v>
      </c>
      <c r="V510">
        <v>2.387</v>
      </c>
      <c r="W510">
        <v>3.06</v>
      </c>
      <c r="X510">
        <v>3.923</v>
      </c>
      <c r="Y510">
        <v>7.0220000000000002</v>
      </c>
      <c r="Z510">
        <v>10.439</v>
      </c>
      <c r="AA510">
        <v>12.282999999999999</v>
      </c>
      <c r="AB510">
        <v>15.096</v>
      </c>
      <c r="AC510">
        <v>20.986000000000001</v>
      </c>
      <c r="AD510">
        <v>27.611000000000001</v>
      </c>
      <c r="AE510">
        <v>34.253999999999998</v>
      </c>
      <c r="AF510">
        <v>42.12</v>
      </c>
      <c r="AG510">
        <v>46.478000000000002</v>
      </c>
      <c r="AH510">
        <v>53.378</v>
      </c>
      <c r="AI510">
        <v>59.112000000000002</v>
      </c>
      <c r="AJ510">
        <v>70.915000000000006</v>
      </c>
      <c r="AK510">
        <v>73.822000000000003</v>
      </c>
      <c r="AL510">
        <v>82.655000000000001</v>
      </c>
      <c r="AM510">
        <v>89.183999999999997</v>
      </c>
      <c r="AN510">
        <v>100</v>
      </c>
      <c r="AO510">
        <v>114.07599999999999</v>
      </c>
      <c r="AP510">
        <v>134.21700000000001</v>
      </c>
      <c r="AQ510">
        <v>170.85900000000001</v>
      </c>
      <c r="AR510">
        <v>206.541</v>
      </c>
      <c r="AS510">
        <v>246.36199999999999</v>
      </c>
      <c r="AT510">
        <v>277.06200000000001</v>
      </c>
      <c r="AU510">
        <v>298.93700000000001</v>
      </c>
      <c r="AV510">
        <v>321.49</v>
      </c>
      <c r="AW510">
        <v>342.80200000000002</v>
      </c>
      <c r="AX510">
        <v>364.48700000000002</v>
      </c>
      <c r="AY510">
        <v>2014</v>
      </c>
    </row>
    <row r="511" spans="1:51" x14ac:dyDescent="0.25">
      <c r="A511">
        <v>676</v>
      </c>
      <c r="B511" t="s">
        <v>611</v>
      </c>
      <c r="C511" t="s">
        <v>298</v>
      </c>
      <c r="D511" t="s">
        <v>147</v>
      </c>
      <c r="E511" t="s">
        <v>299</v>
      </c>
      <c r="F511" t="s">
        <v>300</v>
      </c>
      <c r="G511" t="s">
        <v>282</v>
      </c>
      <c r="H511" t="s">
        <v>283</v>
      </c>
      <c r="I511" t="s">
        <v>613</v>
      </c>
      <c r="J511" t="s">
        <v>285</v>
      </c>
      <c r="K511" t="s">
        <v>285</v>
      </c>
      <c r="L511" t="s">
        <v>285</v>
      </c>
      <c r="M511" t="s">
        <v>285</v>
      </c>
      <c r="N511" t="s">
        <v>285</v>
      </c>
      <c r="O511" t="s">
        <v>285</v>
      </c>
      <c r="P511" t="s">
        <v>285</v>
      </c>
      <c r="Q511" t="s">
        <v>285</v>
      </c>
      <c r="R511" t="s">
        <v>285</v>
      </c>
      <c r="S511" t="s">
        <v>285</v>
      </c>
      <c r="T511" t="s">
        <v>285</v>
      </c>
      <c r="U511" t="s">
        <v>285</v>
      </c>
      <c r="V511" t="s">
        <v>285</v>
      </c>
      <c r="W511" t="s">
        <v>285</v>
      </c>
      <c r="X511" t="s">
        <v>285</v>
      </c>
      <c r="Y511" t="s">
        <v>285</v>
      </c>
      <c r="Z511" t="s">
        <v>285</v>
      </c>
      <c r="AA511" t="s">
        <v>285</v>
      </c>
      <c r="AB511" t="s">
        <v>285</v>
      </c>
      <c r="AC511" t="s">
        <v>285</v>
      </c>
      <c r="AD511" t="s">
        <v>285</v>
      </c>
      <c r="AE511" t="s">
        <v>285</v>
      </c>
      <c r="AF511">
        <v>52.076999999999998</v>
      </c>
      <c r="AG511">
        <v>67.55</v>
      </c>
      <c r="AH511">
        <v>91.221999999999994</v>
      </c>
      <c r="AI511">
        <v>105.932</v>
      </c>
      <c r="AJ511">
        <v>136.066</v>
      </c>
      <c r="AK511">
        <v>181.035</v>
      </c>
      <c r="AL511">
        <v>217.31</v>
      </c>
      <c r="AM511">
        <v>247.143</v>
      </c>
      <c r="AN511">
        <v>285.88600000000002</v>
      </c>
      <c r="AO511">
        <v>296.678</v>
      </c>
      <c r="AP511">
        <v>399.46</v>
      </c>
      <c r="AQ511">
        <v>595.80499999999995</v>
      </c>
      <c r="AR511">
        <v>654.471</v>
      </c>
      <c r="AS511">
        <v>880.39599999999996</v>
      </c>
      <c r="AT511">
        <v>958.02099999999996</v>
      </c>
      <c r="AU511" s="21">
        <v>1155.4280000000001</v>
      </c>
      <c r="AV511" s="21">
        <v>1306.471</v>
      </c>
      <c r="AW511" s="21">
        <v>1423.598</v>
      </c>
      <c r="AX511" s="21">
        <v>1740.327</v>
      </c>
      <c r="AY511">
        <v>2015</v>
      </c>
    </row>
    <row r="512" spans="1:51" x14ac:dyDescent="0.25">
      <c r="A512">
        <v>548</v>
      </c>
      <c r="B512" t="s">
        <v>614</v>
      </c>
      <c r="C512" t="s">
        <v>279</v>
      </c>
      <c r="D512" t="s">
        <v>148</v>
      </c>
      <c r="E512" t="s">
        <v>280</v>
      </c>
      <c r="F512" t="s">
        <v>281</v>
      </c>
      <c r="G512" t="s">
        <v>282</v>
      </c>
      <c r="H512" t="s">
        <v>283</v>
      </c>
      <c r="I512" t="s">
        <v>615</v>
      </c>
      <c r="J512">
        <v>147.68600000000001</v>
      </c>
      <c r="K512">
        <v>157.93799999999999</v>
      </c>
      <c r="L512">
        <v>167.321</v>
      </c>
      <c r="M512">
        <v>177.779</v>
      </c>
      <c r="N512">
        <v>191.578</v>
      </c>
      <c r="O512">
        <v>189.90100000000001</v>
      </c>
      <c r="P512">
        <v>192.089</v>
      </c>
      <c r="Q512">
        <v>202.44</v>
      </c>
      <c r="R512">
        <v>222.55799999999999</v>
      </c>
      <c r="S512">
        <v>242.721</v>
      </c>
      <c r="T512">
        <v>264.584</v>
      </c>
      <c r="U512">
        <v>289.846</v>
      </c>
      <c r="V512">
        <v>315.601</v>
      </c>
      <c r="W512">
        <v>346.83199999999999</v>
      </c>
      <c r="X512">
        <v>378.78</v>
      </c>
      <c r="Y512">
        <v>416.01299999999998</v>
      </c>
      <c r="Z512">
        <v>457.62299999999999</v>
      </c>
      <c r="AA512">
        <v>491.15499999999997</v>
      </c>
      <c r="AB512">
        <v>455.012</v>
      </c>
      <c r="AC512">
        <v>482.90800000000002</v>
      </c>
      <c r="AD512">
        <v>524.78</v>
      </c>
      <c r="AE512">
        <v>527.49599999999998</v>
      </c>
      <c r="AF512">
        <v>555.93399999999997</v>
      </c>
      <c r="AG512">
        <v>588.11500000000001</v>
      </c>
      <c r="AH512">
        <v>628.005</v>
      </c>
      <c r="AI512">
        <v>659.25400000000002</v>
      </c>
      <c r="AJ512">
        <v>696.07</v>
      </c>
      <c r="AK512">
        <v>739.91499999999996</v>
      </c>
      <c r="AL512">
        <v>775.66899999999998</v>
      </c>
      <c r="AM512">
        <v>763.928</v>
      </c>
      <c r="AN512">
        <v>821.43499999999995</v>
      </c>
      <c r="AO512">
        <v>864.92</v>
      </c>
      <c r="AP512">
        <v>912.26099999999997</v>
      </c>
      <c r="AQ512">
        <v>955.26</v>
      </c>
      <c r="AR512" s="21">
        <v>1012.505</v>
      </c>
      <c r="AS512" s="21">
        <v>1060.0930000000001</v>
      </c>
      <c r="AT512" s="21">
        <v>1107.797</v>
      </c>
      <c r="AU512" s="21">
        <v>1163.1869999999999</v>
      </c>
      <c r="AV512" s="21">
        <v>1221.346</v>
      </c>
      <c r="AW512" s="21">
        <v>1282.413</v>
      </c>
      <c r="AX512" s="21">
        <v>1346.5340000000001</v>
      </c>
      <c r="AY512">
        <v>2014</v>
      </c>
    </row>
    <row r="513" spans="1:51" x14ac:dyDescent="0.25">
      <c r="A513">
        <v>548</v>
      </c>
      <c r="B513" t="s">
        <v>614</v>
      </c>
      <c r="C513" t="s">
        <v>286</v>
      </c>
      <c r="D513" t="s">
        <v>148</v>
      </c>
      <c r="E513" t="s">
        <v>287</v>
      </c>
      <c r="F513" t="s">
        <v>288</v>
      </c>
      <c r="G513" t="s">
        <v>282</v>
      </c>
      <c r="H513" t="s">
        <v>283</v>
      </c>
      <c r="I513" t="s">
        <v>615</v>
      </c>
      <c r="J513">
        <v>57.43</v>
      </c>
      <c r="K513">
        <v>62.067</v>
      </c>
      <c r="L513">
        <v>67.417000000000002</v>
      </c>
      <c r="M513">
        <v>74.944000000000003</v>
      </c>
      <c r="N513">
        <v>85.700999999999993</v>
      </c>
      <c r="O513">
        <v>83.46</v>
      </c>
      <c r="P513">
        <v>77.129000000000005</v>
      </c>
      <c r="Q513">
        <v>85.781000000000006</v>
      </c>
      <c r="R513">
        <v>97.72</v>
      </c>
      <c r="S513">
        <v>111.31699999999999</v>
      </c>
      <c r="T513">
        <v>125.979</v>
      </c>
      <c r="U513">
        <v>145.107</v>
      </c>
      <c r="V513">
        <v>161.81299999999999</v>
      </c>
      <c r="W513">
        <v>184.91499999999999</v>
      </c>
      <c r="X513">
        <v>209.9</v>
      </c>
      <c r="Y513">
        <v>238.90700000000001</v>
      </c>
      <c r="Z513">
        <v>272.476</v>
      </c>
      <c r="AA513">
        <v>302.61500000000001</v>
      </c>
      <c r="AB513">
        <v>304.16899999999998</v>
      </c>
      <c r="AC513">
        <v>322.98399999999998</v>
      </c>
      <c r="AD513">
        <v>382.73099999999999</v>
      </c>
      <c r="AE513">
        <v>378.62700000000001</v>
      </c>
      <c r="AF513">
        <v>411.52199999999999</v>
      </c>
      <c r="AG513">
        <v>449.70600000000002</v>
      </c>
      <c r="AH513">
        <v>509.07100000000003</v>
      </c>
      <c r="AI513">
        <v>561.39499999999998</v>
      </c>
      <c r="AJ513">
        <v>616.34400000000005</v>
      </c>
      <c r="AK513">
        <v>687.14800000000002</v>
      </c>
      <c r="AL513">
        <v>795.18399999999997</v>
      </c>
      <c r="AM513">
        <v>736.221</v>
      </c>
      <c r="AN513">
        <v>821.43499999999995</v>
      </c>
      <c r="AO513">
        <v>911.73299999999995</v>
      </c>
      <c r="AP513">
        <v>971.25099999999998</v>
      </c>
      <c r="AQ513" s="21">
        <v>1018.821</v>
      </c>
      <c r="AR513" s="21">
        <v>1106.58</v>
      </c>
      <c r="AS513" s="21">
        <v>1175.136</v>
      </c>
      <c r="AT513" s="21">
        <v>1287.586</v>
      </c>
      <c r="AU513" s="21">
        <v>1406.306</v>
      </c>
      <c r="AV513" s="21">
        <v>1534.2339999999999</v>
      </c>
      <c r="AW513" s="21">
        <v>1673.508</v>
      </c>
      <c r="AX513" s="21">
        <v>1824.604</v>
      </c>
      <c r="AY513">
        <v>2014</v>
      </c>
    </row>
    <row r="514" spans="1:51" x14ac:dyDescent="0.25">
      <c r="A514">
        <v>548</v>
      </c>
      <c r="B514" t="s">
        <v>614</v>
      </c>
      <c r="C514" t="s">
        <v>289</v>
      </c>
      <c r="D514" t="s">
        <v>148</v>
      </c>
      <c r="E514" t="s">
        <v>287</v>
      </c>
      <c r="F514" t="s">
        <v>290</v>
      </c>
      <c r="G514" t="s">
        <v>291</v>
      </c>
      <c r="H514" t="s">
        <v>283</v>
      </c>
      <c r="I514" t="s">
        <v>292</v>
      </c>
      <c r="J514">
        <v>26.382000000000001</v>
      </c>
      <c r="K514">
        <v>26.937999999999999</v>
      </c>
      <c r="L514">
        <v>28.867999999999999</v>
      </c>
      <c r="M514">
        <v>32.286000000000001</v>
      </c>
      <c r="N514">
        <v>36.567999999999998</v>
      </c>
      <c r="O514">
        <v>33.612000000000002</v>
      </c>
      <c r="P514">
        <v>29.879000000000001</v>
      </c>
      <c r="Q514">
        <v>34.045999999999999</v>
      </c>
      <c r="R514">
        <v>37.314999999999998</v>
      </c>
      <c r="S514">
        <v>41.094999999999999</v>
      </c>
      <c r="T514">
        <v>46.575000000000003</v>
      </c>
      <c r="U514">
        <v>52.765000000000001</v>
      </c>
      <c r="V514">
        <v>63.521000000000001</v>
      </c>
      <c r="W514">
        <v>71.837000000000003</v>
      </c>
      <c r="X514">
        <v>79.984999999999999</v>
      </c>
      <c r="Y514">
        <v>95.394999999999996</v>
      </c>
      <c r="Z514">
        <v>108.3</v>
      </c>
      <c r="AA514">
        <v>107.57</v>
      </c>
      <c r="AB514">
        <v>77.507999999999996</v>
      </c>
      <c r="AC514">
        <v>84.995999999999995</v>
      </c>
      <c r="AD514">
        <v>100.71899999999999</v>
      </c>
      <c r="AE514">
        <v>99.638999999999996</v>
      </c>
      <c r="AF514">
        <v>108.29600000000001</v>
      </c>
      <c r="AG514">
        <v>118.34399999999999</v>
      </c>
      <c r="AH514">
        <v>133.96600000000001</v>
      </c>
      <c r="AI514">
        <v>148.245</v>
      </c>
      <c r="AJ514">
        <v>168.084</v>
      </c>
      <c r="AK514">
        <v>199.96</v>
      </c>
      <c r="AL514">
        <v>238.64500000000001</v>
      </c>
      <c r="AM514">
        <v>208.91399999999999</v>
      </c>
      <c r="AN514">
        <v>255.024</v>
      </c>
      <c r="AO514">
        <v>297.96100000000001</v>
      </c>
      <c r="AP514">
        <v>314.44299999999998</v>
      </c>
      <c r="AQ514">
        <v>323.34199999999998</v>
      </c>
      <c r="AR514">
        <v>338.108</v>
      </c>
      <c r="AS514">
        <v>313.47899999999998</v>
      </c>
      <c r="AT514">
        <v>350.99200000000002</v>
      </c>
      <c r="AU514">
        <v>392.43900000000002</v>
      </c>
      <c r="AV514">
        <v>437.428</v>
      </c>
      <c r="AW514">
        <v>487.73099999999999</v>
      </c>
      <c r="AX514">
        <v>544.41800000000001</v>
      </c>
      <c r="AY514">
        <v>2014</v>
      </c>
    </row>
    <row r="515" spans="1:51" x14ac:dyDescent="0.25">
      <c r="A515">
        <v>548</v>
      </c>
      <c r="B515" t="s">
        <v>614</v>
      </c>
      <c r="C515" t="s">
        <v>293</v>
      </c>
      <c r="D515" t="s">
        <v>148</v>
      </c>
      <c r="E515" t="s">
        <v>294</v>
      </c>
      <c r="F515" t="s">
        <v>295</v>
      </c>
      <c r="G515" t="s">
        <v>296</v>
      </c>
      <c r="I515" t="s">
        <v>297</v>
      </c>
      <c r="J515">
        <v>38.886000000000003</v>
      </c>
      <c r="K515">
        <v>39.298999999999999</v>
      </c>
      <c r="L515">
        <v>40.292000000000002</v>
      </c>
      <c r="M515">
        <v>42.155000000000001</v>
      </c>
      <c r="N515">
        <v>44.734000000000002</v>
      </c>
      <c r="O515">
        <v>43.948999999999998</v>
      </c>
      <c r="P515">
        <v>40.152999999999999</v>
      </c>
      <c r="Q515">
        <v>42.374000000000002</v>
      </c>
      <c r="R515">
        <v>43.908000000000001</v>
      </c>
      <c r="S515">
        <v>45.862000000000002</v>
      </c>
      <c r="T515">
        <v>47.613999999999997</v>
      </c>
      <c r="U515">
        <v>50.064</v>
      </c>
      <c r="V515">
        <v>51.271000000000001</v>
      </c>
      <c r="W515">
        <v>53.314999999999998</v>
      </c>
      <c r="X515">
        <v>55.414999999999999</v>
      </c>
      <c r="Y515">
        <v>57.427999999999997</v>
      </c>
      <c r="Z515">
        <v>59.542000000000002</v>
      </c>
      <c r="AA515">
        <v>61.613</v>
      </c>
      <c r="AB515">
        <v>66.849000000000004</v>
      </c>
      <c r="AC515">
        <v>66.882999999999996</v>
      </c>
      <c r="AD515">
        <v>72.932000000000002</v>
      </c>
      <c r="AE515">
        <v>71.778000000000006</v>
      </c>
      <c r="AF515">
        <v>74.024000000000001</v>
      </c>
      <c r="AG515">
        <v>76.465999999999994</v>
      </c>
      <c r="AH515">
        <v>81.061999999999998</v>
      </c>
      <c r="AI515">
        <v>85.156000000000006</v>
      </c>
      <c r="AJ515">
        <v>88.546000000000006</v>
      </c>
      <c r="AK515">
        <v>92.869</v>
      </c>
      <c r="AL515">
        <v>102.51600000000001</v>
      </c>
      <c r="AM515">
        <v>96.373000000000005</v>
      </c>
      <c r="AN515">
        <v>100</v>
      </c>
      <c r="AO515">
        <v>105.41200000000001</v>
      </c>
      <c r="AP515">
        <v>106.46599999999999</v>
      </c>
      <c r="AQ515">
        <v>106.654</v>
      </c>
      <c r="AR515">
        <v>109.291</v>
      </c>
      <c r="AS515">
        <v>110.852</v>
      </c>
      <c r="AT515">
        <v>116.229</v>
      </c>
      <c r="AU515">
        <v>120.901</v>
      </c>
      <c r="AV515">
        <v>125.61799999999999</v>
      </c>
      <c r="AW515">
        <v>130.49700000000001</v>
      </c>
      <c r="AX515">
        <v>135.50399999999999</v>
      </c>
      <c r="AY515">
        <v>2014</v>
      </c>
    </row>
    <row r="516" spans="1:51" x14ac:dyDescent="0.25">
      <c r="A516">
        <v>548</v>
      </c>
      <c r="B516" t="s">
        <v>614</v>
      </c>
      <c r="C516" t="s">
        <v>298</v>
      </c>
      <c r="D516" t="s">
        <v>148</v>
      </c>
      <c r="E516" t="s">
        <v>299</v>
      </c>
      <c r="F516" t="s">
        <v>300</v>
      </c>
      <c r="G516" t="s">
        <v>282</v>
      </c>
      <c r="H516" t="s">
        <v>283</v>
      </c>
      <c r="I516" t="s">
        <v>616</v>
      </c>
      <c r="J516" t="s">
        <v>285</v>
      </c>
      <c r="K516" t="s">
        <v>285</v>
      </c>
      <c r="L516" t="s">
        <v>285</v>
      </c>
      <c r="M516" t="s">
        <v>285</v>
      </c>
      <c r="N516" t="s">
        <v>285</v>
      </c>
      <c r="O516" t="s">
        <v>285</v>
      </c>
      <c r="P516" t="s">
        <v>285</v>
      </c>
      <c r="Q516" t="s">
        <v>285</v>
      </c>
      <c r="R516" t="s">
        <v>285</v>
      </c>
      <c r="S516" t="s">
        <v>285</v>
      </c>
      <c r="T516">
        <v>42.384999999999998</v>
      </c>
      <c r="U516">
        <v>43.811999999999998</v>
      </c>
      <c r="V516">
        <v>50.295000000000002</v>
      </c>
      <c r="W516">
        <v>49.951000000000001</v>
      </c>
      <c r="X516">
        <v>53.591000000000001</v>
      </c>
      <c r="Y516">
        <v>58.597000000000001</v>
      </c>
      <c r="Z516">
        <v>65.801000000000002</v>
      </c>
      <c r="AA516">
        <v>68.581999999999994</v>
      </c>
      <c r="AB516">
        <v>71.302999999999997</v>
      </c>
      <c r="AC516">
        <v>80.721999999999994</v>
      </c>
      <c r="AD516">
        <v>99.495999999999995</v>
      </c>
      <c r="AE516">
        <v>108.379</v>
      </c>
      <c r="AF516">
        <v>113.29</v>
      </c>
      <c r="AG516">
        <v>128.02199999999999</v>
      </c>
      <c r="AH516">
        <v>133.642</v>
      </c>
      <c r="AI516">
        <v>139.71100000000001</v>
      </c>
      <c r="AJ516">
        <v>159.86500000000001</v>
      </c>
      <c r="AK516">
        <v>180.42099999999999</v>
      </c>
      <c r="AL516">
        <v>217.10499999999999</v>
      </c>
      <c r="AM516">
        <v>230.643</v>
      </c>
      <c r="AN516">
        <v>221.643</v>
      </c>
      <c r="AO516">
        <v>250.477</v>
      </c>
      <c r="AP516">
        <v>279.7</v>
      </c>
      <c r="AQ516">
        <v>289.05799999999999</v>
      </c>
      <c r="AR516">
        <v>298.16000000000003</v>
      </c>
      <c r="AS516">
        <v>301.315</v>
      </c>
      <c r="AT516">
        <v>323.09199999999998</v>
      </c>
      <c r="AU516">
        <v>346.12900000000002</v>
      </c>
      <c r="AV516">
        <v>377.09100000000001</v>
      </c>
      <c r="AW516">
        <v>411.98200000000003</v>
      </c>
      <c r="AX516">
        <v>439.34100000000001</v>
      </c>
      <c r="AY516">
        <v>2013</v>
      </c>
    </row>
    <row r="517" spans="1:51" x14ac:dyDescent="0.25">
      <c r="A517">
        <v>556</v>
      </c>
      <c r="B517" t="s">
        <v>617</v>
      </c>
      <c r="C517" t="s">
        <v>279</v>
      </c>
      <c r="D517" t="s">
        <v>149</v>
      </c>
      <c r="E517" t="s">
        <v>280</v>
      </c>
      <c r="F517" t="s">
        <v>281</v>
      </c>
      <c r="G517" t="s">
        <v>282</v>
      </c>
      <c r="H517" t="s">
        <v>283</v>
      </c>
      <c r="I517" t="s">
        <v>618</v>
      </c>
      <c r="J517">
        <v>2.1640000000000001</v>
      </c>
      <c r="K517">
        <v>2.335</v>
      </c>
      <c r="L517">
        <v>2.5089999999999999</v>
      </c>
      <c r="M517">
        <v>2.62</v>
      </c>
      <c r="N517">
        <v>3.0750000000000002</v>
      </c>
      <c r="O517">
        <v>3.4990000000000001</v>
      </c>
      <c r="P517">
        <v>3.8</v>
      </c>
      <c r="Q517">
        <v>4.1369999999999996</v>
      </c>
      <c r="R517">
        <v>4.4980000000000002</v>
      </c>
      <c r="S517">
        <v>4.9160000000000004</v>
      </c>
      <c r="T517">
        <v>4.7169999999999996</v>
      </c>
      <c r="U517">
        <v>5.0419999999999998</v>
      </c>
      <c r="V517">
        <v>5.3680000000000003</v>
      </c>
      <c r="W517">
        <v>5.6589999999999998</v>
      </c>
      <c r="X517">
        <v>6.0839999999999996</v>
      </c>
      <c r="Y517">
        <v>6.532</v>
      </c>
      <c r="Z517">
        <v>7.1260000000000003</v>
      </c>
      <c r="AA517">
        <v>7.867</v>
      </c>
      <c r="AB517">
        <v>8.6379999999999999</v>
      </c>
      <c r="AC517">
        <v>9.2620000000000005</v>
      </c>
      <c r="AD517">
        <v>9.7040000000000006</v>
      </c>
      <c r="AE517">
        <v>10.861000000000001</v>
      </c>
      <c r="AF517">
        <v>11.446</v>
      </c>
      <c r="AG517">
        <v>12.920999999999999</v>
      </c>
      <c r="AH517">
        <v>14.458</v>
      </c>
      <c r="AI517">
        <v>13.298</v>
      </c>
      <c r="AJ517">
        <v>15.901</v>
      </c>
      <c r="AK517">
        <v>17.626000000000001</v>
      </c>
      <c r="AL517">
        <v>19.972999999999999</v>
      </c>
      <c r="AM517">
        <v>19.623000000000001</v>
      </c>
      <c r="AN517">
        <v>20.916</v>
      </c>
      <c r="AO517">
        <v>22.305</v>
      </c>
      <c r="AP517">
        <v>22.667999999999999</v>
      </c>
      <c r="AQ517">
        <v>21.585999999999999</v>
      </c>
      <c r="AR517">
        <v>22.911999999999999</v>
      </c>
      <c r="AS517">
        <v>23.579000000000001</v>
      </c>
      <c r="AT517">
        <v>24.302</v>
      </c>
      <c r="AU517">
        <v>25.268000000000001</v>
      </c>
      <c r="AV517">
        <v>26.372</v>
      </c>
      <c r="AW517">
        <v>27.58</v>
      </c>
      <c r="AX517">
        <v>28.873999999999999</v>
      </c>
      <c r="AY517">
        <v>2014</v>
      </c>
    </row>
    <row r="518" spans="1:51" x14ac:dyDescent="0.25">
      <c r="A518">
        <v>556</v>
      </c>
      <c r="B518" t="s">
        <v>617</v>
      </c>
      <c r="C518" t="s">
        <v>286</v>
      </c>
      <c r="D518" t="s">
        <v>149</v>
      </c>
      <c r="E518" t="s">
        <v>287</v>
      </c>
      <c r="F518" t="s">
        <v>288</v>
      </c>
      <c r="G518" t="s">
        <v>282</v>
      </c>
      <c r="H518" t="s">
        <v>283</v>
      </c>
      <c r="I518" t="s">
        <v>618</v>
      </c>
      <c r="J518">
        <v>0.47299999999999998</v>
      </c>
      <c r="K518">
        <v>0.55400000000000005</v>
      </c>
      <c r="L518">
        <v>0.624</v>
      </c>
      <c r="M518">
        <v>0.66600000000000004</v>
      </c>
      <c r="N518">
        <v>0.79600000000000004</v>
      </c>
      <c r="O518">
        <v>0.95099999999999996</v>
      </c>
      <c r="P518">
        <v>1.1259999999999999</v>
      </c>
      <c r="Q518">
        <v>1.373</v>
      </c>
      <c r="R518">
        <v>1.5649999999999999</v>
      </c>
      <c r="S518">
        <v>1.8180000000000001</v>
      </c>
      <c r="T518">
        <v>2.206</v>
      </c>
      <c r="U518">
        <v>2.6909999999999998</v>
      </c>
      <c r="V518">
        <v>3.2330000000000001</v>
      </c>
      <c r="W518">
        <v>3.7930000000000001</v>
      </c>
      <c r="X518">
        <v>4.4290000000000003</v>
      </c>
      <c r="Y518">
        <v>5.484</v>
      </c>
      <c r="Z518">
        <v>6.2050000000000001</v>
      </c>
      <c r="AA518">
        <v>7.6790000000000003</v>
      </c>
      <c r="AB518">
        <v>8.1609999999999996</v>
      </c>
      <c r="AC518">
        <v>8.9030000000000005</v>
      </c>
      <c r="AD518">
        <v>9.4329999999999998</v>
      </c>
      <c r="AE518">
        <v>10.824</v>
      </c>
      <c r="AF518">
        <v>11.659000000000001</v>
      </c>
      <c r="AG518">
        <v>13.356</v>
      </c>
      <c r="AH518">
        <v>15.388999999999999</v>
      </c>
      <c r="AI518">
        <v>14.334</v>
      </c>
      <c r="AJ518">
        <v>18.876000000000001</v>
      </c>
      <c r="AK518">
        <v>22.349</v>
      </c>
      <c r="AL518">
        <v>27.108000000000001</v>
      </c>
      <c r="AM518">
        <v>27.728999999999999</v>
      </c>
      <c r="AN518">
        <v>29.856000000000002</v>
      </c>
      <c r="AO518">
        <v>35.930999999999997</v>
      </c>
      <c r="AP518">
        <v>38.942999999999998</v>
      </c>
      <c r="AQ518">
        <v>41.569000000000003</v>
      </c>
      <c r="AR518">
        <v>44.426000000000002</v>
      </c>
      <c r="AS518">
        <v>46.676000000000002</v>
      </c>
      <c r="AT518">
        <v>49.71</v>
      </c>
      <c r="AU518">
        <v>53.634999999999998</v>
      </c>
      <c r="AV518">
        <v>58.030999999999999</v>
      </c>
      <c r="AW518">
        <v>62.923000000000002</v>
      </c>
      <c r="AX518">
        <v>68.281999999999996</v>
      </c>
      <c r="AY518">
        <v>2014</v>
      </c>
    </row>
    <row r="519" spans="1:51" x14ac:dyDescent="0.25">
      <c r="A519">
        <v>556</v>
      </c>
      <c r="B519" t="s">
        <v>617</v>
      </c>
      <c r="C519" t="s">
        <v>289</v>
      </c>
      <c r="D519" t="s">
        <v>149</v>
      </c>
      <c r="E519" t="s">
        <v>287</v>
      </c>
      <c r="F519" t="s">
        <v>290</v>
      </c>
      <c r="G519" t="s">
        <v>291</v>
      </c>
      <c r="H519" t="s">
        <v>283</v>
      </c>
      <c r="I519" t="s">
        <v>292</v>
      </c>
      <c r="J519">
        <v>6.3E-2</v>
      </c>
      <c r="K519">
        <v>7.2999999999999995E-2</v>
      </c>
      <c r="L519">
        <v>8.6999999999999994E-2</v>
      </c>
      <c r="M519">
        <v>9.4E-2</v>
      </c>
      <c r="N519">
        <v>0.113</v>
      </c>
      <c r="O519">
        <v>0.13400000000000001</v>
      </c>
      <c r="P519">
        <v>0.158</v>
      </c>
      <c r="Q519">
        <v>0.14899999999999999</v>
      </c>
      <c r="R519">
        <v>0.17799999999999999</v>
      </c>
      <c r="S519">
        <v>0.20100000000000001</v>
      </c>
      <c r="T519">
        <v>0.23100000000000001</v>
      </c>
      <c r="U519">
        <v>0.26200000000000001</v>
      </c>
      <c r="V519">
        <v>0.30599999999999999</v>
      </c>
      <c r="W519">
        <v>0.34599999999999997</v>
      </c>
      <c r="X519">
        <v>0.38200000000000001</v>
      </c>
      <c r="Y519">
        <v>0.46600000000000003</v>
      </c>
      <c r="Z519">
        <v>0.52700000000000002</v>
      </c>
      <c r="AA519">
        <v>0.65200000000000002</v>
      </c>
      <c r="AB519">
        <v>0.69299999999999995</v>
      </c>
      <c r="AC519">
        <v>0.75600000000000001</v>
      </c>
      <c r="AD519">
        <v>0.80100000000000005</v>
      </c>
      <c r="AE519">
        <v>0.84599999999999997</v>
      </c>
      <c r="AF519">
        <v>0.91100000000000003</v>
      </c>
      <c r="AG519">
        <v>1.0429999999999999</v>
      </c>
      <c r="AH519">
        <v>1.202</v>
      </c>
      <c r="AI519">
        <v>1.1200000000000001</v>
      </c>
      <c r="AJ519">
        <v>1.4750000000000001</v>
      </c>
      <c r="AK519">
        <v>1.746</v>
      </c>
      <c r="AL519">
        <v>2.1179999999999999</v>
      </c>
      <c r="AM519">
        <v>2.1659999999999999</v>
      </c>
      <c r="AN519">
        <v>2.3319999999999999</v>
      </c>
      <c r="AO519">
        <v>2.3319999999999999</v>
      </c>
      <c r="AP519">
        <v>2.5339999999999998</v>
      </c>
      <c r="AQ519">
        <v>2.6989999999999998</v>
      </c>
      <c r="AR519">
        <v>2.8849999999999998</v>
      </c>
      <c r="AS519">
        <v>3.0310000000000001</v>
      </c>
      <c r="AT519">
        <v>3.2280000000000002</v>
      </c>
      <c r="AU519">
        <v>3.4830000000000001</v>
      </c>
      <c r="AV519">
        <v>3.7679999999999998</v>
      </c>
      <c r="AW519">
        <v>4.0860000000000003</v>
      </c>
      <c r="AX519">
        <v>4.4340000000000002</v>
      </c>
      <c r="AY519">
        <v>2014</v>
      </c>
    </row>
    <row r="520" spans="1:51" x14ac:dyDescent="0.25">
      <c r="A520">
        <v>556</v>
      </c>
      <c r="B520" t="s">
        <v>617</v>
      </c>
      <c r="C520" t="s">
        <v>293</v>
      </c>
      <c r="D520" t="s">
        <v>149</v>
      </c>
      <c r="E520" t="s">
        <v>294</v>
      </c>
      <c r="F520" t="s">
        <v>295</v>
      </c>
      <c r="G520" t="s">
        <v>296</v>
      </c>
      <c r="I520" t="s">
        <v>297</v>
      </c>
      <c r="J520">
        <v>21.847000000000001</v>
      </c>
      <c r="K520">
        <v>23.718</v>
      </c>
      <c r="L520">
        <v>24.885999999999999</v>
      </c>
      <c r="M520">
        <v>25.43</v>
      </c>
      <c r="N520">
        <v>25.878</v>
      </c>
      <c r="O520">
        <v>27.170999999999999</v>
      </c>
      <c r="P520">
        <v>29.643000000000001</v>
      </c>
      <c r="Q520">
        <v>33.194000000000003</v>
      </c>
      <c r="R520">
        <v>34.802</v>
      </c>
      <c r="S520">
        <v>36.988999999999997</v>
      </c>
      <c r="T520">
        <v>46.761000000000003</v>
      </c>
      <c r="U520">
        <v>53.363999999999997</v>
      </c>
      <c r="V520">
        <v>60.225999999999999</v>
      </c>
      <c r="W520">
        <v>67.031999999999996</v>
      </c>
      <c r="X520">
        <v>72.801000000000002</v>
      </c>
      <c r="Y520">
        <v>83.947000000000003</v>
      </c>
      <c r="Z520">
        <v>87.08</v>
      </c>
      <c r="AA520">
        <v>97.606999999999999</v>
      </c>
      <c r="AB520">
        <v>94.480999999999995</v>
      </c>
      <c r="AC520">
        <v>96.122</v>
      </c>
      <c r="AD520">
        <v>97.21</v>
      </c>
      <c r="AE520">
        <v>99.653999999999996</v>
      </c>
      <c r="AF520">
        <v>101.86499999999999</v>
      </c>
      <c r="AG520">
        <v>103.367</v>
      </c>
      <c r="AH520">
        <v>106.438</v>
      </c>
      <c r="AI520">
        <v>107.78700000000001</v>
      </c>
      <c r="AJ520">
        <v>118.708</v>
      </c>
      <c r="AK520">
        <v>126.79600000000001</v>
      </c>
      <c r="AL520">
        <v>135.72</v>
      </c>
      <c r="AM520">
        <v>141.31</v>
      </c>
      <c r="AN520">
        <v>142.738</v>
      </c>
      <c r="AO520">
        <v>161.08799999999999</v>
      </c>
      <c r="AP520">
        <v>171.79900000000001</v>
      </c>
      <c r="AQ520">
        <v>192.57</v>
      </c>
      <c r="AR520">
        <v>193.89699999999999</v>
      </c>
      <c r="AS520">
        <v>197.958</v>
      </c>
      <c r="AT520">
        <v>204.553</v>
      </c>
      <c r="AU520">
        <v>212.26499999999999</v>
      </c>
      <c r="AV520">
        <v>220.05099999999999</v>
      </c>
      <c r="AW520">
        <v>228.148</v>
      </c>
      <c r="AX520">
        <v>236.48099999999999</v>
      </c>
      <c r="AY520">
        <v>2014</v>
      </c>
    </row>
    <row r="521" spans="1:51" x14ac:dyDescent="0.25">
      <c r="A521">
        <v>556</v>
      </c>
      <c r="B521" t="s">
        <v>617</v>
      </c>
      <c r="C521" t="s">
        <v>298</v>
      </c>
      <c r="D521" t="s">
        <v>149</v>
      </c>
      <c r="E521" t="s">
        <v>299</v>
      </c>
      <c r="F521" t="s">
        <v>300</v>
      </c>
      <c r="G521" t="s">
        <v>282</v>
      </c>
      <c r="H521" t="s">
        <v>283</v>
      </c>
      <c r="I521" t="s">
        <v>619</v>
      </c>
      <c r="J521" t="s">
        <v>285</v>
      </c>
      <c r="K521" t="s">
        <v>285</v>
      </c>
      <c r="L521" t="s">
        <v>285</v>
      </c>
      <c r="M521" t="s">
        <v>285</v>
      </c>
      <c r="N521" t="s">
        <v>285</v>
      </c>
      <c r="O521" t="s">
        <v>285</v>
      </c>
      <c r="P521" t="s">
        <v>285</v>
      </c>
      <c r="Q521" t="s">
        <v>285</v>
      </c>
      <c r="R521" t="s">
        <v>285</v>
      </c>
      <c r="S521" t="s">
        <v>285</v>
      </c>
      <c r="T521">
        <v>0.73499999999999999</v>
      </c>
      <c r="U521">
        <v>1.014</v>
      </c>
      <c r="V521">
        <v>1.167</v>
      </c>
      <c r="W521">
        <v>1.3169999999999999</v>
      </c>
      <c r="X521">
        <v>1.3560000000000001</v>
      </c>
      <c r="Y521">
        <v>1.714</v>
      </c>
      <c r="Z521">
        <v>1.6890000000000001</v>
      </c>
      <c r="AA521">
        <v>1.9319999999999999</v>
      </c>
      <c r="AB521">
        <v>2.1120000000000001</v>
      </c>
      <c r="AC521">
        <v>2.4910000000000001</v>
      </c>
      <c r="AD521">
        <v>2.7360000000000002</v>
      </c>
      <c r="AE521">
        <v>2.8959999999999999</v>
      </c>
      <c r="AF521">
        <v>3.1309999999999998</v>
      </c>
      <c r="AG521">
        <v>3.524</v>
      </c>
      <c r="AH521">
        <v>3.758</v>
      </c>
      <c r="AI521">
        <v>5.74</v>
      </c>
      <c r="AJ521">
        <v>7.0170000000000003</v>
      </c>
      <c r="AK521">
        <v>8.2889999999999997</v>
      </c>
      <c r="AL521">
        <v>10.3</v>
      </c>
      <c r="AM521">
        <v>11.09</v>
      </c>
      <c r="AN521">
        <v>10.946999999999999</v>
      </c>
      <c r="AO521">
        <v>12.129</v>
      </c>
      <c r="AP521">
        <v>13.151999999999999</v>
      </c>
      <c r="AQ521">
        <v>15.02</v>
      </c>
      <c r="AR521">
        <v>19.408000000000001</v>
      </c>
      <c r="AS521">
        <v>20.32</v>
      </c>
      <c r="AT521">
        <v>21.664999999999999</v>
      </c>
      <c r="AU521">
        <v>23.565999999999999</v>
      </c>
      <c r="AV521">
        <v>25.248000000000001</v>
      </c>
      <c r="AW521">
        <v>27.14</v>
      </c>
      <c r="AX521">
        <v>28.696000000000002</v>
      </c>
      <c r="AY521">
        <v>2014</v>
      </c>
    </row>
    <row r="522" spans="1:51" x14ac:dyDescent="0.25">
      <c r="A522">
        <v>678</v>
      </c>
      <c r="B522" t="s">
        <v>620</v>
      </c>
      <c r="C522" t="s">
        <v>279</v>
      </c>
      <c r="D522" t="s">
        <v>150</v>
      </c>
      <c r="E522" t="s">
        <v>280</v>
      </c>
      <c r="F522" t="s">
        <v>281</v>
      </c>
      <c r="G522" t="s">
        <v>282</v>
      </c>
      <c r="H522" t="s">
        <v>283</v>
      </c>
      <c r="I522" t="s">
        <v>621</v>
      </c>
      <c r="J522">
        <v>518.85500000000002</v>
      </c>
      <c r="K522">
        <v>502.23899999999998</v>
      </c>
      <c r="L522">
        <v>485.29199999999997</v>
      </c>
      <c r="M522">
        <v>506.47699999999998</v>
      </c>
      <c r="N522">
        <v>521.92399999999998</v>
      </c>
      <c r="O522">
        <v>532.92999999999995</v>
      </c>
      <c r="P522">
        <v>578.73199999999997</v>
      </c>
      <c r="Q522">
        <v>590.30899999999997</v>
      </c>
      <c r="R522">
        <v>588.39800000000002</v>
      </c>
      <c r="S522">
        <v>658.64099999999996</v>
      </c>
      <c r="T522">
        <v>704.84400000000005</v>
      </c>
      <c r="U522">
        <v>768.64499999999998</v>
      </c>
      <c r="V522">
        <v>743.78</v>
      </c>
      <c r="W522">
        <v>772.28899999999999</v>
      </c>
      <c r="X522">
        <v>799.8</v>
      </c>
      <c r="Y522">
        <v>818.62900000000002</v>
      </c>
      <c r="Z522">
        <v>879.06100000000004</v>
      </c>
      <c r="AA522">
        <v>925.94799999999998</v>
      </c>
      <c r="AB522">
        <v>966.88900000000001</v>
      </c>
      <c r="AC522" s="21">
        <v>1021.985</v>
      </c>
      <c r="AD522">
        <v>988.51300000000003</v>
      </c>
      <c r="AE522" s="21">
        <v>1105.704</v>
      </c>
      <c r="AF522" s="21">
        <v>1153.327</v>
      </c>
      <c r="AG522" s="21">
        <v>1241.165</v>
      </c>
      <c r="AH522" s="21">
        <v>1269.203</v>
      </c>
      <c r="AI522" s="21">
        <v>1347.0630000000001</v>
      </c>
      <c r="AJ522" s="21">
        <v>1417.8130000000001</v>
      </c>
      <c r="AK522" s="21">
        <v>1478.7539999999999</v>
      </c>
      <c r="AL522" s="21">
        <v>1552.374</v>
      </c>
      <c r="AM522" s="21">
        <v>1621.57</v>
      </c>
      <c r="AN522" s="21">
        <v>1715.9349999999999</v>
      </c>
      <c r="AO522" s="21">
        <v>1762.827</v>
      </c>
      <c r="AP522" s="21">
        <v>1763.2449999999999</v>
      </c>
      <c r="AQ522" s="21">
        <v>1793.11</v>
      </c>
      <c r="AR522" s="21">
        <v>1922.6479999999999</v>
      </c>
      <c r="AS522" s="21">
        <v>2018.28</v>
      </c>
      <c r="AT522" s="21">
        <v>2120.127</v>
      </c>
      <c r="AU522" s="21">
        <v>2225.8989999999999</v>
      </c>
      <c r="AV522" s="21">
        <v>2325.9639999999999</v>
      </c>
      <c r="AW522" s="21">
        <v>2431.4209999999998</v>
      </c>
      <c r="AX522" s="21">
        <v>2541.4050000000002</v>
      </c>
      <c r="AY522">
        <v>2011</v>
      </c>
    </row>
    <row r="523" spans="1:51" x14ac:dyDescent="0.25">
      <c r="A523">
        <v>678</v>
      </c>
      <c r="B523" t="s">
        <v>620</v>
      </c>
      <c r="C523" t="s">
        <v>286</v>
      </c>
      <c r="D523" t="s">
        <v>150</v>
      </c>
      <c r="E523" t="s">
        <v>287</v>
      </c>
      <c r="F523" t="s">
        <v>288</v>
      </c>
      <c r="G523" t="s">
        <v>282</v>
      </c>
      <c r="H523" t="s">
        <v>283</v>
      </c>
      <c r="I523" t="s">
        <v>621</v>
      </c>
      <c r="J523">
        <v>356.02600000000001</v>
      </c>
      <c r="K523">
        <v>378.61500000000001</v>
      </c>
      <c r="L523">
        <v>409.80500000000001</v>
      </c>
      <c r="M523">
        <v>465.649</v>
      </c>
      <c r="N523">
        <v>531.86</v>
      </c>
      <c r="O523">
        <v>551.38099999999997</v>
      </c>
      <c r="P523">
        <v>586.91600000000005</v>
      </c>
      <c r="Q523">
        <v>590.30899999999997</v>
      </c>
      <c r="R523">
        <v>585.80799999999999</v>
      </c>
      <c r="S523">
        <v>644.93499999999995</v>
      </c>
      <c r="T523">
        <v>749.12199999999996</v>
      </c>
      <c r="U523">
        <v>784.43200000000002</v>
      </c>
      <c r="V523">
        <v>761.37199999999996</v>
      </c>
      <c r="W523">
        <v>812.73400000000004</v>
      </c>
      <c r="X523" s="21">
        <v>1197.8240000000001</v>
      </c>
      <c r="Y523" s="21">
        <v>1405.87</v>
      </c>
      <c r="Z523" s="21">
        <v>1473.2190000000001</v>
      </c>
      <c r="AA523" s="21">
        <v>1608.4960000000001</v>
      </c>
      <c r="AB523" s="21">
        <v>1722.9010000000001</v>
      </c>
      <c r="AC523" s="21">
        <v>1809.3910000000001</v>
      </c>
      <c r="AD523" s="21">
        <v>1890.59</v>
      </c>
      <c r="AE523" s="21">
        <v>2212.0500000000002</v>
      </c>
      <c r="AF523" s="21">
        <v>2222.7539999999999</v>
      </c>
      <c r="AG523" s="21">
        <v>2453.5700000000002</v>
      </c>
      <c r="AH523" s="21">
        <v>2632.05</v>
      </c>
      <c r="AI523" s="21">
        <v>2893.85</v>
      </c>
      <c r="AJ523" s="21">
        <v>3201.47</v>
      </c>
      <c r="AK523" s="21">
        <v>3424.55</v>
      </c>
      <c r="AL523" s="21">
        <v>3912.7820000000002</v>
      </c>
      <c r="AM523" s="21">
        <v>4232.9049999999997</v>
      </c>
      <c r="AN523" s="21">
        <v>4666.6329999999998</v>
      </c>
      <c r="AO523" s="21">
        <v>5037.759</v>
      </c>
      <c r="AP523" s="21">
        <v>5327.7749999999996</v>
      </c>
      <c r="AQ523" s="21">
        <v>5489.5860000000002</v>
      </c>
      <c r="AR523" s="21">
        <v>5969.8429999999998</v>
      </c>
      <c r="AS523" s="21">
        <v>6458.1660000000002</v>
      </c>
      <c r="AT523" s="21">
        <v>6972.4040000000005</v>
      </c>
      <c r="AU523" s="21">
        <v>7493.79</v>
      </c>
      <c r="AV523" s="21">
        <v>8023.5630000000001</v>
      </c>
      <c r="AW523" s="21">
        <v>8571.0750000000007</v>
      </c>
      <c r="AX523" s="21">
        <v>9194.3050000000003</v>
      </c>
      <c r="AY523">
        <v>2011</v>
      </c>
    </row>
    <row r="524" spans="1:51" x14ac:dyDescent="0.25">
      <c r="A524">
        <v>678</v>
      </c>
      <c r="B524" t="s">
        <v>620</v>
      </c>
      <c r="C524" t="s">
        <v>289</v>
      </c>
      <c r="D524" t="s">
        <v>150</v>
      </c>
      <c r="E524" t="s">
        <v>287</v>
      </c>
      <c r="F524" t="s">
        <v>290</v>
      </c>
      <c r="G524" t="s">
        <v>291</v>
      </c>
      <c r="H524" t="s">
        <v>283</v>
      </c>
      <c r="I524" t="s">
        <v>292</v>
      </c>
      <c r="J524">
        <v>1.6850000000000001</v>
      </c>
      <c r="K524">
        <v>1.393</v>
      </c>
      <c r="L524">
        <v>1.2470000000000001</v>
      </c>
      <c r="M524">
        <v>1.222</v>
      </c>
      <c r="N524">
        <v>1.2170000000000001</v>
      </c>
      <c r="O524">
        <v>1.2270000000000001</v>
      </c>
      <c r="P524">
        <v>1.6950000000000001</v>
      </c>
      <c r="Q524">
        <v>1.964</v>
      </c>
      <c r="R524">
        <v>1.9670000000000001</v>
      </c>
      <c r="S524">
        <v>2.3690000000000002</v>
      </c>
      <c r="T524">
        <v>2.7509999999999999</v>
      </c>
      <c r="U524">
        <v>2.7909999999999999</v>
      </c>
      <c r="V524">
        <v>2.883</v>
      </c>
      <c r="W524">
        <v>2.8730000000000002</v>
      </c>
      <c r="X524">
        <v>2.17</v>
      </c>
      <c r="Y524">
        <v>2.8039999999999998</v>
      </c>
      <c r="Z524">
        <v>2.851</v>
      </c>
      <c r="AA524">
        <v>2.7810000000000001</v>
      </c>
      <c r="AB524">
        <v>2.9430000000000001</v>
      </c>
      <c r="AC524">
        <v>2.9430000000000001</v>
      </c>
      <c r="AD524">
        <v>2.6629999999999998</v>
      </c>
      <c r="AE524">
        <v>3.02</v>
      </c>
      <c r="AF524">
        <v>3.2</v>
      </c>
      <c r="AG524">
        <v>4.2300000000000004</v>
      </c>
      <c r="AH524">
        <v>4.9889999999999999</v>
      </c>
      <c r="AI524">
        <v>5.4960000000000004</v>
      </c>
      <c r="AJ524">
        <v>6.1280000000000001</v>
      </c>
      <c r="AK524">
        <v>7.1559999999999997</v>
      </c>
      <c r="AL524">
        <v>8.7789999999999999</v>
      </c>
      <c r="AM524">
        <v>8.9879999999999995</v>
      </c>
      <c r="AN524">
        <v>9.44</v>
      </c>
      <c r="AO524">
        <v>10.686</v>
      </c>
      <c r="AP524">
        <v>10.442</v>
      </c>
      <c r="AQ524">
        <v>11.115</v>
      </c>
      <c r="AR524">
        <v>12.093999999999999</v>
      </c>
      <c r="AS524">
        <v>10.954000000000001</v>
      </c>
      <c r="AT524">
        <v>11.882</v>
      </c>
      <c r="AU524">
        <v>12.913</v>
      </c>
      <c r="AV524">
        <v>13.967000000000001</v>
      </c>
      <c r="AW524">
        <v>15.037000000000001</v>
      </c>
      <c r="AX524">
        <v>16.13</v>
      </c>
      <c r="AY524">
        <v>2011</v>
      </c>
    </row>
    <row r="525" spans="1:51" x14ac:dyDescent="0.25">
      <c r="A525">
        <v>678</v>
      </c>
      <c r="B525" t="s">
        <v>620</v>
      </c>
      <c r="C525" t="s">
        <v>293</v>
      </c>
      <c r="D525" t="s">
        <v>150</v>
      </c>
      <c r="E525" t="s">
        <v>294</v>
      </c>
      <c r="F525" t="s">
        <v>295</v>
      </c>
      <c r="G525" t="s">
        <v>296</v>
      </c>
      <c r="I525" t="s">
        <v>297</v>
      </c>
      <c r="J525">
        <v>68.617999999999995</v>
      </c>
      <c r="K525">
        <v>75.385000000000005</v>
      </c>
      <c r="L525">
        <v>84.444999999999993</v>
      </c>
      <c r="M525">
        <v>91.938999999999993</v>
      </c>
      <c r="N525">
        <v>101.904</v>
      </c>
      <c r="O525">
        <v>103.462</v>
      </c>
      <c r="P525">
        <v>101.414</v>
      </c>
      <c r="Q525">
        <v>100</v>
      </c>
      <c r="R525">
        <v>99.56</v>
      </c>
      <c r="S525">
        <v>97.918999999999997</v>
      </c>
      <c r="T525">
        <v>106.282</v>
      </c>
      <c r="U525">
        <v>102.054</v>
      </c>
      <c r="V525">
        <v>102.36499999999999</v>
      </c>
      <c r="W525">
        <v>105.23699999999999</v>
      </c>
      <c r="X525">
        <v>149.76499999999999</v>
      </c>
      <c r="Y525">
        <v>171.73500000000001</v>
      </c>
      <c r="Z525">
        <v>167.59</v>
      </c>
      <c r="AA525">
        <v>173.71299999999999</v>
      </c>
      <c r="AB525">
        <v>178.19</v>
      </c>
      <c r="AC525">
        <v>177.047</v>
      </c>
      <c r="AD525">
        <v>191.256</v>
      </c>
      <c r="AE525">
        <v>200.05799999999999</v>
      </c>
      <c r="AF525">
        <v>192.72499999999999</v>
      </c>
      <c r="AG525">
        <v>197.68299999999999</v>
      </c>
      <c r="AH525">
        <v>207.37799999999999</v>
      </c>
      <c r="AI525">
        <v>214.827</v>
      </c>
      <c r="AJ525">
        <v>225.803</v>
      </c>
      <c r="AK525">
        <v>231.584</v>
      </c>
      <c r="AL525">
        <v>252.05199999999999</v>
      </c>
      <c r="AM525">
        <v>261.03699999999998</v>
      </c>
      <c r="AN525">
        <v>271.959</v>
      </c>
      <c r="AO525">
        <v>285.77699999999999</v>
      </c>
      <c r="AP525">
        <v>302.15699999999998</v>
      </c>
      <c r="AQ525">
        <v>306.149</v>
      </c>
      <c r="AR525">
        <v>310.50099999999998</v>
      </c>
      <c r="AS525">
        <v>319.98399999999998</v>
      </c>
      <c r="AT525">
        <v>328.86700000000002</v>
      </c>
      <c r="AU525">
        <v>336.66399999999999</v>
      </c>
      <c r="AV525">
        <v>344.95699999999999</v>
      </c>
      <c r="AW525">
        <v>352.51299999999998</v>
      </c>
      <c r="AX525">
        <v>361.78</v>
      </c>
      <c r="AY525">
        <v>2011</v>
      </c>
    </row>
    <row r="526" spans="1:51" x14ac:dyDescent="0.25">
      <c r="A526">
        <v>678</v>
      </c>
      <c r="B526" t="s">
        <v>620</v>
      </c>
      <c r="C526" t="s">
        <v>298</v>
      </c>
      <c r="D526" t="s">
        <v>150</v>
      </c>
      <c r="E526" t="s">
        <v>299</v>
      </c>
      <c r="F526" t="s">
        <v>300</v>
      </c>
      <c r="G526" t="s">
        <v>282</v>
      </c>
      <c r="H526" t="s">
        <v>283</v>
      </c>
      <c r="I526" t="s">
        <v>622</v>
      </c>
      <c r="J526" t="s">
        <v>285</v>
      </c>
      <c r="K526" t="s">
        <v>285</v>
      </c>
      <c r="L526" t="s">
        <v>285</v>
      </c>
      <c r="M526" t="s">
        <v>285</v>
      </c>
      <c r="N526" t="s">
        <v>285</v>
      </c>
      <c r="O526" t="s">
        <v>285</v>
      </c>
      <c r="P526" t="s">
        <v>285</v>
      </c>
      <c r="Q526" t="s">
        <v>285</v>
      </c>
      <c r="R526" t="s">
        <v>285</v>
      </c>
      <c r="S526" t="s">
        <v>285</v>
      </c>
      <c r="T526" t="s">
        <v>285</v>
      </c>
      <c r="U526" t="s">
        <v>285</v>
      </c>
      <c r="V526" t="s">
        <v>285</v>
      </c>
      <c r="W526" t="s">
        <v>285</v>
      </c>
      <c r="X526" t="s">
        <v>285</v>
      </c>
      <c r="Y526" t="s">
        <v>285</v>
      </c>
      <c r="Z526" t="s">
        <v>285</v>
      </c>
      <c r="AA526" t="s">
        <v>285</v>
      </c>
      <c r="AB526" t="s">
        <v>285</v>
      </c>
      <c r="AC526" t="s">
        <v>285</v>
      </c>
      <c r="AD526">
        <v>407.86200000000002</v>
      </c>
      <c r="AE526">
        <v>465.94299999999998</v>
      </c>
      <c r="AF526">
        <v>540.57899999999995</v>
      </c>
      <c r="AG526">
        <v>568.99</v>
      </c>
      <c r="AH526">
        <v>625.83500000000004</v>
      </c>
      <c r="AI526">
        <v>712.65599999999995</v>
      </c>
      <c r="AJ526">
        <v>796.30200000000002</v>
      </c>
      <c r="AK526">
        <v>838.95</v>
      </c>
      <c r="AL526">
        <v>828.24</v>
      </c>
      <c r="AM526" s="21">
        <v>1097.7919999999999</v>
      </c>
      <c r="AN526" s="21">
        <v>1071.6020000000001</v>
      </c>
      <c r="AO526" s="21">
        <v>1259.1859999999999</v>
      </c>
      <c r="AP526">
        <v>986.59100000000001</v>
      </c>
      <c r="AQ526" s="21">
        <v>1292.3599999999999</v>
      </c>
      <c r="AR526" s="21">
        <v>1419.8589999999999</v>
      </c>
      <c r="AS526" s="21">
        <v>1712.001</v>
      </c>
      <c r="AT526" s="21">
        <v>1814.36</v>
      </c>
      <c r="AU526" s="21">
        <v>1941.655</v>
      </c>
      <c r="AV526" s="21">
        <v>2075.2750000000001</v>
      </c>
      <c r="AW526" s="21">
        <v>2249.393</v>
      </c>
      <c r="AX526" s="21">
        <v>2432.2359999999999</v>
      </c>
      <c r="AY526">
        <v>2013</v>
      </c>
    </row>
    <row r="527" spans="1:51" x14ac:dyDescent="0.25">
      <c r="A527">
        <v>181</v>
      </c>
      <c r="B527" t="s">
        <v>623</v>
      </c>
      <c r="C527" t="s">
        <v>279</v>
      </c>
      <c r="D527" t="s">
        <v>151</v>
      </c>
      <c r="E527" t="s">
        <v>280</v>
      </c>
      <c r="F527" t="s">
        <v>281</v>
      </c>
      <c r="G527" t="s">
        <v>282</v>
      </c>
      <c r="H527" t="s">
        <v>283</v>
      </c>
      <c r="I527" t="s">
        <v>624</v>
      </c>
      <c r="J527" t="s">
        <v>285</v>
      </c>
      <c r="K527" t="s">
        <v>285</v>
      </c>
      <c r="L527" t="s">
        <v>285</v>
      </c>
      <c r="M527" t="s">
        <v>285</v>
      </c>
      <c r="N527" t="s">
        <v>285</v>
      </c>
      <c r="O527" t="s">
        <v>285</v>
      </c>
      <c r="P527" t="s">
        <v>285</v>
      </c>
      <c r="Q527" t="s">
        <v>285</v>
      </c>
      <c r="R527" t="s">
        <v>285</v>
      </c>
      <c r="S527" t="s">
        <v>285</v>
      </c>
      <c r="T527" t="s">
        <v>285</v>
      </c>
      <c r="U527" t="s">
        <v>285</v>
      </c>
      <c r="V527" t="s">
        <v>285</v>
      </c>
      <c r="W527" t="s">
        <v>285</v>
      </c>
      <c r="X527" t="s">
        <v>285</v>
      </c>
      <c r="Y527" t="s">
        <v>285</v>
      </c>
      <c r="Z527" t="s">
        <v>285</v>
      </c>
      <c r="AA527" t="s">
        <v>285</v>
      </c>
      <c r="AB527" t="s">
        <v>285</v>
      </c>
      <c r="AC527" t="s">
        <v>285</v>
      </c>
      <c r="AD527">
        <v>5.3929999999999998</v>
      </c>
      <c r="AE527">
        <v>5.4329999999999998</v>
      </c>
      <c r="AF527">
        <v>5.5819999999999999</v>
      </c>
      <c r="AG527">
        <v>5.7169999999999996</v>
      </c>
      <c r="AH527">
        <v>5.7489999999999997</v>
      </c>
      <c r="AI527">
        <v>5.9740000000000002</v>
      </c>
      <c r="AJ527">
        <v>6.09</v>
      </c>
      <c r="AK527">
        <v>6.3250000000000002</v>
      </c>
      <c r="AL527">
        <v>6.5309999999999997</v>
      </c>
      <c r="AM527">
        <v>6.3689999999999998</v>
      </c>
      <c r="AN527">
        <v>6.5949999999999998</v>
      </c>
      <c r="AO527">
        <v>6.734</v>
      </c>
      <c r="AP527">
        <v>6.9</v>
      </c>
      <c r="AQ527">
        <v>7.0629999999999997</v>
      </c>
      <c r="AR527">
        <v>7.31</v>
      </c>
      <c r="AS527">
        <v>7.5620000000000003</v>
      </c>
      <c r="AT527">
        <v>7.8239999999999998</v>
      </c>
      <c r="AU527">
        <v>8.0559999999999992</v>
      </c>
      <c r="AV527">
        <v>8.2850000000000001</v>
      </c>
      <c r="AW527">
        <v>8.5079999999999991</v>
      </c>
      <c r="AX527">
        <v>8.7270000000000003</v>
      </c>
      <c r="AY527">
        <v>2013</v>
      </c>
    </row>
    <row r="528" spans="1:51" x14ac:dyDescent="0.25">
      <c r="A528">
        <v>181</v>
      </c>
      <c r="B528" t="s">
        <v>623</v>
      </c>
      <c r="C528" t="s">
        <v>286</v>
      </c>
      <c r="D528" t="s">
        <v>151</v>
      </c>
      <c r="E528" t="s">
        <v>287</v>
      </c>
      <c r="F528" t="s">
        <v>288</v>
      </c>
      <c r="G528" t="s">
        <v>282</v>
      </c>
      <c r="H528" t="s">
        <v>283</v>
      </c>
      <c r="I528" t="s">
        <v>624</v>
      </c>
      <c r="J528" t="s">
        <v>285</v>
      </c>
      <c r="K528" t="s">
        <v>285</v>
      </c>
      <c r="L528" t="s">
        <v>285</v>
      </c>
      <c r="M528" t="s">
        <v>285</v>
      </c>
      <c r="N528" t="s">
        <v>285</v>
      </c>
      <c r="O528" t="s">
        <v>285</v>
      </c>
      <c r="P528" t="s">
        <v>285</v>
      </c>
      <c r="Q528" t="s">
        <v>285</v>
      </c>
      <c r="R528" t="s">
        <v>285</v>
      </c>
      <c r="S528" t="s">
        <v>285</v>
      </c>
      <c r="T528" t="s">
        <v>285</v>
      </c>
      <c r="U528" t="s">
        <v>285</v>
      </c>
      <c r="V528" t="s">
        <v>285</v>
      </c>
      <c r="W528" t="s">
        <v>285</v>
      </c>
      <c r="X528" t="s">
        <v>285</v>
      </c>
      <c r="Y528">
        <v>2.7679999999999998</v>
      </c>
      <c r="Z528">
        <v>2.8820000000000001</v>
      </c>
      <c r="AA528">
        <v>3.1230000000000002</v>
      </c>
      <c r="AB528">
        <v>3.33</v>
      </c>
      <c r="AC528">
        <v>3.569</v>
      </c>
      <c r="AD528">
        <v>4.1369999999999996</v>
      </c>
      <c r="AE528">
        <v>4.2629999999999999</v>
      </c>
      <c r="AF528">
        <v>4.5119999999999996</v>
      </c>
      <c r="AG528">
        <v>4.7590000000000003</v>
      </c>
      <c r="AH528">
        <v>4.8520000000000003</v>
      </c>
      <c r="AI528">
        <v>5.149</v>
      </c>
      <c r="AJ528">
        <v>5.3860000000000001</v>
      </c>
      <c r="AK528">
        <v>5.7569999999999997</v>
      </c>
      <c r="AL528">
        <v>6.1289999999999996</v>
      </c>
      <c r="AM528">
        <v>6.1390000000000002</v>
      </c>
      <c r="AN528">
        <v>6.6</v>
      </c>
      <c r="AO528">
        <v>6.9029999999999996</v>
      </c>
      <c r="AP528">
        <v>7.2030000000000003</v>
      </c>
      <c r="AQ528">
        <v>7.508</v>
      </c>
      <c r="AR528">
        <v>7.9119999999999999</v>
      </c>
      <c r="AS528">
        <v>8.26</v>
      </c>
      <c r="AT528">
        <v>8.6959999999999997</v>
      </c>
      <c r="AU528">
        <v>9.1509999999999998</v>
      </c>
      <c r="AV528">
        <v>9.6310000000000002</v>
      </c>
      <c r="AW528">
        <v>10.128</v>
      </c>
      <c r="AX528">
        <v>10.645</v>
      </c>
      <c r="AY528">
        <v>2013</v>
      </c>
    </row>
    <row r="529" spans="1:51" x14ac:dyDescent="0.25">
      <c r="A529">
        <v>181</v>
      </c>
      <c r="B529" t="s">
        <v>623</v>
      </c>
      <c r="C529" t="s">
        <v>289</v>
      </c>
      <c r="D529" t="s">
        <v>151</v>
      </c>
      <c r="E529" t="s">
        <v>287</v>
      </c>
      <c r="F529" t="s">
        <v>290</v>
      </c>
      <c r="G529" t="s">
        <v>291</v>
      </c>
      <c r="H529" t="s">
        <v>283</v>
      </c>
      <c r="I529" t="s">
        <v>292</v>
      </c>
      <c r="J529" t="s">
        <v>285</v>
      </c>
      <c r="K529" t="s">
        <v>285</v>
      </c>
      <c r="L529" t="s">
        <v>285</v>
      </c>
      <c r="M529" t="s">
        <v>285</v>
      </c>
      <c r="N529" t="s">
        <v>285</v>
      </c>
      <c r="O529" t="s">
        <v>285</v>
      </c>
      <c r="P529" t="s">
        <v>285</v>
      </c>
      <c r="Q529" t="s">
        <v>285</v>
      </c>
      <c r="R529" t="s">
        <v>285</v>
      </c>
      <c r="S529" t="s">
        <v>285</v>
      </c>
      <c r="T529" t="s">
        <v>285</v>
      </c>
      <c r="U529" t="s">
        <v>285</v>
      </c>
      <c r="V529" t="s">
        <v>285</v>
      </c>
      <c r="W529" t="s">
        <v>285</v>
      </c>
      <c r="X529" t="s">
        <v>285</v>
      </c>
      <c r="Y529">
        <v>3.367</v>
      </c>
      <c r="Z529">
        <v>3.4329999999999998</v>
      </c>
      <c r="AA529">
        <v>3.476</v>
      </c>
      <c r="AB529">
        <v>3.68</v>
      </c>
      <c r="AC529">
        <v>3.8359999999999999</v>
      </c>
      <c r="AD529">
        <v>4.0590000000000002</v>
      </c>
      <c r="AE529">
        <v>4.0670000000000002</v>
      </c>
      <c r="AF529">
        <v>4.4749999999999996</v>
      </c>
      <c r="AG529">
        <v>5.423</v>
      </c>
      <c r="AH529">
        <v>6.0490000000000004</v>
      </c>
      <c r="AI529">
        <v>6.4020000000000001</v>
      </c>
      <c r="AJ529">
        <v>6.7859999999999996</v>
      </c>
      <c r="AK529">
        <v>7.944</v>
      </c>
      <c r="AL529">
        <v>9.02</v>
      </c>
      <c r="AM529">
        <v>8.5500000000000007</v>
      </c>
      <c r="AN529">
        <v>8.7569999999999997</v>
      </c>
      <c r="AO529">
        <v>9.6039999999999992</v>
      </c>
      <c r="AP529">
        <v>9.26</v>
      </c>
      <c r="AQ529">
        <v>9.9719999999999995</v>
      </c>
      <c r="AR529">
        <v>10.513999999999999</v>
      </c>
      <c r="AS529">
        <v>9.19</v>
      </c>
      <c r="AT529">
        <v>9.7210000000000001</v>
      </c>
      <c r="AU529">
        <v>10.343</v>
      </c>
      <c r="AV529">
        <v>10.997</v>
      </c>
      <c r="AW529">
        <v>11.656000000000001</v>
      </c>
      <c r="AX529">
        <v>12.432</v>
      </c>
      <c r="AY529">
        <v>2013</v>
      </c>
    </row>
    <row r="530" spans="1:51" x14ac:dyDescent="0.25">
      <c r="A530">
        <v>181</v>
      </c>
      <c r="B530" t="s">
        <v>623</v>
      </c>
      <c r="C530" t="s">
        <v>293</v>
      </c>
      <c r="D530" t="s">
        <v>151</v>
      </c>
      <c r="E530" t="s">
        <v>294</v>
      </c>
      <c r="F530" t="s">
        <v>295</v>
      </c>
      <c r="G530" t="s">
        <v>296</v>
      </c>
      <c r="I530" t="s">
        <v>297</v>
      </c>
      <c r="J530" t="s">
        <v>285</v>
      </c>
      <c r="K530" t="s">
        <v>285</v>
      </c>
      <c r="L530" t="s">
        <v>285</v>
      </c>
      <c r="M530" t="s">
        <v>285</v>
      </c>
      <c r="N530" t="s">
        <v>285</v>
      </c>
      <c r="O530" t="s">
        <v>285</v>
      </c>
      <c r="P530" t="s">
        <v>285</v>
      </c>
      <c r="Q530" t="s">
        <v>285</v>
      </c>
      <c r="R530" t="s">
        <v>285</v>
      </c>
      <c r="S530" t="s">
        <v>285</v>
      </c>
      <c r="T530" t="s">
        <v>285</v>
      </c>
      <c r="U530" t="s">
        <v>285</v>
      </c>
      <c r="V530" t="s">
        <v>285</v>
      </c>
      <c r="W530" t="s">
        <v>285</v>
      </c>
      <c r="X530" t="s">
        <v>285</v>
      </c>
      <c r="Y530" t="s">
        <v>285</v>
      </c>
      <c r="Z530" t="s">
        <v>285</v>
      </c>
      <c r="AA530" t="s">
        <v>285</v>
      </c>
      <c r="AB530" t="s">
        <v>285</v>
      </c>
      <c r="AC530" t="s">
        <v>285</v>
      </c>
      <c r="AD530">
        <v>76.715999999999994</v>
      </c>
      <c r="AE530">
        <v>78.459999999999994</v>
      </c>
      <c r="AF530">
        <v>80.83</v>
      </c>
      <c r="AG530">
        <v>83.236999999999995</v>
      </c>
      <c r="AH530">
        <v>84.4</v>
      </c>
      <c r="AI530">
        <v>86.198999999999998</v>
      </c>
      <c r="AJ530">
        <v>88.441999999999993</v>
      </c>
      <c r="AK530">
        <v>91.031999999999996</v>
      </c>
      <c r="AL530">
        <v>93.837999999999994</v>
      </c>
      <c r="AM530">
        <v>96.378</v>
      </c>
      <c r="AN530">
        <v>100.06399999999999</v>
      </c>
      <c r="AO530">
        <v>102.506</v>
      </c>
      <c r="AP530">
        <v>104.389</v>
      </c>
      <c r="AQ530">
        <v>106.307</v>
      </c>
      <c r="AR530">
        <v>108.23399999999999</v>
      </c>
      <c r="AS530">
        <v>109.235</v>
      </c>
      <c r="AT530">
        <v>111.143</v>
      </c>
      <c r="AU530">
        <v>113.601</v>
      </c>
      <c r="AV530">
        <v>116.254</v>
      </c>
      <c r="AW530">
        <v>119.04600000000001</v>
      </c>
      <c r="AX530">
        <v>121.97499999999999</v>
      </c>
      <c r="AY530">
        <v>2013</v>
      </c>
    </row>
    <row r="531" spans="1:51" x14ac:dyDescent="0.25">
      <c r="A531">
        <v>181</v>
      </c>
      <c r="B531" t="s">
        <v>623</v>
      </c>
      <c r="C531" t="s">
        <v>298</v>
      </c>
      <c r="D531" t="s">
        <v>151</v>
      </c>
      <c r="E531" t="s">
        <v>299</v>
      </c>
      <c r="F531" t="s">
        <v>300</v>
      </c>
      <c r="G531" t="s">
        <v>282</v>
      </c>
      <c r="H531" t="s">
        <v>283</v>
      </c>
      <c r="I531" t="s">
        <v>625</v>
      </c>
      <c r="J531" t="s">
        <v>285</v>
      </c>
      <c r="K531" t="s">
        <v>285</v>
      </c>
      <c r="L531" t="s">
        <v>285</v>
      </c>
      <c r="M531" t="s">
        <v>285</v>
      </c>
      <c r="N531" t="s">
        <v>285</v>
      </c>
      <c r="O531" t="s">
        <v>285</v>
      </c>
      <c r="P531" t="s">
        <v>285</v>
      </c>
      <c r="Q531" t="s">
        <v>285</v>
      </c>
      <c r="R531" t="s">
        <v>285</v>
      </c>
      <c r="S531" t="s">
        <v>285</v>
      </c>
      <c r="T531" t="s">
        <v>285</v>
      </c>
      <c r="U531" t="s">
        <v>285</v>
      </c>
      <c r="V531" t="s">
        <v>285</v>
      </c>
      <c r="W531" t="s">
        <v>285</v>
      </c>
      <c r="X531" t="s">
        <v>285</v>
      </c>
      <c r="Y531" t="s">
        <v>285</v>
      </c>
      <c r="Z531" t="s">
        <v>285</v>
      </c>
      <c r="AA531" t="s">
        <v>285</v>
      </c>
      <c r="AB531" t="s">
        <v>285</v>
      </c>
      <c r="AC531" t="s">
        <v>285</v>
      </c>
      <c r="AD531">
        <v>1.768</v>
      </c>
      <c r="AE531">
        <v>1.895</v>
      </c>
      <c r="AF531">
        <v>1.962</v>
      </c>
      <c r="AG531">
        <v>2.165</v>
      </c>
      <c r="AH531">
        <v>2.0550000000000002</v>
      </c>
      <c r="AI531">
        <v>2.1720000000000002</v>
      </c>
      <c r="AJ531">
        <v>2.278</v>
      </c>
      <c r="AK531">
        <v>2.3690000000000002</v>
      </c>
      <c r="AL531">
        <v>2.6080000000000001</v>
      </c>
      <c r="AM531">
        <v>2.57</v>
      </c>
      <c r="AN531">
        <v>2.7080000000000002</v>
      </c>
      <c r="AO531">
        <v>2.82</v>
      </c>
      <c r="AP531">
        <v>3.0630000000000002</v>
      </c>
      <c r="AQ531">
        <v>3.2010000000000001</v>
      </c>
      <c r="AR531">
        <v>3.49</v>
      </c>
      <c r="AS531">
        <v>3.7050000000000001</v>
      </c>
      <c r="AT531">
        <v>3.7490000000000001</v>
      </c>
      <c r="AU531">
        <v>3.8359999999999999</v>
      </c>
      <c r="AV531">
        <v>3.9729999999999999</v>
      </c>
      <c r="AW531">
        <v>4.1539999999999999</v>
      </c>
      <c r="AX531">
        <v>4.3540000000000001</v>
      </c>
      <c r="AY531">
        <v>2013</v>
      </c>
    </row>
    <row r="532" spans="1:51" x14ac:dyDescent="0.25">
      <c r="A532">
        <v>867</v>
      </c>
      <c r="B532" t="s">
        <v>626</v>
      </c>
      <c r="C532" t="s">
        <v>279</v>
      </c>
      <c r="D532" t="s">
        <v>152</v>
      </c>
      <c r="E532" t="s">
        <v>280</v>
      </c>
      <c r="F532" t="s">
        <v>281</v>
      </c>
      <c r="G532" t="s">
        <v>282</v>
      </c>
      <c r="H532" t="s">
        <v>283</v>
      </c>
      <c r="I532" t="s">
        <v>627</v>
      </c>
      <c r="J532" t="s">
        <v>285</v>
      </c>
      <c r="K532" t="s">
        <v>285</v>
      </c>
      <c r="L532" t="s">
        <v>285</v>
      </c>
      <c r="M532" t="s">
        <v>285</v>
      </c>
      <c r="N532" t="s">
        <v>285</v>
      </c>
      <c r="O532" t="s">
        <v>285</v>
      </c>
      <c r="P532" t="s">
        <v>285</v>
      </c>
      <c r="Q532" t="s">
        <v>285</v>
      </c>
      <c r="R532" t="s">
        <v>285</v>
      </c>
      <c r="S532" t="s">
        <v>285</v>
      </c>
      <c r="T532" t="s">
        <v>285</v>
      </c>
      <c r="U532" t="s">
        <v>285</v>
      </c>
      <c r="V532" t="s">
        <v>285</v>
      </c>
      <c r="W532" t="s">
        <v>285</v>
      </c>
      <c r="X532" t="s">
        <v>285</v>
      </c>
      <c r="Y532" t="s">
        <v>285</v>
      </c>
      <c r="Z532" t="s">
        <v>285</v>
      </c>
      <c r="AA532">
        <v>0.121</v>
      </c>
      <c r="AB532">
        <v>0.11700000000000001</v>
      </c>
      <c r="AC532">
        <v>0.114</v>
      </c>
      <c r="AD532">
        <v>0.121</v>
      </c>
      <c r="AE532">
        <v>0.128</v>
      </c>
      <c r="AF532">
        <v>0.13100000000000001</v>
      </c>
      <c r="AG532">
        <v>0.13100000000000001</v>
      </c>
      <c r="AH532">
        <v>0.13100000000000001</v>
      </c>
      <c r="AI532">
        <v>0.13500000000000001</v>
      </c>
      <c r="AJ532">
        <v>0.13700000000000001</v>
      </c>
      <c r="AK532">
        <v>0.14199999999999999</v>
      </c>
      <c r="AL532">
        <v>0.14000000000000001</v>
      </c>
      <c r="AM532">
        <v>0.13700000000000001</v>
      </c>
      <c r="AN532">
        <v>0.14599999999999999</v>
      </c>
      <c r="AO532">
        <v>0.14599999999999999</v>
      </c>
      <c r="AP532">
        <v>0.153</v>
      </c>
      <c r="AQ532">
        <v>0.157</v>
      </c>
      <c r="AR532">
        <v>0.158</v>
      </c>
      <c r="AS532">
        <v>0.161</v>
      </c>
      <c r="AT532">
        <v>0.16400000000000001</v>
      </c>
      <c r="AU532">
        <v>0.16700000000000001</v>
      </c>
      <c r="AV532">
        <v>0.17</v>
      </c>
      <c r="AW532">
        <v>0.17299999999999999</v>
      </c>
      <c r="AX532">
        <v>0.17599999999999999</v>
      </c>
      <c r="AY532">
        <v>2013</v>
      </c>
    </row>
    <row r="533" spans="1:51" x14ac:dyDescent="0.25">
      <c r="A533">
        <v>867</v>
      </c>
      <c r="B533" t="s">
        <v>626</v>
      </c>
      <c r="C533" t="s">
        <v>286</v>
      </c>
      <c r="D533" t="s">
        <v>152</v>
      </c>
      <c r="E533" t="s">
        <v>287</v>
      </c>
      <c r="F533" t="s">
        <v>288</v>
      </c>
      <c r="G533" t="s">
        <v>282</v>
      </c>
      <c r="H533" t="s">
        <v>283</v>
      </c>
      <c r="I533" t="s">
        <v>627</v>
      </c>
      <c r="J533" t="s">
        <v>285</v>
      </c>
      <c r="K533" t="s">
        <v>285</v>
      </c>
      <c r="L533" t="s">
        <v>285</v>
      </c>
      <c r="M533" t="s">
        <v>285</v>
      </c>
      <c r="N533" t="s">
        <v>285</v>
      </c>
      <c r="O533" t="s">
        <v>285</v>
      </c>
      <c r="P533" t="s">
        <v>285</v>
      </c>
      <c r="Q533" t="s">
        <v>285</v>
      </c>
      <c r="R533" t="s">
        <v>285</v>
      </c>
      <c r="S533" t="s">
        <v>285</v>
      </c>
      <c r="T533" t="s">
        <v>285</v>
      </c>
      <c r="U533" t="s">
        <v>285</v>
      </c>
      <c r="V533" t="s">
        <v>285</v>
      </c>
      <c r="W533" t="s">
        <v>285</v>
      </c>
      <c r="X533" t="s">
        <v>285</v>
      </c>
      <c r="Y533" t="s">
        <v>285</v>
      </c>
      <c r="Z533" t="s">
        <v>285</v>
      </c>
      <c r="AA533">
        <v>0.106</v>
      </c>
      <c r="AB533">
        <v>0.109</v>
      </c>
      <c r="AC533">
        <v>0.108</v>
      </c>
      <c r="AD533">
        <v>0.111</v>
      </c>
      <c r="AE533">
        <v>0.115</v>
      </c>
      <c r="AF533">
        <v>0.125</v>
      </c>
      <c r="AG533">
        <v>0.127</v>
      </c>
      <c r="AH533">
        <v>0.13100000000000001</v>
      </c>
      <c r="AI533">
        <v>0.13800000000000001</v>
      </c>
      <c r="AJ533">
        <v>0.14399999999999999</v>
      </c>
      <c r="AK533">
        <v>0.15</v>
      </c>
      <c r="AL533">
        <v>0.153</v>
      </c>
      <c r="AM533">
        <v>0.152</v>
      </c>
      <c r="AN533">
        <v>0.16400000000000001</v>
      </c>
      <c r="AO533">
        <v>0.17299999999999999</v>
      </c>
      <c r="AP533">
        <v>0.184</v>
      </c>
      <c r="AQ533">
        <v>0.191</v>
      </c>
      <c r="AR533">
        <v>0.193</v>
      </c>
      <c r="AS533">
        <v>0.19500000000000001</v>
      </c>
      <c r="AT533">
        <v>0.20100000000000001</v>
      </c>
      <c r="AU533">
        <v>0.20799999999999999</v>
      </c>
      <c r="AV533">
        <v>0.215</v>
      </c>
      <c r="AW533">
        <v>0.222</v>
      </c>
      <c r="AX533">
        <v>0.22900000000000001</v>
      </c>
      <c r="AY533">
        <v>2013</v>
      </c>
    </row>
    <row r="534" spans="1:51" x14ac:dyDescent="0.25">
      <c r="A534">
        <v>867</v>
      </c>
      <c r="B534" t="s">
        <v>626</v>
      </c>
      <c r="C534" t="s">
        <v>289</v>
      </c>
      <c r="D534" t="s">
        <v>152</v>
      </c>
      <c r="E534" t="s">
        <v>287</v>
      </c>
      <c r="F534" t="s">
        <v>290</v>
      </c>
      <c r="G534" t="s">
        <v>291</v>
      </c>
      <c r="H534" t="s">
        <v>283</v>
      </c>
      <c r="I534" t="s">
        <v>292</v>
      </c>
      <c r="J534" t="s">
        <v>285</v>
      </c>
      <c r="K534" t="s">
        <v>285</v>
      </c>
      <c r="L534" t="s">
        <v>285</v>
      </c>
      <c r="M534" t="s">
        <v>285</v>
      </c>
      <c r="N534" t="s">
        <v>285</v>
      </c>
      <c r="O534" t="s">
        <v>285</v>
      </c>
      <c r="P534" t="s">
        <v>285</v>
      </c>
      <c r="Q534" t="s">
        <v>285</v>
      </c>
      <c r="R534" t="s">
        <v>285</v>
      </c>
      <c r="S534" t="s">
        <v>285</v>
      </c>
      <c r="T534" t="s">
        <v>285</v>
      </c>
      <c r="U534" t="s">
        <v>285</v>
      </c>
      <c r="V534" t="s">
        <v>285</v>
      </c>
      <c r="W534" t="s">
        <v>285</v>
      </c>
      <c r="X534" t="s">
        <v>285</v>
      </c>
      <c r="Y534" t="s">
        <v>285</v>
      </c>
      <c r="Z534" t="s">
        <v>285</v>
      </c>
      <c r="AA534">
        <v>0.106</v>
      </c>
      <c r="AB534">
        <v>0.109</v>
      </c>
      <c r="AC534">
        <v>0.108</v>
      </c>
      <c r="AD534">
        <v>0.111</v>
      </c>
      <c r="AE534">
        <v>0.115</v>
      </c>
      <c r="AF534">
        <v>0.125</v>
      </c>
      <c r="AG534">
        <v>0.127</v>
      </c>
      <c r="AH534">
        <v>0.13100000000000001</v>
      </c>
      <c r="AI534">
        <v>0.13800000000000001</v>
      </c>
      <c r="AJ534">
        <v>0.14399999999999999</v>
      </c>
      <c r="AK534">
        <v>0.15</v>
      </c>
      <c r="AL534">
        <v>0.153</v>
      </c>
      <c r="AM534">
        <v>0.152</v>
      </c>
      <c r="AN534">
        <v>0.16400000000000001</v>
      </c>
      <c r="AO534">
        <v>0.17299999999999999</v>
      </c>
      <c r="AP534">
        <v>0.184</v>
      </c>
      <c r="AQ534">
        <v>0.191</v>
      </c>
      <c r="AR534">
        <v>0.193</v>
      </c>
      <c r="AS534">
        <v>0.19500000000000001</v>
      </c>
      <c r="AT534">
        <v>0.20100000000000001</v>
      </c>
      <c r="AU534">
        <v>0.20799999999999999</v>
      </c>
      <c r="AV534">
        <v>0.215</v>
      </c>
      <c r="AW534">
        <v>0.222</v>
      </c>
      <c r="AX534">
        <v>0.22900000000000001</v>
      </c>
      <c r="AY534">
        <v>2013</v>
      </c>
    </row>
    <row r="535" spans="1:51" x14ac:dyDescent="0.25">
      <c r="A535">
        <v>867</v>
      </c>
      <c r="B535" t="s">
        <v>626</v>
      </c>
      <c r="C535" t="s">
        <v>293</v>
      </c>
      <c r="D535" t="s">
        <v>152</v>
      </c>
      <c r="E535" t="s">
        <v>294</v>
      </c>
      <c r="F535" t="s">
        <v>295</v>
      </c>
      <c r="G535" t="s">
        <v>296</v>
      </c>
      <c r="I535" t="s">
        <v>297</v>
      </c>
      <c r="J535" t="s">
        <v>285</v>
      </c>
      <c r="K535" t="s">
        <v>285</v>
      </c>
      <c r="L535" t="s">
        <v>285</v>
      </c>
      <c r="M535" t="s">
        <v>285</v>
      </c>
      <c r="N535" t="s">
        <v>285</v>
      </c>
      <c r="O535" t="s">
        <v>285</v>
      </c>
      <c r="P535" t="s">
        <v>285</v>
      </c>
      <c r="Q535" t="s">
        <v>285</v>
      </c>
      <c r="R535" t="s">
        <v>285</v>
      </c>
      <c r="S535" t="s">
        <v>285</v>
      </c>
      <c r="T535" t="s">
        <v>285</v>
      </c>
      <c r="U535" t="s">
        <v>285</v>
      </c>
      <c r="V535" t="s">
        <v>285</v>
      </c>
      <c r="W535" t="s">
        <v>285</v>
      </c>
      <c r="X535" t="s">
        <v>285</v>
      </c>
      <c r="Y535" t="s">
        <v>285</v>
      </c>
      <c r="Z535" t="s">
        <v>285</v>
      </c>
      <c r="AA535">
        <v>88.094999999999999</v>
      </c>
      <c r="AB535">
        <v>92.757999999999996</v>
      </c>
      <c r="AC535">
        <v>94.384</v>
      </c>
      <c r="AD535">
        <v>91.588999999999999</v>
      </c>
      <c r="AE535">
        <v>90.215999999999994</v>
      </c>
      <c r="AF535">
        <v>95.245999999999995</v>
      </c>
      <c r="AG535">
        <v>96.724000000000004</v>
      </c>
      <c r="AH535">
        <v>100</v>
      </c>
      <c r="AI535">
        <v>102.251</v>
      </c>
      <c r="AJ535">
        <v>104.598</v>
      </c>
      <c r="AK535">
        <v>105.303</v>
      </c>
      <c r="AL535">
        <v>109.455</v>
      </c>
      <c r="AM535">
        <v>110.81100000000001</v>
      </c>
      <c r="AN535">
        <v>112.496</v>
      </c>
      <c r="AO535">
        <v>118.672</v>
      </c>
      <c r="AP535">
        <v>120.792</v>
      </c>
      <c r="AQ535">
        <v>121.687</v>
      </c>
      <c r="AR535">
        <v>121.871</v>
      </c>
      <c r="AS535">
        <v>121.369</v>
      </c>
      <c r="AT535">
        <v>122.203</v>
      </c>
      <c r="AU535">
        <v>124.38500000000001</v>
      </c>
      <c r="AV535">
        <v>126.464</v>
      </c>
      <c r="AW535">
        <v>128.494</v>
      </c>
      <c r="AX535">
        <v>130.55699999999999</v>
      </c>
      <c r="AY535">
        <v>2013</v>
      </c>
    </row>
    <row r="536" spans="1:51" x14ac:dyDescent="0.25">
      <c r="A536">
        <v>867</v>
      </c>
      <c r="B536" t="s">
        <v>626</v>
      </c>
      <c r="C536" t="s">
        <v>298</v>
      </c>
      <c r="D536" t="s">
        <v>152</v>
      </c>
      <c r="E536" t="s">
        <v>299</v>
      </c>
      <c r="F536" t="s">
        <v>300</v>
      </c>
      <c r="G536" t="s">
        <v>282</v>
      </c>
      <c r="H536" t="s">
        <v>283</v>
      </c>
      <c r="I536" t="s">
        <v>628</v>
      </c>
      <c r="J536" t="s">
        <v>285</v>
      </c>
      <c r="K536" t="s">
        <v>285</v>
      </c>
      <c r="L536" t="s">
        <v>285</v>
      </c>
      <c r="M536" t="s">
        <v>285</v>
      </c>
      <c r="N536" t="s">
        <v>285</v>
      </c>
      <c r="O536" t="s">
        <v>285</v>
      </c>
      <c r="P536" t="s">
        <v>285</v>
      </c>
      <c r="Q536" t="s">
        <v>285</v>
      </c>
      <c r="R536" t="s">
        <v>285</v>
      </c>
      <c r="S536" t="s">
        <v>285</v>
      </c>
      <c r="T536" t="s">
        <v>285</v>
      </c>
      <c r="U536" t="s">
        <v>285</v>
      </c>
      <c r="V536" t="s">
        <v>285</v>
      </c>
      <c r="W536" t="s">
        <v>285</v>
      </c>
      <c r="X536" t="s">
        <v>285</v>
      </c>
      <c r="Y536">
        <v>0.1</v>
      </c>
      <c r="Z536">
        <v>0.06</v>
      </c>
      <c r="AA536">
        <v>0.06</v>
      </c>
      <c r="AB536">
        <v>5.7000000000000002E-2</v>
      </c>
      <c r="AC536">
        <v>5.5E-2</v>
      </c>
      <c r="AD536">
        <v>6.5000000000000002E-2</v>
      </c>
      <c r="AE536">
        <v>7.1999999999999995E-2</v>
      </c>
      <c r="AF536">
        <v>7.2999999999999995E-2</v>
      </c>
      <c r="AG536">
        <v>6.9000000000000006E-2</v>
      </c>
      <c r="AH536">
        <v>7.1999999999999995E-2</v>
      </c>
      <c r="AI536">
        <v>0.11799999999999999</v>
      </c>
      <c r="AJ536">
        <v>8.7999999999999995E-2</v>
      </c>
      <c r="AK536">
        <v>0.10100000000000001</v>
      </c>
      <c r="AL536">
        <v>9.4E-2</v>
      </c>
      <c r="AM536">
        <v>9.5000000000000001E-2</v>
      </c>
      <c r="AN536">
        <v>9.5000000000000001E-2</v>
      </c>
      <c r="AO536">
        <v>9.6000000000000002E-2</v>
      </c>
      <c r="AP536">
        <v>9.6000000000000002E-2</v>
      </c>
      <c r="AQ536">
        <v>0.10199999999999999</v>
      </c>
      <c r="AR536">
        <v>0.106</v>
      </c>
      <c r="AS536">
        <v>0.12</v>
      </c>
      <c r="AT536">
        <v>0.126</v>
      </c>
      <c r="AU536">
        <v>0.128</v>
      </c>
      <c r="AV536">
        <v>0.127</v>
      </c>
      <c r="AW536">
        <v>0.129</v>
      </c>
      <c r="AX536">
        <v>0.13200000000000001</v>
      </c>
      <c r="AY536">
        <v>2013</v>
      </c>
    </row>
    <row r="537" spans="1:51" x14ac:dyDescent="0.25">
      <c r="A537">
        <v>682</v>
      </c>
      <c r="B537" t="s">
        <v>629</v>
      </c>
      <c r="C537" t="s">
        <v>279</v>
      </c>
      <c r="D537" t="s">
        <v>153</v>
      </c>
      <c r="E537" t="s">
        <v>280</v>
      </c>
      <c r="F537" t="s">
        <v>281</v>
      </c>
      <c r="G537" t="s">
        <v>282</v>
      </c>
      <c r="H537" t="s">
        <v>283</v>
      </c>
      <c r="I537" t="s">
        <v>630</v>
      </c>
      <c r="J537" t="s">
        <v>285</v>
      </c>
      <c r="K537" t="s">
        <v>285</v>
      </c>
      <c r="L537" t="s">
        <v>285</v>
      </c>
      <c r="M537" t="s">
        <v>285</v>
      </c>
      <c r="N537" t="s">
        <v>285</v>
      </c>
      <c r="O537" t="s">
        <v>285</v>
      </c>
      <c r="P537" t="s">
        <v>285</v>
      </c>
      <c r="Q537" t="s">
        <v>285</v>
      </c>
      <c r="R537" t="s">
        <v>285</v>
      </c>
      <c r="S537" t="s">
        <v>285</v>
      </c>
      <c r="T537">
        <v>328.84399999999999</v>
      </c>
      <c r="U537">
        <v>328.84399999999999</v>
      </c>
      <c r="V537">
        <v>334.67</v>
      </c>
      <c r="W537">
        <v>354.327</v>
      </c>
      <c r="X537">
        <v>343.48200000000003</v>
      </c>
      <c r="Y537">
        <v>377.21199999999999</v>
      </c>
      <c r="Z537">
        <v>399.161</v>
      </c>
      <c r="AA537">
        <v>383.01600000000002</v>
      </c>
      <c r="AB537">
        <v>393.65600000000001</v>
      </c>
      <c r="AC537">
        <v>424.01799999999997</v>
      </c>
      <c r="AD537">
        <v>422.19299999999998</v>
      </c>
      <c r="AE537">
        <v>430.67399999999998</v>
      </c>
      <c r="AF537">
        <v>433.53699999999998</v>
      </c>
      <c r="AG537">
        <v>459.45699999999999</v>
      </c>
      <c r="AH537">
        <v>485.863</v>
      </c>
      <c r="AI537">
        <v>529.44200000000001</v>
      </c>
      <c r="AJ537">
        <v>629.34299999999996</v>
      </c>
      <c r="AK537">
        <v>647.077</v>
      </c>
      <c r="AL537">
        <v>654.06500000000005</v>
      </c>
      <c r="AM537">
        <v>647.24900000000002</v>
      </c>
      <c r="AN537">
        <v>678.14700000000005</v>
      </c>
      <c r="AO537">
        <v>707.88699999999994</v>
      </c>
      <c r="AP537">
        <v>750.14</v>
      </c>
      <c r="AQ537">
        <v>791.16300000000001</v>
      </c>
      <c r="AR537">
        <v>845.61199999999997</v>
      </c>
      <c r="AS537">
        <v>880.54899999999998</v>
      </c>
      <c r="AT537">
        <v>936.71199999999999</v>
      </c>
      <c r="AU537">
        <v>986.12400000000002</v>
      </c>
      <c r="AV537" s="21">
        <v>1029.396</v>
      </c>
      <c r="AW537" s="21">
        <v>1080.2</v>
      </c>
      <c r="AX537" s="21">
        <v>1123.675</v>
      </c>
      <c r="AY537">
        <v>2014</v>
      </c>
    </row>
    <row r="538" spans="1:51" x14ac:dyDescent="0.25">
      <c r="A538">
        <v>682</v>
      </c>
      <c r="B538" t="s">
        <v>629</v>
      </c>
      <c r="C538" t="s">
        <v>286</v>
      </c>
      <c r="D538" t="s">
        <v>153</v>
      </c>
      <c r="E538" t="s">
        <v>287</v>
      </c>
      <c r="F538" t="s">
        <v>288</v>
      </c>
      <c r="G538" t="s">
        <v>282</v>
      </c>
      <c r="H538" t="s">
        <v>283</v>
      </c>
      <c r="I538" t="s">
        <v>630</v>
      </c>
      <c r="J538" t="s">
        <v>285</v>
      </c>
      <c r="K538" t="s">
        <v>285</v>
      </c>
      <c r="L538" t="s">
        <v>285</v>
      </c>
      <c r="M538" t="s">
        <v>285</v>
      </c>
      <c r="N538" t="s">
        <v>285</v>
      </c>
      <c r="O538" t="s">
        <v>285</v>
      </c>
      <c r="P538" t="s">
        <v>285</v>
      </c>
      <c r="Q538" t="s">
        <v>285</v>
      </c>
      <c r="R538" t="s">
        <v>285</v>
      </c>
      <c r="S538" t="s">
        <v>285</v>
      </c>
      <c r="T538">
        <v>97.819000000000003</v>
      </c>
      <c r="U538">
        <v>113.919</v>
      </c>
      <c r="V538">
        <v>127.44199999999999</v>
      </c>
      <c r="W538">
        <v>151.001</v>
      </c>
      <c r="X538">
        <v>162.61600000000001</v>
      </c>
      <c r="Y538">
        <v>183.66</v>
      </c>
      <c r="Z538">
        <v>197.95599999999999</v>
      </c>
      <c r="AA538">
        <v>212.89</v>
      </c>
      <c r="AB538">
        <v>259.17599999999999</v>
      </c>
      <c r="AC538">
        <v>294.50599999999997</v>
      </c>
      <c r="AD538">
        <v>309.084</v>
      </c>
      <c r="AE538">
        <v>331.178</v>
      </c>
      <c r="AF538">
        <v>359.89800000000002</v>
      </c>
      <c r="AG538">
        <v>411.13600000000002</v>
      </c>
      <c r="AH538">
        <v>485.863</v>
      </c>
      <c r="AI538">
        <v>580.03200000000004</v>
      </c>
      <c r="AJ538">
        <v>816.73699999999997</v>
      </c>
      <c r="AK538">
        <v>868.01300000000003</v>
      </c>
      <c r="AL538">
        <v>960.20899999999995</v>
      </c>
      <c r="AM538">
        <v>960.85799999999995</v>
      </c>
      <c r="AN538" s="21">
        <v>1196.771</v>
      </c>
      <c r="AO538" s="21">
        <v>1440.1969999999999</v>
      </c>
      <c r="AP538" s="21">
        <v>1437.173</v>
      </c>
      <c r="AQ538" s="21">
        <v>1529.479</v>
      </c>
      <c r="AR538" s="21">
        <v>1532.7149999999999</v>
      </c>
      <c r="AS538" s="21">
        <v>1518.4090000000001</v>
      </c>
      <c r="AT538" s="21">
        <v>1588.4749999999999</v>
      </c>
      <c r="AU538" s="21">
        <v>1735.472</v>
      </c>
      <c r="AV538" s="21">
        <v>1902.2829999999999</v>
      </c>
      <c r="AW538" s="21">
        <v>2088.0369999999998</v>
      </c>
      <c r="AX538" s="21">
        <v>2264.6529999999998</v>
      </c>
      <c r="AY538">
        <v>2014</v>
      </c>
    </row>
    <row r="539" spans="1:51" x14ac:dyDescent="0.25">
      <c r="A539">
        <v>682</v>
      </c>
      <c r="B539" t="s">
        <v>629</v>
      </c>
      <c r="C539" t="s">
        <v>289</v>
      </c>
      <c r="D539" t="s">
        <v>153</v>
      </c>
      <c r="E539" t="s">
        <v>287</v>
      </c>
      <c r="F539" t="s">
        <v>290</v>
      </c>
      <c r="G539" t="s">
        <v>291</v>
      </c>
      <c r="H539" t="s">
        <v>283</v>
      </c>
      <c r="I539" t="s">
        <v>292</v>
      </c>
      <c r="J539" t="s">
        <v>285</v>
      </c>
      <c r="K539" t="s">
        <v>285</v>
      </c>
      <c r="L539" t="s">
        <v>285</v>
      </c>
      <c r="M539" t="s">
        <v>285</v>
      </c>
      <c r="N539" t="s">
        <v>285</v>
      </c>
      <c r="O539" t="s">
        <v>285</v>
      </c>
      <c r="P539" t="s">
        <v>285</v>
      </c>
      <c r="Q539" t="s">
        <v>285</v>
      </c>
      <c r="R539" t="s">
        <v>285</v>
      </c>
      <c r="S539" t="s">
        <v>285</v>
      </c>
      <c r="T539">
        <v>1.2130000000000001</v>
      </c>
      <c r="U539">
        <v>1.39</v>
      </c>
      <c r="V539">
        <v>1.464</v>
      </c>
      <c r="W539">
        <v>1.25</v>
      </c>
      <c r="X539">
        <v>1.3160000000000001</v>
      </c>
      <c r="Y539">
        <v>1.415</v>
      </c>
      <c r="Z539">
        <v>1.4430000000000001</v>
      </c>
      <c r="AA539">
        <v>1.4019999999999999</v>
      </c>
      <c r="AB539">
        <v>1.371</v>
      </c>
      <c r="AC539">
        <v>1.4059999999999999</v>
      </c>
      <c r="AD539">
        <v>1.294</v>
      </c>
      <c r="AE539">
        <v>1.296</v>
      </c>
      <c r="AF539">
        <v>1.3240000000000001</v>
      </c>
      <c r="AG539">
        <v>1.5629999999999999</v>
      </c>
      <c r="AH539">
        <v>1.831</v>
      </c>
      <c r="AI539">
        <v>2.1840000000000002</v>
      </c>
      <c r="AJ539">
        <v>3.11</v>
      </c>
      <c r="AK539">
        <v>3.343</v>
      </c>
      <c r="AL539">
        <v>3.9780000000000002</v>
      </c>
      <c r="AM539">
        <v>3.6709999999999998</v>
      </c>
      <c r="AN539">
        <v>4.3440000000000003</v>
      </c>
      <c r="AO539">
        <v>5.1360000000000001</v>
      </c>
      <c r="AP539">
        <v>4.84</v>
      </c>
      <c r="AQ539">
        <v>5.1630000000000003</v>
      </c>
      <c r="AR539">
        <v>5.0810000000000004</v>
      </c>
      <c r="AS539">
        <v>4.6769999999999996</v>
      </c>
      <c r="AT539">
        <v>4.7939999999999996</v>
      </c>
      <c r="AU539">
        <v>5.1379999999999999</v>
      </c>
      <c r="AV539">
        <v>5.5140000000000002</v>
      </c>
      <c r="AW539">
        <v>5.9249999999999998</v>
      </c>
      <c r="AX539">
        <v>6.2910000000000004</v>
      </c>
      <c r="AY539">
        <v>2014</v>
      </c>
    </row>
    <row r="540" spans="1:51" x14ac:dyDescent="0.25">
      <c r="A540">
        <v>682</v>
      </c>
      <c r="B540" t="s">
        <v>629</v>
      </c>
      <c r="C540" t="s">
        <v>293</v>
      </c>
      <c r="D540" t="s">
        <v>153</v>
      </c>
      <c r="E540" t="s">
        <v>294</v>
      </c>
      <c r="F540" t="s">
        <v>295</v>
      </c>
      <c r="G540" t="s">
        <v>296</v>
      </c>
      <c r="I540" t="s">
        <v>297</v>
      </c>
      <c r="J540" t="s">
        <v>285</v>
      </c>
      <c r="K540" t="s">
        <v>285</v>
      </c>
      <c r="L540" t="s">
        <v>285</v>
      </c>
      <c r="M540" t="s">
        <v>285</v>
      </c>
      <c r="N540" t="s">
        <v>285</v>
      </c>
      <c r="O540" t="s">
        <v>285</v>
      </c>
      <c r="P540" t="s">
        <v>285</v>
      </c>
      <c r="Q540" t="s">
        <v>285</v>
      </c>
      <c r="R540" t="s">
        <v>285</v>
      </c>
      <c r="S540" t="s">
        <v>285</v>
      </c>
      <c r="T540">
        <v>29.745999999999999</v>
      </c>
      <c r="U540">
        <v>34.642000000000003</v>
      </c>
      <c r="V540">
        <v>38.08</v>
      </c>
      <c r="W540">
        <v>42.616</v>
      </c>
      <c r="X540">
        <v>47.343000000000004</v>
      </c>
      <c r="Y540">
        <v>48.689</v>
      </c>
      <c r="Z540">
        <v>49.593000000000004</v>
      </c>
      <c r="AA540">
        <v>55.582999999999998</v>
      </c>
      <c r="AB540">
        <v>65.837999999999994</v>
      </c>
      <c r="AC540">
        <v>69.456000000000003</v>
      </c>
      <c r="AD540">
        <v>73.209000000000003</v>
      </c>
      <c r="AE540">
        <v>76.897999999999996</v>
      </c>
      <c r="AF540">
        <v>83.013999999999996</v>
      </c>
      <c r="AG540">
        <v>89.483000000000004</v>
      </c>
      <c r="AH540">
        <v>100</v>
      </c>
      <c r="AI540">
        <v>109.55500000000001</v>
      </c>
      <c r="AJ540">
        <v>129.77600000000001</v>
      </c>
      <c r="AK540">
        <v>134.14400000000001</v>
      </c>
      <c r="AL540">
        <v>146.80600000000001</v>
      </c>
      <c r="AM540">
        <v>148.453</v>
      </c>
      <c r="AN540">
        <v>176.477</v>
      </c>
      <c r="AO540">
        <v>203.45</v>
      </c>
      <c r="AP540">
        <v>191.58699999999999</v>
      </c>
      <c r="AQ540">
        <v>193.32</v>
      </c>
      <c r="AR540">
        <v>181.255</v>
      </c>
      <c r="AS540">
        <v>172.43899999999999</v>
      </c>
      <c r="AT540">
        <v>169.58</v>
      </c>
      <c r="AU540">
        <v>175.989</v>
      </c>
      <c r="AV540">
        <v>184.79599999999999</v>
      </c>
      <c r="AW540">
        <v>193.30099999999999</v>
      </c>
      <c r="AX540">
        <v>201.54</v>
      </c>
      <c r="AY540">
        <v>2014</v>
      </c>
    </row>
    <row r="541" spans="1:51" x14ac:dyDescent="0.25">
      <c r="A541">
        <v>682</v>
      </c>
      <c r="B541" t="s">
        <v>629</v>
      </c>
      <c r="C541" t="s">
        <v>298</v>
      </c>
      <c r="D541" t="s">
        <v>153</v>
      </c>
      <c r="E541" t="s">
        <v>299</v>
      </c>
      <c r="F541" t="s">
        <v>300</v>
      </c>
      <c r="G541" t="s">
        <v>282</v>
      </c>
      <c r="H541" t="s">
        <v>283</v>
      </c>
      <c r="I541" t="s">
        <v>631</v>
      </c>
      <c r="J541" t="s">
        <v>285</v>
      </c>
      <c r="K541" t="s">
        <v>285</v>
      </c>
      <c r="L541" t="s">
        <v>285</v>
      </c>
      <c r="M541" t="s">
        <v>285</v>
      </c>
      <c r="N541" t="s">
        <v>285</v>
      </c>
      <c r="O541" t="s">
        <v>285</v>
      </c>
      <c r="P541" t="s">
        <v>285</v>
      </c>
      <c r="Q541" t="s">
        <v>285</v>
      </c>
      <c r="R541" t="s">
        <v>285</v>
      </c>
      <c r="S541" t="s">
        <v>285</v>
      </c>
      <c r="T541" t="s">
        <v>285</v>
      </c>
      <c r="U541" t="s">
        <v>285</v>
      </c>
      <c r="V541" t="s">
        <v>285</v>
      </c>
      <c r="W541" t="s">
        <v>285</v>
      </c>
      <c r="X541" t="s">
        <v>285</v>
      </c>
      <c r="Y541" t="s">
        <v>285</v>
      </c>
      <c r="Z541" t="s">
        <v>285</v>
      </c>
      <c r="AA541" t="s">
        <v>285</v>
      </c>
      <c r="AB541" t="s">
        <v>285</v>
      </c>
      <c r="AC541" t="s">
        <v>285</v>
      </c>
      <c r="AD541" t="s">
        <v>285</v>
      </c>
      <c r="AE541" t="s">
        <v>285</v>
      </c>
      <c r="AF541" t="s">
        <v>285</v>
      </c>
      <c r="AG541" t="s">
        <v>285</v>
      </c>
      <c r="AH541">
        <v>149.56899999999999</v>
      </c>
      <c r="AI541">
        <v>166.25</v>
      </c>
      <c r="AJ541">
        <v>199.98599999999999</v>
      </c>
      <c r="AK541">
        <v>220.941</v>
      </c>
      <c r="AL541">
        <v>245.739</v>
      </c>
      <c r="AM541">
        <v>227.982</v>
      </c>
      <c r="AN541">
        <v>269.005</v>
      </c>
      <c r="AO541">
        <v>323.97199999999998</v>
      </c>
      <c r="AP541">
        <v>429.95600000000002</v>
      </c>
      <c r="AQ541">
        <v>436.74200000000002</v>
      </c>
      <c r="AR541">
        <v>479.10399999999998</v>
      </c>
      <c r="AS541">
        <v>472.52300000000002</v>
      </c>
      <c r="AT541">
        <v>498.81599999999997</v>
      </c>
      <c r="AU541">
        <v>532.34100000000001</v>
      </c>
      <c r="AV541">
        <v>572.029</v>
      </c>
      <c r="AW541">
        <v>616.93700000000001</v>
      </c>
      <c r="AX541">
        <v>654.63499999999999</v>
      </c>
      <c r="AY541">
        <v>2014</v>
      </c>
    </row>
    <row r="542" spans="1:51" x14ac:dyDescent="0.25">
      <c r="A542">
        <v>684</v>
      </c>
      <c r="B542" t="s">
        <v>632</v>
      </c>
      <c r="C542" t="s">
        <v>279</v>
      </c>
      <c r="D542" t="s">
        <v>154</v>
      </c>
      <c r="E542" t="s">
        <v>280</v>
      </c>
      <c r="F542" t="s">
        <v>281</v>
      </c>
      <c r="G542" t="s">
        <v>282</v>
      </c>
      <c r="H542" t="s">
        <v>283</v>
      </c>
      <c r="I542" t="s">
        <v>633</v>
      </c>
      <c r="J542">
        <v>57.334000000000003</v>
      </c>
      <c r="K542">
        <v>60.707000000000001</v>
      </c>
      <c r="L542">
        <v>64.043999999999997</v>
      </c>
      <c r="M542">
        <v>64.289000000000001</v>
      </c>
      <c r="N542">
        <v>67.358999999999995</v>
      </c>
      <c r="O542">
        <v>71.991</v>
      </c>
      <c r="P542">
        <v>79.004999999999995</v>
      </c>
      <c r="Q542">
        <v>87.034000000000006</v>
      </c>
      <c r="R542">
        <v>92.944999999999993</v>
      </c>
      <c r="S542">
        <v>97.094999999999999</v>
      </c>
      <c r="T542">
        <v>104.07299999999999</v>
      </c>
      <c r="U542">
        <v>108.68899999999999</v>
      </c>
      <c r="V542">
        <v>115.767</v>
      </c>
      <c r="W542">
        <v>121.651</v>
      </c>
      <c r="X542">
        <v>126.682</v>
      </c>
      <c r="Y542">
        <v>132.114</v>
      </c>
      <c r="Z542">
        <v>139.49700000000001</v>
      </c>
      <c r="AA542">
        <v>147.43</v>
      </c>
      <c r="AB542">
        <v>156.38200000000001</v>
      </c>
      <c r="AC542">
        <v>160.465</v>
      </c>
      <c r="AD542">
        <v>173.61099999999999</v>
      </c>
      <c r="AE542">
        <v>179.191</v>
      </c>
      <c r="AF542">
        <v>182.10599999999999</v>
      </c>
      <c r="AG542">
        <v>193.00399999999999</v>
      </c>
      <c r="AH542">
        <v>201.30199999999999</v>
      </c>
      <c r="AI542">
        <v>204.226</v>
      </c>
      <c r="AJ542">
        <v>213.44399999999999</v>
      </c>
      <c r="AK542">
        <v>226.017</v>
      </c>
      <c r="AL542">
        <v>238.47300000000001</v>
      </c>
      <c r="AM542">
        <v>245.744</v>
      </c>
      <c r="AN542">
        <v>255.82</v>
      </c>
      <c r="AO542">
        <v>265.762</v>
      </c>
      <c r="AP542">
        <v>274.34300000000002</v>
      </c>
      <c r="AQ542">
        <v>283.08300000000003</v>
      </c>
      <c r="AR542">
        <v>293.32299999999998</v>
      </c>
      <c r="AS542">
        <v>302.58800000000002</v>
      </c>
      <c r="AT542">
        <v>314.01299999999998</v>
      </c>
      <c r="AU542">
        <v>325.18799999999999</v>
      </c>
      <c r="AV542">
        <v>336.92899999999997</v>
      </c>
      <c r="AW542">
        <v>349.13099999999997</v>
      </c>
      <c r="AX542">
        <v>361.738</v>
      </c>
      <c r="AY542">
        <v>2014</v>
      </c>
    </row>
    <row r="543" spans="1:51" x14ac:dyDescent="0.25">
      <c r="A543">
        <v>684</v>
      </c>
      <c r="B543" t="s">
        <v>632</v>
      </c>
      <c r="C543" t="s">
        <v>286</v>
      </c>
      <c r="D543" t="s">
        <v>154</v>
      </c>
      <c r="E543" t="s">
        <v>287</v>
      </c>
      <c r="F543" t="s">
        <v>288</v>
      </c>
      <c r="G543" t="s">
        <v>282</v>
      </c>
      <c r="H543" t="s">
        <v>283</v>
      </c>
      <c r="I543" t="s">
        <v>633</v>
      </c>
      <c r="J543">
        <v>9.0150000000000006</v>
      </c>
      <c r="K543">
        <v>9.9570000000000007</v>
      </c>
      <c r="L543">
        <v>11.62</v>
      </c>
      <c r="M543">
        <v>13.247999999999999</v>
      </c>
      <c r="N543">
        <v>14.452999999999999</v>
      </c>
      <c r="O543">
        <v>16.378</v>
      </c>
      <c r="P543">
        <v>19.215</v>
      </c>
      <c r="Q543">
        <v>23.352</v>
      </c>
      <c r="R543">
        <v>28.254999999999999</v>
      </c>
      <c r="S543">
        <v>32.948999999999998</v>
      </c>
      <c r="T543">
        <v>38.521000000000001</v>
      </c>
      <c r="U543">
        <v>44.627000000000002</v>
      </c>
      <c r="V543">
        <v>49.968000000000004</v>
      </c>
      <c r="W543">
        <v>58.402000000000001</v>
      </c>
      <c r="X543">
        <v>65.968000000000004</v>
      </c>
      <c r="Y543">
        <v>72.933000000000007</v>
      </c>
      <c r="Z543">
        <v>77.841999999999999</v>
      </c>
      <c r="AA543">
        <v>85.765000000000001</v>
      </c>
      <c r="AB543">
        <v>98.706999999999994</v>
      </c>
      <c r="AC543">
        <v>109.4</v>
      </c>
      <c r="AD543">
        <v>122.41</v>
      </c>
      <c r="AE543">
        <v>134.392</v>
      </c>
      <c r="AF543">
        <v>145.05500000000001</v>
      </c>
      <c r="AG543">
        <v>162.29</v>
      </c>
      <c r="AH543">
        <v>180.90799999999999</v>
      </c>
      <c r="AI543">
        <v>191.393</v>
      </c>
      <c r="AJ543">
        <v>213.44399999999999</v>
      </c>
      <c r="AK543">
        <v>243.99799999999999</v>
      </c>
      <c r="AL543">
        <v>274.31599999999997</v>
      </c>
      <c r="AM543">
        <v>282.35399999999998</v>
      </c>
      <c r="AN543">
        <v>299.17</v>
      </c>
      <c r="AO543">
        <v>323.01100000000002</v>
      </c>
      <c r="AP543">
        <v>343.81299999999999</v>
      </c>
      <c r="AQ543">
        <v>366.19499999999999</v>
      </c>
      <c r="AR543">
        <v>386.05900000000003</v>
      </c>
      <c r="AS543">
        <v>405.29199999999997</v>
      </c>
      <c r="AT543">
        <v>433.26299999999998</v>
      </c>
      <c r="AU543">
        <v>462.197</v>
      </c>
      <c r="AV543">
        <v>493.30900000000003</v>
      </c>
      <c r="AW543">
        <v>526.57100000000003</v>
      </c>
      <c r="AX543">
        <v>562.01900000000001</v>
      </c>
      <c r="AY543">
        <v>2014</v>
      </c>
    </row>
    <row r="544" spans="1:51" x14ac:dyDescent="0.25">
      <c r="A544">
        <v>684</v>
      </c>
      <c r="B544" t="s">
        <v>632</v>
      </c>
      <c r="C544" t="s">
        <v>289</v>
      </c>
      <c r="D544" t="s">
        <v>154</v>
      </c>
      <c r="E544" t="s">
        <v>287</v>
      </c>
      <c r="F544" t="s">
        <v>290</v>
      </c>
      <c r="G544" t="s">
        <v>291</v>
      </c>
      <c r="H544" t="s">
        <v>283</v>
      </c>
      <c r="I544" t="s">
        <v>292</v>
      </c>
      <c r="J544">
        <v>1.262</v>
      </c>
      <c r="K544">
        <v>1.25</v>
      </c>
      <c r="L544">
        <v>1.147</v>
      </c>
      <c r="M544">
        <v>1.1870000000000001</v>
      </c>
      <c r="N544">
        <v>1.149</v>
      </c>
      <c r="O544">
        <v>1.0680000000000001</v>
      </c>
      <c r="P544">
        <v>1.3460000000000001</v>
      </c>
      <c r="Q544">
        <v>1.798</v>
      </c>
      <c r="R544">
        <v>2.181</v>
      </c>
      <c r="S544">
        <v>2.2799999999999998</v>
      </c>
      <c r="T544">
        <v>2.508</v>
      </c>
      <c r="U544">
        <v>2.99</v>
      </c>
      <c r="V544">
        <v>3.1539999999999999</v>
      </c>
      <c r="W544">
        <v>3.5840000000000001</v>
      </c>
      <c r="X544">
        <v>3.6150000000000002</v>
      </c>
      <c r="Y544">
        <v>4.18</v>
      </c>
      <c r="Z544">
        <v>4.3879999999999999</v>
      </c>
      <c r="AA544">
        <v>4.4909999999999997</v>
      </c>
      <c r="AB544">
        <v>4.3689999999999998</v>
      </c>
      <c r="AC544">
        <v>4.4080000000000004</v>
      </c>
      <c r="AD544">
        <v>4.6630000000000003</v>
      </c>
      <c r="AE544">
        <v>4.6139999999999999</v>
      </c>
      <c r="AF544">
        <v>4.9420000000000002</v>
      </c>
      <c r="AG544">
        <v>6.0919999999999996</v>
      </c>
      <c r="AH544">
        <v>6.3890000000000002</v>
      </c>
      <c r="AI544">
        <v>6.2510000000000003</v>
      </c>
      <c r="AJ544">
        <v>6.258</v>
      </c>
      <c r="AK544">
        <v>8.4009999999999998</v>
      </c>
      <c r="AL544">
        <v>8.5470000000000006</v>
      </c>
      <c r="AM544">
        <v>9.6389999999999993</v>
      </c>
      <c r="AN544">
        <v>9.7949999999999999</v>
      </c>
      <c r="AO544">
        <v>11.035</v>
      </c>
      <c r="AP544">
        <v>11.218</v>
      </c>
      <c r="AQ544">
        <v>11.928000000000001</v>
      </c>
      <c r="AR544">
        <v>12.587999999999999</v>
      </c>
      <c r="AS544">
        <v>11.567</v>
      </c>
      <c r="AT544">
        <v>12.145</v>
      </c>
      <c r="AU544">
        <v>12.901999999999999</v>
      </c>
      <c r="AV544">
        <v>13.699</v>
      </c>
      <c r="AW544">
        <v>14.526</v>
      </c>
      <c r="AX544">
        <v>15.51</v>
      </c>
      <c r="AY544">
        <v>2014</v>
      </c>
    </row>
    <row r="545" spans="1:51" x14ac:dyDescent="0.25">
      <c r="A545">
        <v>684</v>
      </c>
      <c r="B545" t="s">
        <v>632</v>
      </c>
      <c r="C545" t="s">
        <v>293</v>
      </c>
      <c r="D545" t="s">
        <v>154</v>
      </c>
      <c r="E545" t="s">
        <v>294</v>
      </c>
      <c r="F545" t="s">
        <v>295</v>
      </c>
      <c r="G545" t="s">
        <v>296</v>
      </c>
      <c r="I545" t="s">
        <v>297</v>
      </c>
      <c r="J545">
        <v>15.724</v>
      </c>
      <c r="K545">
        <v>16.402000000000001</v>
      </c>
      <c r="L545">
        <v>18.145</v>
      </c>
      <c r="M545">
        <v>20.608000000000001</v>
      </c>
      <c r="N545">
        <v>21.456</v>
      </c>
      <c r="O545">
        <v>22.75</v>
      </c>
      <c r="P545">
        <v>24.321999999999999</v>
      </c>
      <c r="Q545">
        <v>26.831</v>
      </c>
      <c r="R545">
        <v>30.4</v>
      </c>
      <c r="S545">
        <v>33.935000000000002</v>
      </c>
      <c r="T545">
        <v>37.012999999999998</v>
      </c>
      <c r="U545">
        <v>41.06</v>
      </c>
      <c r="V545">
        <v>43.162999999999997</v>
      </c>
      <c r="W545">
        <v>48.008000000000003</v>
      </c>
      <c r="X545">
        <v>52.073999999999998</v>
      </c>
      <c r="Y545">
        <v>55.204000000000001</v>
      </c>
      <c r="Z545">
        <v>55.802</v>
      </c>
      <c r="AA545">
        <v>58.173000000000002</v>
      </c>
      <c r="AB545">
        <v>63.119</v>
      </c>
      <c r="AC545">
        <v>68.177000000000007</v>
      </c>
      <c r="AD545">
        <v>70.507999999999996</v>
      </c>
      <c r="AE545">
        <v>74.998999999999995</v>
      </c>
      <c r="AF545">
        <v>79.653999999999996</v>
      </c>
      <c r="AG545">
        <v>84.087000000000003</v>
      </c>
      <c r="AH545">
        <v>89.869</v>
      </c>
      <c r="AI545">
        <v>93.716999999999999</v>
      </c>
      <c r="AJ545">
        <v>100</v>
      </c>
      <c r="AK545">
        <v>107.956</v>
      </c>
      <c r="AL545">
        <v>115.03</v>
      </c>
      <c r="AM545">
        <v>114.898</v>
      </c>
      <c r="AN545">
        <v>116.946</v>
      </c>
      <c r="AO545">
        <v>121.541</v>
      </c>
      <c r="AP545">
        <v>125.322</v>
      </c>
      <c r="AQ545">
        <v>129.36000000000001</v>
      </c>
      <c r="AR545">
        <v>131.61600000000001</v>
      </c>
      <c r="AS545">
        <v>133.94200000000001</v>
      </c>
      <c r="AT545">
        <v>137.976</v>
      </c>
      <c r="AU545">
        <v>142.13200000000001</v>
      </c>
      <c r="AV545">
        <v>146.41300000000001</v>
      </c>
      <c r="AW545">
        <v>150.82300000000001</v>
      </c>
      <c r="AX545">
        <v>155.36600000000001</v>
      </c>
      <c r="AY545">
        <v>2014</v>
      </c>
    </row>
    <row r="546" spans="1:51" x14ac:dyDescent="0.25">
      <c r="A546">
        <v>684</v>
      </c>
      <c r="B546" t="s">
        <v>632</v>
      </c>
      <c r="C546" t="s">
        <v>298</v>
      </c>
      <c r="D546" t="s">
        <v>154</v>
      </c>
      <c r="E546" t="s">
        <v>299</v>
      </c>
      <c r="F546" t="s">
        <v>300</v>
      </c>
      <c r="G546" t="s">
        <v>282</v>
      </c>
      <c r="H546" t="s">
        <v>283</v>
      </c>
      <c r="I546" t="s">
        <v>634</v>
      </c>
      <c r="J546" t="s">
        <v>285</v>
      </c>
      <c r="K546" t="s">
        <v>285</v>
      </c>
      <c r="L546" t="s">
        <v>285</v>
      </c>
      <c r="M546" t="s">
        <v>285</v>
      </c>
      <c r="N546" t="s">
        <v>285</v>
      </c>
      <c r="O546" t="s">
        <v>285</v>
      </c>
      <c r="P546" t="s">
        <v>285</v>
      </c>
      <c r="Q546" t="s">
        <v>285</v>
      </c>
      <c r="R546" t="s">
        <v>285</v>
      </c>
      <c r="S546" t="s">
        <v>285</v>
      </c>
      <c r="T546">
        <v>9.423</v>
      </c>
      <c r="U546">
        <v>9.65</v>
      </c>
      <c r="V546">
        <v>10.621</v>
      </c>
      <c r="W546">
        <v>11.154999999999999</v>
      </c>
      <c r="X546">
        <v>14.718999999999999</v>
      </c>
      <c r="Y546">
        <v>16.042999999999999</v>
      </c>
      <c r="Z546">
        <v>16.873999999999999</v>
      </c>
      <c r="AA546">
        <v>18.571000000000002</v>
      </c>
      <c r="AB546">
        <v>20.488</v>
      </c>
      <c r="AC546">
        <v>23.506</v>
      </c>
      <c r="AD546">
        <v>28.8</v>
      </c>
      <c r="AE546">
        <v>31.850999999999999</v>
      </c>
      <c r="AF546">
        <v>35.738999999999997</v>
      </c>
      <c r="AG546">
        <v>40.258000000000003</v>
      </c>
      <c r="AH546">
        <v>43.174999999999997</v>
      </c>
      <c r="AI546">
        <v>46.631</v>
      </c>
      <c r="AJ546">
        <v>50.054000000000002</v>
      </c>
      <c r="AK546">
        <v>55.680999999999997</v>
      </c>
      <c r="AL546">
        <v>65.388000000000005</v>
      </c>
      <c r="AM546">
        <v>74.366</v>
      </c>
      <c r="AN546">
        <v>75.049000000000007</v>
      </c>
      <c r="AO546">
        <v>79.569999999999993</v>
      </c>
      <c r="AP546">
        <v>80.114999999999995</v>
      </c>
      <c r="AQ546">
        <v>91.048000000000002</v>
      </c>
      <c r="AR546">
        <v>92.212999999999994</v>
      </c>
      <c r="AS546">
        <v>110.985</v>
      </c>
      <c r="AT546">
        <v>110.476</v>
      </c>
      <c r="AU546">
        <v>117.101</v>
      </c>
      <c r="AV546">
        <v>122.14700000000001</v>
      </c>
      <c r="AW546">
        <v>129.16</v>
      </c>
      <c r="AX546">
        <v>136.56399999999999</v>
      </c>
      <c r="AY546">
        <v>2013</v>
      </c>
    </row>
    <row r="547" spans="1:51" x14ac:dyDescent="0.25">
      <c r="A547">
        <v>273</v>
      </c>
      <c r="B547" t="s">
        <v>635</v>
      </c>
      <c r="C547" t="s">
        <v>279</v>
      </c>
      <c r="D547" t="s">
        <v>155</v>
      </c>
      <c r="E547" t="s">
        <v>280</v>
      </c>
      <c r="F547" t="s">
        <v>281</v>
      </c>
      <c r="G547" t="s">
        <v>282</v>
      </c>
      <c r="H547" t="s">
        <v>283</v>
      </c>
      <c r="I547" t="s">
        <v>636</v>
      </c>
      <c r="J547" s="21">
        <v>6122.9759999999997</v>
      </c>
      <c r="K547" s="21">
        <v>6644.9979999999996</v>
      </c>
      <c r="L547" s="21">
        <v>6610.39</v>
      </c>
      <c r="M547" s="21">
        <v>6379.9229999999998</v>
      </c>
      <c r="N547" s="21">
        <v>6597.5309999999999</v>
      </c>
      <c r="O547" s="21">
        <v>6741.8649999999998</v>
      </c>
      <c r="P547" s="21">
        <v>6534.2860000000001</v>
      </c>
      <c r="Q547" s="21">
        <v>6646.835</v>
      </c>
      <c r="R547" s="21">
        <v>6732.1310000000003</v>
      </c>
      <c r="S547" s="21">
        <v>7008.5190000000002</v>
      </c>
      <c r="T547" s="21">
        <v>7371.2640000000001</v>
      </c>
      <c r="U547" s="21">
        <v>7681.9449999999997</v>
      </c>
      <c r="V547" s="21">
        <v>7953.97</v>
      </c>
      <c r="W547" s="21">
        <v>8132.915</v>
      </c>
      <c r="X547" s="21">
        <v>8517.3870000000006</v>
      </c>
      <c r="Y547" s="21">
        <v>8026.8980000000001</v>
      </c>
      <c r="Z547" s="21">
        <v>8498.4590000000007</v>
      </c>
      <c r="AA547" s="21">
        <v>9090.1970000000001</v>
      </c>
      <c r="AB547" s="21">
        <v>9517.6039999999994</v>
      </c>
      <c r="AC547" s="21">
        <v>9771.44</v>
      </c>
      <c r="AD547" s="21">
        <v>10288.982</v>
      </c>
      <c r="AE547" s="21">
        <v>10226.683000000001</v>
      </c>
      <c r="AF547" s="21">
        <v>10240.173000000001</v>
      </c>
      <c r="AG547" s="21">
        <v>10385.857</v>
      </c>
      <c r="AH547" s="21">
        <v>10832.004000000001</v>
      </c>
      <c r="AI547" s="21">
        <v>11160.493</v>
      </c>
      <c r="AJ547" s="21">
        <v>11718.672</v>
      </c>
      <c r="AK547" s="21">
        <v>12087.602000000001</v>
      </c>
      <c r="AL547" s="21">
        <v>12256.862999999999</v>
      </c>
      <c r="AM547" s="21">
        <v>11680.75</v>
      </c>
      <c r="AN547" s="21">
        <v>12277.659</v>
      </c>
      <c r="AO547" s="21">
        <v>12774.243</v>
      </c>
      <c r="AP547" s="21">
        <v>13287.534</v>
      </c>
      <c r="AQ547" s="21">
        <v>13471.778</v>
      </c>
      <c r="AR547" s="21">
        <v>13760.184999999999</v>
      </c>
      <c r="AS547" s="21">
        <v>14078.28</v>
      </c>
      <c r="AT547" s="21">
        <v>14472.911</v>
      </c>
      <c r="AU547" s="21">
        <v>14925.637000000001</v>
      </c>
      <c r="AV547" s="21">
        <v>15406.628000000001</v>
      </c>
      <c r="AW547" s="21">
        <v>15916.303</v>
      </c>
      <c r="AX547" s="21">
        <v>16447.098999999998</v>
      </c>
      <c r="AY547">
        <v>2014</v>
      </c>
    </row>
    <row r="548" spans="1:51" x14ac:dyDescent="0.25">
      <c r="A548">
        <v>273</v>
      </c>
      <c r="B548" t="s">
        <v>635</v>
      </c>
      <c r="C548" t="s">
        <v>286</v>
      </c>
      <c r="D548" t="s">
        <v>155</v>
      </c>
      <c r="E548" t="s">
        <v>287</v>
      </c>
      <c r="F548" t="s">
        <v>288</v>
      </c>
      <c r="G548" t="s">
        <v>282</v>
      </c>
      <c r="H548" t="s">
        <v>283</v>
      </c>
      <c r="I548" t="s">
        <v>636</v>
      </c>
      <c r="J548">
        <v>5.383</v>
      </c>
      <c r="K548">
        <v>7.3780000000000001</v>
      </c>
      <c r="L548">
        <v>11.878</v>
      </c>
      <c r="M548">
        <v>21.395</v>
      </c>
      <c r="N548">
        <v>35.271999999999998</v>
      </c>
      <c r="O548">
        <v>57.213000000000001</v>
      </c>
      <c r="P548">
        <v>93.908000000000001</v>
      </c>
      <c r="Q548">
        <v>231.97</v>
      </c>
      <c r="R548">
        <v>470.94400000000002</v>
      </c>
      <c r="S548">
        <v>621.70799999999997</v>
      </c>
      <c r="T548">
        <v>838.25800000000004</v>
      </c>
      <c r="U548" s="21">
        <v>1078.268</v>
      </c>
      <c r="V548" s="21">
        <v>1282.181</v>
      </c>
      <c r="W548" s="21">
        <v>1570.1469999999999</v>
      </c>
      <c r="X548" s="21">
        <v>1779.7539999999999</v>
      </c>
      <c r="Y548" s="21">
        <v>2206.9430000000002</v>
      </c>
      <c r="Z548" s="21">
        <v>3020.0329999999999</v>
      </c>
      <c r="AA548" s="21">
        <v>3805.2719999999999</v>
      </c>
      <c r="AB548" s="21">
        <v>4586.366</v>
      </c>
      <c r="AC548" s="21">
        <v>5539.866</v>
      </c>
      <c r="AD548" s="21">
        <v>6464.3019999999997</v>
      </c>
      <c r="AE548" s="21">
        <v>6770.3980000000001</v>
      </c>
      <c r="AF548" s="21">
        <v>7160.4989999999998</v>
      </c>
      <c r="AG548" s="21">
        <v>7695.6239999999998</v>
      </c>
      <c r="AH548" s="21">
        <v>8693.24</v>
      </c>
      <c r="AI548" s="21">
        <v>9441.35</v>
      </c>
      <c r="AJ548" s="21">
        <v>10538.115</v>
      </c>
      <c r="AK548" s="21">
        <v>11403.263000000001</v>
      </c>
      <c r="AL548" s="21">
        <v>12256.862999999999</v>
      </c>
      <c r="AM548" s="21">
        <v>12093.89</v>
      </c>
      <c r="AN548" s="21">
        <v>13282.061</v>
      </c>
      <c r="AO548" s="21">
        <v>14550.013999999999</v>
      </c>
      <c r="AP548" s="21">
        <v>15626.906999999999</v>
      </c>
      <c r="AQ548" s="21">
        <v>16116.42</v>
      </c>
      <c r="AR548" s="21">
        <v>17161.370999999999</v>
      </c>
      <c r="AS548" s="21">
        <v>18314.080000000002</v>
      </c>
      <c r="AT548" s="21">
        <v>19663.361000000001</v>
      </c>
      <c r="AU548" s="21">
        <v>20919.067999999999</v>
      </c>
      <c r="AV548" s="21">
        <v>22269.1</v>
      </c>
      <c r="AW548" s="21">
        <v>23794.018</v>
      </c>
      <c r="AX548" s="21">
        <v>25505.401999999998</v>
      </c>
      <c r="AY548">
        <v>2014</v>
      </c>
    </row>
    <row r="549" spans="1:51" x14ac:dyDescent="0.25">
      <c r="A549">
        <v>273</v>
      </c>
      <c r="B549" t="s">
        <v>635</v>
      </c>
      <c r="C549" t="s">
        <v>289</v>
      </c>
      <c r="D549" t="s">
        <v>155</v>
      </c>
      <c r="E549" t="s">
        <v>287</v>
      </c>
      <c r="F549" t="s">
        <v>290</v>
      </c>
      <c r="G549" t="s">
        <v>291</v>
      </c>
      <c r="H549" t="s">
        <v>283</v>
      </c>
      <c r="I549" t="s">
        <v>292</v>
      </c>
      <c r="J549">
        <v>234.61799999999999</v>
      </c>
      <c r="K549">
        <v>301.32799999999997</v>
      </c>
      <c r="L549">
        <v>218.68</v>
      </c>
      <c r="M549">
        <v>178.28200000000001</v>
      </c>
      <c r="N549">
        <v>210.24600000000001</v>
      </c>
      <c r="O549">
        <v>223.10400000000001</v>
      </c>
      <c r="P549">
        <v>154.47</v>
      </c>
      <c r="Q549">
        <v>169.39699999999999</v>
      </c>
      <c r="R549">
        <v>207.23500000000001</v>
      </c>
      <c r="S549">
        <v>252.54900000000001</v>
      </c>
      <c r="T549">
        <v>298.03699999999998</v>
      </c>
      <c r="U549">
        <v>357.29199999999997</v>
      </c>
      <c r="V549">
        <v>414.34800000000001</v>
      </c>
      <c r="W549">
        <v>504.02199999999999</v>
      </c>
      <c r="X549">
        <v>527.31600000000003</v>
      </c>
      <c r="Y549">
        <v>343.81400000000002</v>
      </c>
      <c r="Z549">
        <v>397.40199999999999</v>
      </c>
      <c r="AA549">
        <v>480.55700000000002</v>
      </c>
      <c r="AB549">
        <v>502.029</v>
      </c>
      <c r="AC549">
        <v>579.452</v>
      </c>
      <c r="AD549">
        <v>683.65</v>
      </c>
      <c r="AE549">
        <v>724.69100000000003</v>
      </c>
      <c r="AF549">
        <v>741.56299999999999</v>
      </c>
      <c r="AG549">
        <v>713.28300000000002</v>
      </c>
      <c r="AH549">
        <v>770.27</v>
      </c>
      <c r="AI549">
        <v>866.346</v>
      </c>
      <c r="AJ549">
        <v>966.86699999999996</v>
      </c>
      <c r="AK549" s="21">
        <v>1043.472</v>
      </c>
      <c r="AL549" s="21">
        <v>1101.2739999999999</v>
      </c>
      <c r="AM549">
        <v>894.95</v>
      </c>
      <c r="AN549" s="21">
        <v>1051.1279999999999</v>
      </c>
      <c r="AO549" s="21">
        <v>1171.1849999999999</v>
      </c>
      <c r="AP549" s="21">
        <v>1186.6020000000001</v>
      </c>
      <c r="AQ549" s="21">
        <v>1261.856</v>
      </c>
      <c r="AR549" s="21">
        <v>1291.0619999999999</v>
      </c>
      <c r="AS549" s="21">
        <v>1161.4829999999999</v>
      </c>
      <c r="AT549" s="21">
        <v>1187.0530000000001</v>
      </c>
      <c r="AU549" s="21">
        <v>1251.2529999999999</v>
      </c>
      <c r="AV549" s="21">
        <v>1322.915</v>
      </c>
      <c r="AW549" s="21">
        <v>1404.924</v>
      </c>
      <c r="AX549" s="21">
        <v>1495.6579999999999</v>
      </c>
      <c r="AY549">
        <v>2014</v>
      </c>
    </row>
    <row r="550" spans="1:51" x14ac:dyDescent="0.25">
      <c r="A550">
        <v>273</v>
      </c>
      <c r="B550" t="s">
        <v>635</v>
      </c>
      <c r="C550" t="s">
        <v>293</v>
      </c>
      <c r="D550" t="s">
        <v>155</v>
      </c>
      <c r="E550" t="s">
        <v>294</v>
      </c>
      <c r="F550" t="s">
        <v>295</v>
      </c>
      <c r="G550" t="s">
        <v>296</v>
      </c>
      <c r="I550" t="s">
        <v>297</v>
      </c>
      <c r="J550">
        <v>8.7999999999999995E-2</v>
      </c>
      <c r="K550">
        <v>0.111</v>
      </c>
      <c r="L550">
        <v>0.18</v>
      </c>
      <c r="M550">
        <v>0.33500000000000002</v>
      </c>
      <c r="N550">
        <v>0.53500000000000003</v>
      </c>
      <c r="O550">
        <v>0.84899999999999998</v>
      </c>
      <c r="P550">
        <v>1.4370000000000001</v>
      </c>
      <c r="Q550">
        <v>3.49</v>
      </c>
      <c r="R550">
        <v>6.9950000000000001</v>
      </c>
      <c r="S550">
        <v>8.8710000000000004</v>
      </c>
      <c r="T550">
        <v>11.372</v>
      </c>
      <c r="U550">
        <v>14.036</v>
      </c>
      <c r="V550">
        <v>16.12</v>
      </c>
      <c r="W550">
        <v>19.306000000000001</v>
      </c>
      <c r="X550">
        <v>20.896000000000001</v>
      </c>
      <c r="Y550">
        <v>27.494</v>
      </c>
      <c r="Z550">
        <v>35.536000000000001</v>
      </c>
      <c r="AA550">
        <v>41.860999999999997</v>
      </c>
      <c r="AB550">
        <v>48.188000000000002</v>
      </c>
      <c r="AC550">
        <v>56.694000000000003</v>
      </c>
      <c r="AD550">
        <v>62.826999999999998</v>
      </c>
      <c r="AE550">
        <v>66.203000000000003</v>
      </c>
      <c r="AF550">
        <v>69.926000000000002</v>
      </c>
      <c r="AG550">
        <v>74.096999999999994</v>
      </c>
      <c r="AH550">
        <v>80.254999999999995</v>
      </c>
      <c r="AI550">
        <v>84.596000000000004</v>
      </c>
      <c r="AJ550">
        <v>89.926000000000002</v>
      </c>
      <c r="AK550">
        <v>94.338999999999999</v>
      </c>
      <c r="AL550">
        <v>100</v>
      </c>
      <c r="AM550">
        <v>103.53700000000001</v>
      </c>
      <c r="AN550">
        <v>108.181</v>
      </c>
      <c r="AO550">
        <v>113.901</v>
      </c>
      <c r="AP550">
        <v>117.60599999999999</v>
      </c>
      <c r="AQ550">
        <v>119.631</v>
      </c>
      <c r="AR550">
        <v>124.718</v>
      </c>
      <c r="AS550">
        <v>130.08699999999999</v>
      </c>
      <c r="AT550">
        <v>135.863</v>
      </c>
      <c r="AU550">
        <v>140.155</v>
      </c>
      <c r="AV550">
        <v>144.542</v>
      </c>
      <c r="AW550">
        <v>149.495</v>
      </c>
      <c r="AX550">
        <v>155.07499999999999</v>
      </c>
      <c r="AY550">
        <v>2014</v>
      </c>
    </row>
    <row r="551" spans="1:51" x14ac:dyDescent="0.25">
      <c r="A551">
        <v>273</v>
      </c>
      <c r="B551" t="s">
        <v>635</v>
      </c>
      <c r="C551" t="s">
        <v>298</v>
      </c>
      <c r="D551" t="s">
        <v>155</v>
      </c>
      <c r="E551" t="s">
        <v>299</v>
      </c>
      <c r="F551" t="s">
        <v>300</v>
      </c>
      <c r="G551" t="s">
        <v>282</v>
      </c>
      <c r="H551" t="s">
        <v>283</v>
      </c>
      <c r="I551" t="s">
        <v>637</v>
      </c>
      <c r="J551" t="s">
        <v>285</v>
      </c>
      <c r="K551" t="s">
        <v>285</v>
      </c>
      <c r="L551" t="s">
        <v>285</v>
      </c>
      <c r="M551" t="s">
        <v>285</v>
      </c>
      <c r="N551" t="s">
        <v>285</v>
      </c>
      <c r="O551" t="s">
        <v>285</v>
      </c>
      <c r="P551" t="s">
        <v>285</v>
      </c>
      <c r="Q551" t="s">
        <v>285</v>
      </c>
      <c r="R551" t="s">
        <v>285</v>
      </c>
      <c r="S551" t="s">
        <v>285</v>
      </c>
      <c r="T551">
        <v>206.96799999999999</v>
      </c>
      <c r="U551">
        <v>229.524</v>
      </c>
      <c r="V551">
        <v>253.79</v>
      </c>
      <c r="W551">
        <v>282.39800000000002</v>
      </c>
      <c r="X551">
        <v>324.101</v>
      </c>
      <c r="Y551">
        <v>490.98899999999998</v>
      </c>
      <c r="Z551">
        <v>713.95100000000002</v>
      </c>
      <c r="AA551">
        <v>911.51300000000003</v>
      </c>
      <c r="AB551" s="21">
        <v>1025.2929999999999</v>
      </c>
      <c r="AC551" s="21">
        <v>1241.348</v>
      </c>
      <c r="AD551" s="21">
        <v>1351.317</v>
      </c>
      <c r="AE551" s="21">
        <v>1438.1969999999999</v>
      </c>
      <c r="AF551" s="21">
        <v>1583.758</v>
      </c>
      <c r="AG551" s="21">
        <v>1778.5170000000001</v>
      </c>
      <c r="AH551" s="21">
        <v>1879.655</v>
      </c>
      <c r="AI551" s="21">
        <v>2088.3180000000002</v>
      </c>
      <c r="AJ551" s="21">
        <v>2408.0100000000002</v>
      </c>
      <c r="AK551" s="21">
        <v>2665.2379999999998</v>
      </c>
      <c r="AL551" s="21">
        <v>3167.3009999999999</v>
      </c>
      <c r="AM551" s="21">
        <v>3415.893</v>
      </c>
      <c r="AN551" s="21">
        <v>3549.3229999999999</v>
      </c>
      <c r="AO551" s="21">
        <v>3939.3449999999998</v>
      </c>
      <c r="AP551" s="21">
        <v>4324.2690000000002</v>
      </c>
      <c r="AQ551" s="21">
        <v>4515.7820000000002</v>
      </c>
      <c r="AR551" s="21">
        <v>4816.87</v>
      </c>
      <c r="AS551" s="21">
        <v>5139.1379999999999</v>
      </c>
      <c r="AT551" s="21">
        <v>5320.5029999999997</v>
      </c>
      <c r="AU551" s="21">
        <v>5607.5159999999996</v>
      </c>
      <c r="AV551" s="21">
        <v>5894.0140000000001</v>
      </c>
      <c r="AW551" s="21">
        <v>6326.6959999999999</v>
      </c>
      <c r="AX551" s="21">
        <v>6837.7389999999996</v>
      </c>
      <c r="AY551">
        <v>2014</v>
      </c>
    </row>
    <row r="552" spans="1:51" x14ac:dyDescent="0.25">
      <c r="A552">
        <v>868</v>
      </c>
      <c r="B552" t="s">
        <v>638</v>
      </c>
      <c r="C552" t="s">
        <v>279</v>
      </c>
      <c r="D552" t="s">
        <v>1127</v>
      </c>
      <c r="E552" t="s">
        <v>280</v>
      </c>
      <c r="F552" t="s">
        <v>281</v>
      </c>
      <c r="G552" t="s">
        <v>282</v>
      </c>
      <c r="H552" t="s">
        <v>283</v>
      </c>
      <c r="I552" t="s">
        <v>639</v>
      </c>
      <c r="J552" t="s">
        <v>285</v>
      </c>
      <c r="K552" t="s">
        <v>285</v>
      </c>
      <c r="L552" t="s">
        <v>285</v>
      </c>
      <c r="M552" t="s">
        <v>285</v>
      </c>
      <c r="N552" t="s">
        <v>285</v>
      </c>
      <c r="O552" t="s">
        <v>285</v>
      </c>
      <c r="P552" t="s">
        <v>285</v>
      </c>
      <c r="Q552" t="s">
        <v>285</v>
      </c>
      <c r="R552" t="s">
        <v>285</v>
      </c>
      <c r="S552" t="s">
        <v>285</v>
      </c>
      <c r="T552" t="s">
        <v>285</v>
      </c>
      <c r="U552" t="s">
        <v>285</v>
      </c>
      <c r="V552" t="s">
        <v>285</v>
      </c>
      <c r="W552" t="s">
        <v>285</v>
      </c>
      <c r="X552" t="s">
        <v>285</v>
      </c>
      <c r="Y552">
        <v>0.23899999999999999</v>
      </c>
      <c r="Z552">
        <v>0.23200000000000001</v>
      </c>
      <c r="AA552">
        <v>0.218</v>
      </c>
      <c r="AB552">
        <v>0.224</v>
      </c>
      <c r="AC552">
        <v>0.22700000000000001</v>
      </c>
      <c r="AD552">
        <v>0.23799999999999999</v>
      </c>
      <c r="AE552">
        <v>0.24199999999999999</v>
      </c>
      <c r="AF552">
        <v>0.24299999999999999</v>
      </c>
      <c r="AG552">
        <v>0.248</v>
      </c>
      <c r="AH552">
        <v>0.24</v>
      </c>
      <c r="AI552">
        <v>0.245</v>
      </c>
      <c r="AJ552">
        <v>0.245</v>
      </c>
      <c r="AK552">
        <v>0.23899999999999999</v>
      </c>
      <c r="AL552">
        <v>0.23300000000000001</v>
      </c>
      <c r="AM552">
        <v>0.23599999999999999</v>
      </c>
      <c r="AN552">
        <v>0.24299999999999999</v>
      </c>
      <c r="AO552">
        <v>0.247</v>
      </c>
      <c r="AP552">
        <v>0.247</v>
      </c>
      <c r="AQ552">
        <v>0.23799999999999999</v>
      </c>
      <c r="AR552">
        <v>0.23400000000000001</v>
      </c>
      <c r="AS552">
        <v>0.23400000000000001</v>
      </c>
      <c r="AT552">
        <v>0.23699999999999999</v>
      </c>
      <c r="AU552">
        <v>0.24</v>
      </c>
      <c r="AV552">
        <v>0.24199999999999999</v>
      </c>
      <c r="AW552">
        <v>0.24399999999999999</v>
      </c>
      <c r="AX552">
        <v>0.246</v>
      </c>
      <c r="AY552">
        <v>2013</v>
      </c>
    </row>
    <row r="553" spans="1:51" x14ac:dyDescent="0.25">
      <c r="A553">
        <v>868</v>
      </c>
      <c r="B553" t="s">
        <v>638</v>
      </c>
      <c r="C553" t="s">
        <v>286</v>
      </c>
      <c r="D553" t="s">
        <v>1127</v>
      </c>
      <c r="E553" t="s">
        <v>287</v>
      </c>
      <c r="F553" t="s">
        <v>288</v>
      </c>
      <c r="G553" t="s">
        <v>282</v>
      </c>
      <c r="H553" t="s">
        <v>283</v>
      </c>
      <c r="I553" t="s">
        <v>639</v>
      </c>
      <c r="J553" t="s">
        <v>285</v>
      </c>
      <c r="K553" t="s">
        <v>285</v>
      </c>
      <c r="L553" t="s">
        <v>285</v>
      </c>
      <c r="M553" t="s">
        <v>285</v>
      </c>
      <c r="N553" t="s">
        <v>285</v>
      </c>
      <c r="O553" t="s">
        <v>285</v>
      </c>
      <c r="P553" t="s">
        <v>285</v>
      </c>
      <c r="Q553" t="s">
        <v>285</v>
      </c>
      <c r="R553" t="s">
        <v>285</v>
      </c>
      <c r="S553" t="s">
        <v>285</v>
      </c>
      <c r="T553" t="s">
        <v>285</v>
      </c>
      <c r="U553" t="s">
        <v>285</v>
      </c>
      <c r="V553" t="s">
        <v>285</v>
      </c>
      <c r="W553" t="s">
        <v>285</v>
      </c>
      <c r="X553" t="s">
        <v>285</v>
      </c>
      <c r="Y553">
        <v>0.222</v>
      </c>
      <c r="Z553">
        <v>0.219</v>
      </c>
      <c r="AA553">
        <v>0.20699999999999999</v>
      </c>
      <c r="AB553">
        <v>0.22</v>
      </c>
      <c r="AC553">
        <v>0.221</v>
      </c>
      <c r="AD553">
        <v>0.23300000000000001</v>
      </c>
      <c r="AE553">
        <v>0.24</v>
      </c>
      <c r="AF553">
        <v>0.24099999999999999</v>
      </c>
      <c r="AG553">
        <v>0.245</v>
      </c>
      <c r="AH553">
        <v>0.23899999999999999</v>
      </c>
      <c r="AI553">
        <v>0.25</v>
      </c>
      <c r="AJ553">
        <v>0.253</v>
      </c>
      <c r="AK553">
        <v>0.25600000000000001</v>
      </c>
      <c r="AL553">
        <v>0.26100000000000001</v>
      </c>
      <c r="AM553">
        <v>0.27700000000000002</v>
      </c>
      <c r="AN553">
        <v>0.29399999999999998</v>
      </c>
      <c r="AO553">
        <v>0.309</v>
      </c>
      <c r="AP553">
        <v>0.32600000000000001</v>
      </c>
      <c r="AQ553">
        <v>0.315</v>
      </c>
      <c r="AR553">
        <v>0.308</v>
      </c>
      <c r="AS553">
        <v>0.307</v>
      </c>
      <c r="AT553">
        <v>0.312</v>
      </c>
      <c r="AU553">
        <v>0.32100000000000001</v>
      </c>
      <c r="AV553">
        <v>0.32800000000000001</v>
      </c>
      <c r="AW553">
        <v>0.33700000000000002</v>
      </c>
      <c r="AX553">
        <v>0.34499999999999997</v>
      </c>
      <c r="AY553">
        <v>2013</v>
      </c>
    </row>
    <row r="554" spans="1:51" x14ac:dyDescent="0.25">
      <c r="A554">
        <v>868</v>
      </c>
      <c r="B554" t="s">
        <v>638</v>
      </c>
      <c r="C554" t="s">
        <v>289</v>
      </c>
      <c r="D554" t="s">
        <v>1127</v>
      </c>
      <c r="E554" t="s">
        <v>287</v>
      </c>
      <c r="F554" t="s">
        <v>290</v>
      </c>
      <c r="G554" t="s">
        <v>291</v>
      </c>
      <c r="H554" t="s">
        <v>283</v>
      </c>
      <c r="I554" t="s">
        <v>292</v>
      </c>
      <c r="J554" t="s">
        <v>285</v>
      </c>
      <c r="K554" t="s">
        <v>285</v>
      </c>
      <c r="L554" t="s">
        <v>285</v>
      </c>
      <c r="M554" t="s">
        <v>285</v>
      </c>
      <c r="N554" t="s">
        <v>285</v>
      </c>
      <c r="O554" t="s">
        <v>285</v>
      </c>
      <c r="P554" t="s">
        <v>285</v>
      </c>
      <c r="Q554" t="s">
        <v>285</v>
      </c>
      <c r="R554" t="s">
        <v>285</v>
      </c>
      <c r="S554" t="s">
        <v>285</v>
      </c>
      <c r="T554" t="s">
        <v>285</v>
      </c>
      <c r="U554" t="s">
        <v>285</v>
      </c>
      <c r="V554" t="s">
        <v>285</v>
      </c>
      <c r="W554" t="s">
        <v>285</v>
      </c>
      <c r="X554" t="s">
        <v>285</v>
      </c>
      <c r="Y554">
        <v>0.222</v>
      </c>
      <c r="Z554">
        <v>0.219</v>
      </c>
      <c r="AA554">
        <v>0.20699999999999999</v>
      </c>
      <c r="AB554">
        <v>0.22</v>
      </c>
      <c r="AC554">
        <v>0.221</v>
      </c>
      <c r="AD554">
        <v>0.23300000000000001</v>
      </c>
      <c r="AE554">
        <v>0.24</v>
      </c>
      <c r="AF554">
        <v>0.24099999999999999</v>
      </c>
      <c r="AG554">
        <v>0.245</v>
      </c>
      <c r="AH554">
        <v>0.23899999999999999</v>
      </c>
      <c r="AI554">
        <v>0.25</v>
      </c>
      <c r="AJ554">
        <v>0.253</v>
      </c>
      <c r="AK554">
        <v>0.25600000000000001</v>
      </c>
      <c r="AL554">
        <v>0.26100000000000001</v>
      </c>
      <c r="AM554">
        <v>0.27700000000000002</v>
      </c>
      <c r="AN554">
        <v>0.29399999999999998</v>
      </c>
      <c r="AO554">
        <v>0.309</v>
      </c>
      <c r="AP554">
        <v>0.32600000000000001</v>
      </c>
      <c r="AQ554">
        <v>0.315</v>
      </c>
      <c r="AR554">
        <v>0.308</v>
      </c>
      <c r="AS554">
        <v>0.307</v>
      </c>
      <c r="AT554">
        <v>0.312</v>
      </c>
      <c r="AU554">
        <v>0.32100000000000001</v>
      </c>
      <c r="AV554">
        <v>0.32800000000000001</v>
      </c>
      <c r="AW554">
        <v>0.33700000000000002</v>
      </c>
      <c r="AX554">
        <v>0.34499999999999997</v>
      </c>
      <c r="AY554">
        <v>2013</v>
      </c>
    </row>
    <row r="555" spans="1:51" x14ac:dyDescent="0.25">
      <c r="A555">
        <v>868</v>
      </c>
      <c r="B555" t="s">
        <v>638</v>
      </c>
      <c r="C555" t="s">
        <v>293</v>
      </c>
      <c r="D555" t="s">
        <v>1127</v>
      </c>
      <c r="E555" t="s">
        <v>294</v>
      </c>
      <c r="F555" t="s">
        <v>295</v>
      </c>
      <c r="G555" t="s">
        <v>296</v>
      </c>
      <c r="I555" t="s">
        <v>297</v>
      </c>
      <c r="J555" t="s">
        <v>285</v>
      </c>
      <c r="K555" t="s">
        <v>285</v>
      </c>
      <c r="L555" t="s">
        <v>285</v>
      </c>
      <c r="M555" t="s">
        <v>285</v>
      </c>
      <c r="N555" t="s">
        <v>285</v>
      </c>
      <c r="O555" t="s">
        <v>285</v>
      </c>
      <c r="P555" t="s">
        <v>285</v>
      </c>
      <c r="Q555" t="s">
        <v>285</v>
      </c>
      <c r="R555" t="s">
        <v>285</v>
      </c>
      <c r="S555" t="s">
        <v>285</v>
      </c>
      <c r="T555" t="s">
        <v>285</v>
      </c>
      <c r="U555" t="s">
        <v>285</v>
      </c>
      <c r="V555" t="s">
        <v>285</v>
      </c>
      <c r="W555" t="s">
        <v>285</v>
      </c>
      <c r="X555" t="s">
        <v>285</v>
      </c>
      <c r="Y555">
        <v>92.772000000000006</v>
      </c>
      <c r="Z555">
        <v>94.4</v>
      </c>
      <c r="AA555">
        <v>94.992999999999995</v>
      </c>
      <c r="AB555">
        <v>97.896000000000001</v>
      </c>
      <c r="AC555">
        <v>96.977999999999994</v>
      </c>
      <c r="AD555">
        <v>98.013000000000005</v>
      </c>
      <c r="AE555">
        <v>99.212000000000003</v>
      </c>
      <c r="AF555">
        <v>99.254999999999995</v>
      </c>
      <c r="AG555">
        <v>98.864999999999995</v>
      </c>
      <c r="AH555">
        <v>99.896000000000001</v>
      </c>
      <c r="AI555">
        <v>101.988</v>
      </c>
      <c r="AJ555">
        <v>103.452</v>
      </c>
      <c r="AK555">
        <v>106.797</v>
      </c>
      <c r="AL555">
        <v>111.953</v>
      </c>
      <c r="AM555">
        <v>117.74299999999999</v>
      </c>
      <c r="AN555">
        <v>120.85599999999999</v>
      </c>
      <c r="AO555">
        <v>124.935</v>
      </c>
      <c r="AP555">
        <v>131.726</v>
      </c>
      <c r="AQ555">
        <v>132.30000000000001</v>
      </c>
      <c r="AR555">
        <v>131.578</v>
      </c>
      <c r="AS555">
        <v>131.578</v>
      </c>
      <c r="AT555">
        <v>131.578</v>
      </c>
      <c r="AU555">
        <v>133.898</v>
      </c>
      <c r="AV555">
        <v>135.64599999999999</v>
      </c>
      <c r="AW555">
        <v>138.17099999999999</v>
      </c>
      <c r="AX555">
        <v>140.51499999999999</v>
      </c>
      <c r="AY555">
        <v>2013</v>
      </c>
    </row>
    <row r="556" spans="1:51" x14ac:dyDescent="0.25">
      <c r="A556">
        <v>868</v>
      </c>
      <c r="B556" t="s">
        <v>638</v>
      </c>
      <c r="C556" t="s">
        <v>298</v>
      </c>
      <c r="D556" t="s">
        <v>1127</v>
      </c>
      <c r="E556" t="s">
        <v>299</v>
      </c>
      <c r="F556" t="s">
        <v>300</v>
      </c>
      <c r="G556" t="s">
        <v>282</v>
      </c>
      <c r="H556" t="s">
        <v>283</v>
      </c>
      <c r="I556" t="s">
        <v>640</v>
      </c>
      <c r="J556" t="s">
        <v>285</v>
      </c>
      <c r="K556" t="s">
        <v>285</v>
      </c>
      <c r="L556" t="s">
        <v>285</v>
      </c>
      <c r="M556" t="s">
        <v>285</v>
      </c>
      <c r="N556" t="s">
        <v>285</v>
      </c>
      <c r="O556" t="s">
        <v>285</v>
      </c>
      <c r="P556" t="s">
        <v>285</v>
      </c>
      <c r="Q556" t="s">
        <v>285</v>
      </c>
      <c r="R556" t="s">
        <v>285</v>
      </c>
      <c r="S556" t="s">
        <v>285</v>
      </c>
      <c r="T556" t="s">
        <v>285</v>
      </c>
      <c r="U556" t="s">
        <v>285</v>
      </c>
      <c r="V556" t="s">
        <v>285</v>
      </c>
      <c r="W556" t="s">
        <v>285</v>
      </c>
      <c r="X556" t="s">
        <v>285</v>
      </c>
      <c r="Y556">
        <v>0.17100000000000001</v>
      </c>
      <c r="Z556">
        <v>0.158</v>
      </c>
      <c r="AA556">
        <v>0.13300000000000001</v>
      </c>
      <c r="AB556">
        <v>0.159</v>
      </c>
      <c r="AC556">
        <v>0.161</v>
      </c>
      <c r="AD556">
        <v>0.157</v>
      </c>
      <c r="AE556">
        <v>0.154</v>
      </c>
      <c r="AF556">
        <v>0.14299999999999999</v>
      </c>
      <c r="AG556">
        <v>0.16400000000000001</v>
      </c>
      <c r="AH556">
        <v>0.17</v>
      </c>
      <c r="AI556">
        <v>0.14799999999999999</v>
      </c>
      <c r="AJ556">
        <v>0.152</v>
      </c>
      <c r="AK556">
        <v>0.152</v>
      </c>
      <c r="AL556">
        <v>0.155</v>
      </c>
      <c r="AM556">
        <v>0.17799999999999999</v>
      </c>
      <c r="AN556">
        <v>0.19900000000000001</v>
      </c>
      <c r="AO556">
        <v>0.20300000000000001</v>
      </c>
      <c r="AP556">
        <v>0.21299999999999999</v>
      </c>
      <c r="AQ556">
        <v>0.187</v>
      </c>
      <c r="AR556">
        <v>0.185</v>
      </c>
      <c r="AS556">
        <v>0.187</v>
      </c>
      <c r="AT556">
        <v>0.17699999999999999</v>
      </c>
      <c r="AU556">
        <v>0.17799999999999999</v>
      </c>
      <c r="AV556">
        <v>0.18</v>
      </c>
      <c r="AW556">
        <v>0.185</v>
      </c>
      <c r="AX556">
        <v>0.189</v>
      </c>
      <c r="AY556">
        <v>2014</v>
      </c>
    </row>
    <row r="557" spans="1:51" x14ac:dyDescent="0.25">
      <c r="A557">
        <v>921</v>
      </c>
      <c r="B557" t="s">
        <v>641</v>
      </c>
      <c r="C557" t="s">
        <v>279</v>
      </c>
      <c r="D557" t="s">
        <v>1128</v>
      </c>
      <c r="E557" t="s">
        <v>280</v>
      </c>
      <c r="F557" t="s">
        <v>281</v>
      </c>
      <c r="G557" t="s">
        <v>282</v>
      </c>
      <c r="H557" t="s">
        <v>283</v>
      </c>
      <c r="I557" t="s">
        <v>642</v>
      </c>
      <c r="J557" t="s">
        <v>285</v>
      </c>
      <c r="K557" t="s">
        <v>285</v>
      </c>
      <c r="L557" t="s">
        <v>285</v>
      </c>
      <c r="M557" t="s">
        <v>285</v>
      </c>
      <c r="N557" t="s">
        <v>285</v>
      </c>
      <c r="O557" t="s">
        <v>285</v>
      </c>
      <c r="P557" t="s">
        <v>285</v>
      </c>
      <c r="Q557" t="s">
        <v>285</v>
      </c>
      <c r="R557" t="s">
        <v>285</v>
      </c>
      <c r="S557" t="s">
        <v>285</v>
      </c>
      <c r="T557" t="s">
        <v>285</v>
      </c>
      <c r="U557" t="s">
        <v>285</v>
      </c>
      <c r="V557">
        <v>9.6289999999999996</v>
      </c>
      <c r="W557">
        <v>9.5129999999999999</v>
      </c>
      <c r="X557">
        <v>6.5739999999999998</v>
      </c>
      <c r="Y557">
        <v>6.48</v>
      </c>
      <c r="Z557">
        <v>6.0990000000000002</v>
      </c>
      <c r="AA557">
        <v>6.1989999999999998</v>
      </c>
      <c r="AB557">
        <v>5.7939999999999996</v>
      </c>
      <c r="AC557">
        <v>5.5990000000000002</v>
      </c>
      <c r="AD557">
        <v>5.7169999999999996</v>
      </c>
      <c r="AE557">
        <v>6.0679999999999996</v>
      </c>
      <c r="AF557">
        <v>6.5419999999999998</v>
      </c>
      <c r="AG557">
        <v>6.9749999999999996</v>
      </c>
      <c r="AH557">
        <v>7.4880000000000004</v>
      </c>
      <c r="AI557">
        <v>8.0500000000000007</v>
      </c>
      <c r="AJ557">
        <v>8.4350000000000005</v>
      </c>
      <c r="AK557">
        <v>8.6880000000000006</v>
      </c>
      <c r="AL557">
        <v>9.3689999999999998</v>
      </c>
      <c r="AM557">
        <v>8.8079999999999998</v>
      </c>
      <c r="AN557">
        <v>9.4329999999999998</v>
      </c>
      <c r="AO557">
        <v>10.076000000000001</v>
      </c>
      <c r="AP557">
        <v>10.002000000000001</v>
      </c>
      <c r="AQ557">
        <v>10.942</v>
      </c>
      <c r="AR557">
        <v>11.445</v>
      </c>
      <c r="AS557">
        <v>11.331</v>
      </c>
      <c r="AT557">
        <v>11.500999999999999</v>
      </c>
      <c r="AU557">
        <v>11.846</v>
      </c>
      <c r="AV557">
        <v>12.260999999999999</v>
      </c>
      <c r="AW557">
        <v>12.750999999999999</v>
      </c>
      <c r="AX557">
        <v>13.260999999999999</v>
      </c>
      <c r="AY557">
        <v>2014</v>
      </c>
    </row>
    <row r="558" spans="1:51" x14ac:dyDescent="0.25">
      <c r="A558">
        <v>921</v>
      </c>
      <c r="B558" t="s">
        <v>641</v>
      </c>
      <c r="C558" t="s">
        <v>286</v>
      </c>
      <c r="D558" t="s">
        <v>1128</v>
      </c>
      <c r="E558" t="s">
        <v>287</v>
      </c>
      <c r="F558" t="s">
        <v>288</v>
      </c>
      <c r="G558" t="s">
        <v>282</v>
      </c>
      <c r="H558" t="s">
        <v>283</v>
      </c>
      <c r="I558" t="s">
        <v>642</v>
      </c>
      <c r="J558" t="s">
        <v>285</v>
      </c>
      <c r="K558" t="s">
        <v>285</v>
      </c>
      <c r="L558" t="s">
        <v>285</v>
      </c>
      <c r="M558" t="s">
        <v>285</v>
      </c>
      <c r="N558" t="s">
        <v>285</v>
      </c>
      <c r="O558" t="s">
        <v>285</v>
      </c>
      <c r="P558" t="s">
        <v>285</v>
      </c>
      <c r="Q558" t="s">
        <v>285</v>
      </c>
      <c r="R558" t="s">
        <v>285</v>
      </c>
      <c r="S558" t="s">
        <v>285</v>
      </c>
      <c r="T558" t="s">
        <v>285</v>
      </c>
      <c r="U558" t="s">
        <v>285</v>
      </c>
      <c r="V558">
        <v>0.192</v>
      </c>
      <c r="W558">
        <v>1.821</v>
      </c>
      <c r="X558">
        <v>4.7370000000000001</v>
      </c>
      <c r="Y558">
        <v>6.48</v>
      </c>
      <c r="Z558">
        <v>7.798</v>
      </c>
      <c r="AA558">
        <v>8.9169999999999998</v>
      </c>
      <c r="AB558">
        <v>9.1219999999999999</v>
      </c>
      <c r="AC558">
        <v>12.321999999999999</v>
      </c>
      <c r="AD558">
        <v>16.344999999999999</v>
      </c>
      <c r="AE558">
        <v>19.052</v>
      </c>
      <c r="AF558">
        <v>22.556000000000001</v>
      </c>
      <c r="AG558">
        <v>27.619</v>
      </c>
      <c r="AH558">
        <v>32.031999999999996</v>
      </c>
      <c r="AI558">
        <v>37.652000000000001</v>
      </c>
      <c r="AJ558">
        <v>44.753999999999998</v>
      </c>
      <c r="AK558">
        <v>53.43</v>
      </c>
      <c r="AL558">
        <v>62.921999999999997</v>
      </c>
      <c r="AM558">
        <v>60.43</v>
      </c>
      <c r="AN558">
        <v>71.885000000000005</v>
      </c>
      <c r="AO558">
        <v>82.349000000000004</v>
      </c>
      <c r="AP558">
        <v>88.227999999999994</v>
      </c>
      <c r="AQ558">
        <v>100.51</v>
      </c>
      <c r="AR558">
        <v>111.75700000000001</v>
      </c>
      <c r="AS558">
        <v>119.491</v>
      </c>
      <c r="AT558">
        <v>130.38</v>
      </c>
      <c r="AU558">
        <v>143.691</v>
      </c>
      <c r="AV558">
        <v>158.387</v>
      </c>
      <c r="AW558">
        <v>175.43</v>
      </c>
      <c r="AX558">
        <v>194.30600000000001</v>
      </c>
      <c r="AY558">
        <v>2014</v>
      </c>
    </row>
    <row r="559" spans="1:51" x14ac:dyDescent="0.25">
      <c r="A559">
        <v>921</v>
      </c>
      <c r="B559" t="s">
        <v>641</v>
      </c>
      <c r="C559" t="s">
        <v>289</v>
      </c>
      <c r="D559" t="s">
        <v>1128</v>
      </c>
      <c r="E559" t="s">
        <v>287</v>
      </c>
      <c r="F559" t="s">
        <v>290</v>
      </c>
      <c r="G559" t="s">
        <v>291</v>
      </c>
      <c r="H559" t="s">
        <v>283</v>
      </c>
      <c r="I559" t="s">
        <v>292</v>
      </c>
      <c r="J559" t="s">
        <v>285</v>
      </c>
      <c r="K559" t="s">
        <v>285</v>
      </c>
      <c r="L559" t="s">
        <v>285</v>
      </c>
      <c r="M559" t="s">
        <v>285</v>
      </c>
      <c r="N559" t="s">
        <v>285</v>
      </c>
      <c r="O559" t="s">
        <v>285</v>
      </c>
      <c r="P559" t="s">
        <v>285</v>
      </c>
      <c r="Q559" t="s">
        <v>285</v>
      </c>
      <c r="R559" t="s">
        <v>285</v>
      </c>
      <c r="S559" t="s">
        <v>285</v>
      </c>
      <c r="T559" t="s">
        <v>285</v>
      </c>
      <c r="U559" t="s">
        <v>285</v>
      </c>
      <c r="V559">
        <v>0.86399999999999999</v>
      </c>
      <c r="W559">
        <v>1.1100000000000001</v>
      </c>
      <c r="X559">
        <v>1.1579999999999999</v>
      </c>
      <c r="Y559">
        <v>1.4410000000000001</v>
      </c>
      <c r="Z559">
        <v>1.694</v>
      </c>
      <c r="AA559">
        <v>1.9279999999999999</v>
      </c>
      <c r="AB559">
        <v>1.6970000000000001</v>
      </c>
      <c r="AC559">
        <v>1.1719999999999999</v>
      </c>
      <c r="AD559">
        <v>1.3149999999999999</v>
      </c>
      <c r="AE559">
        <v>1.4810000000000001</v>
      </c>
      <c r="AF559">
        <v>1.6619999999999999</v>
      </c>
      <c r="AG559">
        <v>1.9810000000000001</v>
      </c>
      <c r="AH559">
        <v>2.5979999999999999</v>
      </c>
      <c r="AI559">
        <v>2.988</v>
      </c>
      <c r="AJ559">
        <v>3.4079999999999999</v>
      </c>
      <c r="AK559">
        <v>4.4009999999999998</v>
      </c>
      <c r="AL559">
        <v>6.0549999999999997</v>
      </c>
      <c r="AM559">
        <v>5.4379999999999997</v>
      </c>
      <c r="AN559">
        <v>5.8129999999999997</v>
      </c>
      <c r="AO559">
        <v>7.0179999999999998</v>
      </c>
      <c r="AP559">
        <v>7.2830000000000004</v>
      </c>
      <c r="AQ559">
        <v>7.9850000000000003</v>
      </c>
      <c r="AR559">
        <v>7.9619999999999997</v>
      </c>
      <c r="AS559">
        <v>6.1879999999999997</v>
      </c>
      <c r="AT559">
        <v>6.4980000000000002</v>
      </c>
      <c r="AU559">
        <v>7.0090000000000003</v>
      </c>
      <c r="AV559">
        <v>7.5670000000000002</v>
      </c>
      <c r="AW559">
        <v>8.2349999999999994</v>
      </c>
      <c r="AX559">
        <v>8.9979999999999993</v>
      </c>
      <c r="AY559">
        <v>2014</v>
      </c>
    </row>
    <row r="560" spans="1:51" x14ac:dyDescent="0.25">
      <c r="A560">
        <v>921</v>
      </c>
      <c r="B560" t="s">
        <v>641</v>
      </c>
      <c r="C560" t="s">
        <v>293</v>
      </c>
      <c r="D560" t="s">
        <v>1128</v>
      </c>
      <c r="E560" t="s">
        <v>294</v>
      </c>
      <c r="F560" t="s">
        <v>295</v>
      </c>
      <c r="G560" t="s">
        <v>296</v>
      </c>
      <c r="I560" t="s">
        <v>297</v>
      </c>
      <c r="J560" t="s">
        <v>285</v>
      </c>
      <c r="K560" t="s">
        <v>285</v>
      </c>
      <c r="L560" t="s">
        <v>285</v>
      </c>
      <c r="M560" t="s">
        <v>285</v>
      </c>
      <c r="N560" t="s">
        <v>285</v>
      </c>
      <c r="O560" t="s">
        <v>285</v>
      </c>
      <c r="P560" t="s">
        <v>285</v>
      </c>
      <c r="Q560" t="s">
        <v>285</v>
      </c>
      <c r="R560" t="s">
        <v>285</v>
      </c>
      <c r="S560" t="s">
        <v>285</v>
      </c>
      <c r="T560" t="s">
        <v>285</v>
      </c>
      <c r="U560" t="s">
        <v>285</v>
      </c>
      <c r="V560">
        <v>1.9930000000000001</v>
      </c>
      <c r="W560">
        <v>19.141999999999999</v>
      </c>
      <c r="X560">
        <v>72.061000000000007</v>
      </c>
      <c r="Y560">
        <v>100</v>
      </c>
      <c r="Z560">
        <v>127.852</v>
      </c>
      <c r="AA560">
        <v>143.83699999999999</v>
      </c>
      <c r="AB560">
        <v>157.447</v>
      </c>
      <c r="AC560">
        <v>220.08199999999999</v>
      </c>
      <c r="AD560">
        <v>285.91399999999999</v>
      </c>
      <c r="AE560">
        <v>313.98200000000003</v>
      </c>
      <c r="AF560">
        <v>344.80700000000002</v>
      </c>
      <c r="AG560">
        <v>395.97800000000001</v>
      </c>
      <c r="AH560">
        <v>427.75</v>
      </c>
      <c r="AI560">
        <v>467.71499999999997</v>
      </c>
      <c r="AJ560">
        <v>530.55799999999999</v>
      </c>
      <c r="AK560">
        <v>614.96199999999999</v>
      </c>
      <c r="AL560">
        <v>671.577</v>
      </c>
      <c r="AM560">
        <v>686.07500000000005</v>
      </c>
      <c r="AN560">
        <v>762.072</v>
      </c>
      <c r="AO560">
        <v>817.29200000000003</v>
      </c>
      <c r="AP560">
        <v>882.11</v>
      </c>
      <c r="AQ560">
        <v>918.56799999999998</v>
      </c>
      <c r="AR560">
        <v>976.43799999999999</v>
      </c>
      <c r="AS560" s="21">
        <v>1054.5530000000001</v>
      </c>
      <c r="AT560" s="21">
        <v>1133.644</v>
      </c>
      <c r="AU560" s="21">
        <v>1212.999</v>
      </c>
      <c r="AV560" s="21">
        <v>1291.8440000000001</v>
      </c>
      <c r="AW560" s="21">
        <v>1375.8140000000001</v>
      </c>
      <c r="AX560" s="21">
        <v>1465.242</v>
      </c>
      <c r="AY560">
        <v>2014</v>
      </c>
    </row>
    <row r="561" spans="1:51" x14ac:dyDescent="0.25">
      <c r="A561">
        <v>921</v>
      </c>
      <c r="B561" t="s">
        <v>641</v>
      </c>
      <c r="C561" t="s">
        <v>298</v>
      </c>
      <c r="D561" t="s">
        <v>1128</v>
      </c>
      <c r="E561" t="s">
        <v>299</v>
      </c>
      <c r="F561" t="s">
        <v>300</v>
      </c>
      <c r="G561" t="s">
        <v>282</v>
      </c>
      <c r="H561" t="s">
        <v>283</v>
      </c>
      <c r="I561" t="s">
        <v>643</v>
      </c>
      <c r="J561" t="s">
        <v>285</v>
      </c>
      <c r="K561" t="s">
        <v>285</v>
      </c>
      <c r="L561" t="s">
        <v>285</v>
      </c>
      <c r="M561" t="s">
        <v>285</v>
      </c>
      <c r="N561" t="s">
        <v>285</v>
      </c>
      <c r="O561" t="s">
        <v>285</v>
      </c>
      <c r="P561" t="s">
        <v>285</v>
      </c>
      <c r="Q561" t="s">
        <v>285</v>
      </c>
      <c r="R561" t="s">
        <v>285</v>
      </c>
      <c r="S561" t="s">
        <v>285</v>
      </c>
      <c r="T561" t="s">
        <v>285</v>
      </c>
      <c r="U561" t="s">
        <v>285</v>
      </c>
      <c r="V561" t="s">
        <v>285</v>
      </c>
      <c r="W561" t="s">
        <v>285</v>
      </c>
      <c r="X561" t="s">
        <v>285</v>
      </c>
      <c r="Y561">
        <v>2.7949999999999999</v>
      </c>
      <c r="Z561">
        <v>3.2389999999999999</v>
      </c>
      <c r="AA561">
        <v>4.1280000000000001</v>
      </c>
      <c r="AB561">
        <v>3.597</v>
      </c>
      <c r="AC561">
        <v>4.1399999999999997</v>
      </c>
      <c r="AD561">
        <v>5.5289999999999999</v>
      </c>
      <c r="AE561">
        <v>5.6040000000000001</v>
      </c>
      <c r="AF561">
        <v>6.8559999999999999</v>
      </c>
      <c r="AG561">
        <v>9.202</v>
      </c>
      <c r="AH561">
        <v>11.092000000000001</v>
      </c>
      <c r="AI561">
        <v>13.936999999999999</v>
      </c>
      <c r="AJ561">
        <v>17.974</v>
      </c>
      <c r="AK561">
        <v>22.738</v>
      </c>
      <c r="AL561">
        <v>26.146999999999998</v>
      </c>
      <c r="AM561">
        <v>27.347000000000001</v>
      </c>
      <c r="AN561">
        <v>29.326000000000001</v>
      </c>
      <c r="AO561">
        <v>32.100999999999999</v>
      </c>
      <c r="AP561">
        <v>35.374000000000002</v>
      </c>
      <c r="AQ561">
        <v>38.673000000000002</v>
      </c>
      <c r="AR561">
        <v>44.402999999999999</v>
      </c>
      <c r="AS561">
        <v>47.692999999999998</v>
      </c>
      <c r="AT561">
        <v>49.98</v>
      </c>
      <c r="AU561">
        <v>54.088999999999999</v>
      </c>
      <c r="AV561">
        <v>59.125999999999998</v>
      </c>
      <c r="AW561">
        <v>64.850999999999999</v>
      </c>
      <c r="AX561">
        <v>71.567999999999998</v>
      </c>
      <c r="AY561">
        <v>2014</v>
      </c>
    </row>
    <row r="562" spans="1:51" x14ac:dyDescent="0.25">
      <c r="A562">
        <v>948</v>
      </c>
      <c r="B562" t="s">
        <v>644</v>
      </c>
      <c r="C562" t="s">
        <v>279</v>
      </c>
      <c r="D562" t="s">
        <v>159</v>
      </c>
      <c r="E562" t="s">
        <v>280</v>
      </c>
      <c r="F562" t="s">
        <v>281</v>
      </c>
      <c r="G562" t="s">
        <v>282</v>
      </c>
      <c r="H562" t="s">
        <v>283</v>
      </c>
      <c r="I562" t="s">
        <v>645</v>
      </c>
      <c r="J562" s="21">
        <v>3182.107</v>
      </c>
      <c r="K562" s="21">
        <v>3448.6460000000002</v>
      </c>
      <c r="L562" s="21">
        <v>3735.9540000000002</v>
      </c>
      <c r="M562" s="21">
        <v>3952.3490000000002</v>
      </c>
      <c r="N562" s="21">
        <v>4186.085</v>
      </c>
      <c r="O562" s="21">
        <v>4423.82</v>
      </c>
      <c r="P562" s="21">
        <v>4840.8239999999996</v>
      </c>
      <c r="Q562" s="21">
        <v>5012.2830000000004</v>
      </c>
      <c r="R562" s="21">
        <v>5270.2079999999996</v>
      </c>
      <c r="S562" s="21">
        <v>5490.6580000000004</v>
      </c>
      <c r="T562" s="21">
        <v>5354.18</v>
      </c>
      <c r="U562" s="21">
        <v>4861.6670000000004</v>
      </c>
      <c r="V562" s="21">
        <v>4411.6490000000003</v>
      </c>
      <c r="W562" s="21">
        <v>4271.8530000000001</v>
      </c>
      <c r="X562" s="21">
        <v>4363.03</v>
      </c>
      <c r="Y562" s="21">
        <v>4641.2359999999999</v>
      </c>
      <c r="Z562" s="21">
        <v>4744.9719999999998</v>
      </c>
      <c r="AA562" s="21">
        <v>4929.87</v>
      </c>
      <c r="AB562" s="21">
        <v>5094.5240000000003</v>
      </c>
      <c r="AC562" s="21">
        <v>5250.9449999999997</v>
      </c>
      <c r="AD562" s="21">
        <v>5311.1239999999998</v>
      </c>
      <c r="AE562" s="21">
        <v>5557.4830000000002</v>
      </c>
      <c r="AF562" s="21">
        <v>5850.1909999999998</v>
      </c>
      <c r="AG562" s="21">
        <v>6280.6130000000003</v>
      </c>
      <c r="AH562" s="21">
        <v>6872.5609999999997</v>
      </c>
      <c r="AI562" s="21">
        <v>7319.78</v>
      </c>
      <c r="AJ562" s="21">
        <v>7917.2870000000003</v>
      </c>
      <c r="AK562" s="21">
        <v>8610.5849999999991</v>
      </c>
      <c r="AL562" s="21">
        <v>9283.84</v>
      </c>
      <c r="AM562" s="21">
        <v>9091.7129999999997</v>
      </c>
      <c r="AN562" s="21">
        <v>9756.5879999999997</v>
      </c>
      <c r="AO562" s="21">
        <v>11443.578</v>
      </c>
      <c r="AP562" s="21">
        <v>12853.406999999999</v>
      </c>
      <c r="AQ562" s="21">
        <v>14350.689</v>
      </c>
      <c r="AR562" s="21">
        <v>15464.800999999999</v>
      </c>
      <c r="AS562" s="21">
        <v>15999.644</v>
      </c>
      <c r="AT562" s="21">
        <v>16575.501</v>
      </c>
      <c r="AU562" s="21">
        <v>17183.644</v>
      </c>
      <c r="AV562" s="21">
        <v>18249.739000000001</v>
      </c>
      <c r="AW562" s="21">
        <v>19448.534</v>
      </c>
      <c r="AX562" s="21">
        <v>21227.455999999998</v>
      </c>
      <c r="AY562">
        <v>2014</v>
      </c>
    </row>
    <row r="563" spans="1:51" x14ac:dyDescent="0.25">
      <c r="A563">
        <v>948</v>
      </c>
      <c r="B563" t="s">
        <v>644</v>
      </c>
      <c r="C563" t="s">
        <v>286</v>
      </c>
      <c r="D563" t="s">
        <v>159</v>
      </c>
      <c r="E563" t="s">
        <v>287</v>
      </c>
      <c r="F563" t="s">
        <v>288</v>
      </c>
      <c r="G563" t="s">
        <v>282</v>
      </c>
      <c r="H563" t="s">
        <v>283</v>
      </c>
      <c r="I563" t="s">
        <v>645</v>
      </c>
      <c r="J563">
        <v>9.4369999999999994</v>
      </c>
      <c r="K563">
        <v>10.374000000000001</v>
      </c>
      <c r="L563">
        <v>11.462999999999999</v>
      </c>
      <c r="M563">
        <v>12.241</v>
      </c>
      <c r="N563">
        <v>12.567</v>
      </c>
      <c r="O563">
        <v>13.093</v>
      </c>
      <c r="P563">
        <v>13.006</v>
      </c>
      <c r="Q563">
        <v>13.564</v>
      </c>
      <c r="R563">
        <v>14.391</v>
      </c>
      <c r="S563">
        <v>14.991</v>
      </c>
      <c r="T563">
        <v>14.62</v>
      </c>
      <c r="U563">
        <v>26.417000000000002</v>
      </c>
      <c r="V563">
        <v>65.608000000000004</v>
      </c>
      <c r="W563">
        <v>266.12099999999998</v>
      </c>
      <c r="X563">
        <v>446.62200000000001</v>
      </c>
      <c r="Y563">
        <v>761.45399999999995</v>
      </c>
      <c r="Z563">
        <v>862.60799999999995</v>
      </c>
      <c r="AA563" s="21">
        <v>1090.451</v>
      </c>
      <c r="AB563" s="21">
        <v>1105.1030000000001</v>
      </c>
      <c r="AC563" s="21">
        <v>1262.98</v>
      </c>
      <c r="AD563" s="21">
        <v>1430.7449999999999</v>
      </c>
      <c r="AE563" s="21">
        <v>1629.5250000000001</v>
      </c>
      <c r="AF563" s="21">
        <v>1814.2339999999999</v>
      </c>
      <c r="AG563" s="21">
        <v>2137.2280000000001</v>
      </c>
      <c r="AH563" s="21">
        <v>2749.15</v>
      </c>
      <c r="AI563" s="21">
        <v>3530.3739999999998</v>
      </c>
      <c r="AJ563" s="21">
        <v>4807.5370000000003</v>
      </c>
      <c r="AK563" s="21">
        <v>6285.1750000000002</v>
      </c>
      <c r="AL563" s="21">
        <v>9451.7630000000008</v>
      </c>
      <c r="AM563" s="21">
        <v>8592.973</v>
      </c>
      <c r="AN563" s="21">
        <v>9756.5879999999997</v>
      </c>
      <c r="AO563" s="21">
        <v>13173.763000000001</v>
      </c>
      <c r="AP563" s="21">
        <v>16688.419999999998</v>
      </c>
      <c r="AQ563" s="21">
        <v>19174.242999999999</v>
      </c>
      <c r="AR563" s="21">
        <v>21937.159</v>
      </c>
      <c r="AS563" s="21">
        <v>24265.21</v>
      </c>
      <c r="AT563" s="21">
        <v>26849.19</v>
      </c>
      <c r="AU563" s="21">
        <v>29738.165000000001</v>
      </c>
      <c r="AV563" s="21">
        <v>33611.39</v>
      </c>
      <c r="AW563" s="21">
        <v>38026.061000000002</v>
      </c>
      <c r="AX563" s="21">
        <v>44131.637000000002</v>
      </c>
      <c r="AY563">
        <v>2014</v>
      </c>
    </row>
    <row r="564" spans="1:51" x14ac:dyDescent="0.25">
      <c r="A564">
        <v>948</v>
      </c>
      <c r="B564" t="s">
        <v>644</v>
      </c>
      <c r="C564" t="s">
        <v>289</v>
      </c>
      <c r="D564" t="s">
        <v>159</v>
      </c>
      <c r="E564" t="s">
        <v>287</v>
      </c>
      <c r="F564" t="s">
        <v>290</v>
      </c>
      <c r="G564" t="s">
        <v>291</v>
      </c>
      <c r="H564" t="s">
        <v>283</v>
      </c>
      <c r="I564" t="s">
        <v>292</v>
      </c>
      <c r="J564">
        <v>3.1880000000000002</v>
      </c>
      <c r="K564">
        <v>3.3359999999999999</v>
      </c>
      <c r="L564">
        <v>3.4630000000000001</v>
      </c>
      <c r="M564">
        <v>3.59</v>
      </c>
      <c r="N564">
        <v>3.3159999999999998</v>
      </c>
      <c r="O564">
        <v>3.851</v>
      </c>
      <c r="P564">
        <v>4.25</v>
      </c>
      <c r="Q564">
        <v>4.7759999999999998</v>
      </c>
      <c r="R564">
        <v>4.7969999999999997</v>
      </c>
      <c r="S564">
        <v>4.9969999999999999</v>
      </c>
      <c r="T564">
        <v>3.1309999999999998</v>
      </c>
      <c r="U564">
        <v>3.2970000000000002</v>
      </c>
      <c r="V564">
        <v>1.831</v>
      </c>
      <c r="W564">
        <v>0.90200000000000002</v>
      </c>
      <c r="X564">
        <v>1.0820000000000001</v>
      </c>
      <c r="Y564">
        <v>1.6970000000000001</v>
      </c>
      <c r="Z564">
        <v>1.573</v>
      </c>
      <c r="AA564">
        <v>1.38</v>
      </c>
      <c r="AB564">
        <v>1.3140000000000001</v>
      </c>
      <c r="AC564">
        <v>1.236</v>
      </c>
      <c r="AD564">
        <v>1.329</v>
      </c>
      <c r="AE564">
        <v>1.4850000000000001</v>
      </c>
      <c r="AF564">
        <v>1.6339999999999999</v>
      </c>
      <c r="AG564">
        <v>1.8640000000000001</v>
      </c>
      <c r="AH564">
        <v>2.3170000000000002</v>
      </c>
      <c r="AI564">
        <v>2.93</v>
      </c>
      <c r="AJ564">
        <v>4.0839999999999996</v>
      </c>
      <c r="AK564">
        <v>5.37</v>
      </c>
      <c r="AL564">
        <v>8.0839999999999996</v>
      </c>
      <c r="AM564">
        <v>5.976</v>
      </c>
      <c r="AN564">
        <v>7.1849999999999996</v>
      </c>
      <c r="AO564">
        <v>10.41</v>
      </c>
      <c r="AP564">
        <v>12.292999999999999</v>
      </c>
      <c r="AQ564">
        <v>12.582000000000001</v>
      </c>
      <c r="AR564">
        <v>12.037000000000001</v>
      </c>
      <c r="AS564">
        <v>12.409000000000001</v>
      </c>
      <c r="AT564">
        <v>12.96</v>
      </c>
      <c r="AU564">
        <v>13.699</v>
      </c>
      <c r="AV564">
        <v>14.82</v>
      </c>
      <c r="AW564">
        <v>16.068999999999999</v>
      </c>
      <c r="AX564">
        <v>17.870999999999999</v>
      </c>
      <c r="AY564">
        <v>2014</v>
      </c>
    </row>
    <row r="565" spans="1:51" x14ac:dyDescent="0.25">
      <c r="A565">
        <v>948</v>
      </c>
      <c r="B565" t="s">
        <v>644</v>
      </c>
      <c r="C565" t="s">
        <v>293</v>
      </c>
      <c r="D565" t="s">
        <v>159</v>
      </c>
      <c r="E565" t="s">
        <v>294</v>
      </c>
      <c r="F565" t="s">
        <v>295</v>
      </c>
      <c r="G565" t="s">
        <v>296</v>
      </c>
      <c r="I565" t="s">
        <v>297</v>
      </c>
      <c r="J565">
        <v>0.29699999999999999</v>
      </c>
      <c r="K565">
        <v>0.30099999999999999</v>
      </c>
      <c r="L565">
        <v>0.307</v>
      </c>
      <c r="M565">
        <v>0.31</v>
      </c>
      <c r="N565">
        <v>0.3</v>
      </c>
      <c r="O565">
        <v>0.29599999999999999</v>
      </c>
      <c r="P565">
        <v>0.26900000000000002</v>
      </c>
      <c r="Q565">
        <v>0.27100000000000002</v>
      </c>
      <c r="R565">
        <v>0.27300000000000002</v>
      </c>
      <c r="S565">
        <v>0.27300000000000002</v>
      </c>
      <c r="T565">
        <v>0.27300000000000002</v>
      </c>
      <c r="U565">
        <v>0.54300000000000004</v>
      </c>
      <c r="V565">
        <v>1.4870000000000001</v>
      </c>
      <c r="W565">
        <v>6.23</v>
      </c>
      <c r="X565">
        <v>10.236000000000001</v>
      </c>
      <c r="Y565">
        <v>16.405999999999999</v>
      </c>
      <c r="Z565">
        <v>18.178999999999998</v>
      </c>
      <c r="AA565">
        <v>22.119</v>
      </c>
      <c r="AB565">
        <v>21.692</v>
      </c>
      <c r="AC565">
        <v>24.052</v>
      </c>
      <c r="AD565">
        <v>26.939</v>
      </c>
      <c r="AE565">
        <v>29.321000000000002</v>
      </c>
      <c r="AF565">
        <v>31.012</v>
      </c>
      <c r="AG565">
        <v>34.029000000000003</v>
      </c>
      <c r="AH565">
        <v>40.002000000000002</v>
      </c>
      <c r="AI565">
        <v>48.231000000000002</v>
      </c>
      <c r="AJ565">
        <v>60.722000000000001</v>
      </c>
      <c r="AK565">
        <v>72.994</v>
      </c>
      <c r="AL565">
        <v>101.809</v>
      </c>
      <c r="AM565">
        <v>94.513999999999996</v>
      </c>
      <c r="AN565">
        <v>100</v>
      </c>
      <c r="AO565">
        <v>115.119</v>
      </c>
      <c r="AP565">
        <v>129.83699999999999</v>
      </c>
      <c r="AQ565">
        <v>133.61199999999999</v>
      </c>
      <c r="AR565">
        <v>141.852</v>
      </c>
      <c r="AS565">
        <v>151.661</v>
      </c>
      <c r="AT565">
        <v>161.98099999999999</v>
      </c>
      <c r="AU565">
        <v>173.06100000000001</v>
      </c>
      <c r="AV565">
        <v>184.17500000000001</v>
      </c>
      <c r="AW565">
        <v>195.52099999999999</v>
      </c>
      <c r="AX565">
        <v>207.899</v>
      </c>
      <c r="AY565">
        <v>2014</v>
      </c>
    </row>
    <row r="566" spans="1:51" x14ac:dyDescent="0.25">
      <c r="A566">
        <v>948</v>
      </c>
      <c r="B566" t="s">
        <v>644</v>
      </c>
      <c r="C566" t="s">
        <v>298</v>
      </c>
      <c r="D566" t="s">
        <v>159</v>
      </c>
      <c r="E566" t="s">
        <v>299</v>
      </c>
      <c r="F566" t="s">
        <v>300</v>
      </c>
      <c r="G566" t="s">
        <v>282</v>
      </c>
      <c r="H566" t="s">
        <v>283</v>
      </c>
      <c r="I566" t="s">
        <v>646</v>
      </c>
      <c r="J566" t="s">
        <v>285</v>
      </c>
      <c r="K566">
        <v>4.1459999999999999</v>
      </c>
      <c r="L566">
        <v>4.6219999999999999</v>
      </c>
      <c r="M566">
        <v>4.992</v>
      </c>
      <c r="N566">
        <v>5.2450000000000001</v>
      </c>
      <c r="O566">
        <v>5.5609999999999999</v>
      </c>
      <c r="P566">
        <v>6.0049999999999999</v>
      </c>
      <c r="Q566">
        <v>6.36</v>
      </c>
      <c r="R566">
        <v>6.6909999999999998</v>
      </c>
      <c r="S566">
        <v>7.008</v>
      </c>
      <c r="T566">
        <v>6.7110000000000003</v>
      </c>
      <c r="U566">
        <v>10.797000000000001</v>
      </c>
      <c r="V566">
        <v>16.966000000000001</v>
      </c>
      <c r="W566">
        <v>82.971999999999994</v>
      </c>
      <c r="X566">
        <v>114.82299999999999</v>
      </c>
      <c r="Y566">
        <v>173.26499999999999</v>
      </c>
      <c r="Z566">
        <v>211.23099999999999</v>
      </c>
      <c r="AA566">
        <v>287.64800000000002</v>
      </c>
      <c r="AB566">
        <v>342.14600000000002</v>
      </c>
      <c r="AC566">
        <v>364.55599999999998</v>
      </c>
      <c r="AD566">
        <v>422.65</v>
      </c>
      <c r="AE566">
        <v>489.73</v>
      </c>
      <c r="AF566">
        <v>550.48099999999999</v>
      </c>
      <c r="AG566">
        <v>615.75300000000004</v>
      </c>
      <c r="AH566">
        <v>752.47500000000002</v>
      </c>
      <c r="AI566">
        <v>764.59699999999998</v>
      </c>
      <c r="AJ566" s="21">
        <v>1054.924</v>
      </c>
      <c r="AK566" s="21">
        <v>1749.701</v>
      </c>
      <c r="AL566" s="21">
        <v>2466.7739999999999</v>
      </c>
      <c r="AM566" s="21">
        <v>2336.63</v>
      </c>
      <c r="AN566" s="21">
        <v>3080.6849999999999</v>
      </c>
      <c r="AO566" s="21">
        <v>4997.04</v>
      </c>
      <c r="AP566" s="21">
        <v>6492.9040000000005</v>
      </c>
      <c r="AQ566" s="21">
        <v>7688.585</v>
      </c>
      <c r="AR566" s="21">
        <v>8518.4689999999991</v>
      </c>
      <c r="AS566" s="21">
        <v>8210.732</v>
      </c>
      <c r="AT566" s="21">
        <v>8646.759</v>
      </c>
      <c r="AU566" s="21">
        <v>9218.7739999999994</v>
      </c>
      <c r="AV566" s="21">
        <v>10083.171</v>
      </c>
      <c r="AW566" s="21">
        <v>11046.259</v>
      </c>
      <c r="AX566" s="21">
        <v>12944.236999999999</v>
      </c>
      <c r="AY566">
        <v>2013</v>
      </c>
    </row>
    <row r="567" spans="1:51" x14ac:dyDescent="0.25">
      <c r="A567">
        <v>943</v>
      </c>
      <c r="B567" t="s">
        <v>647</v>
      </c>
      <c r="C567" t="s">
        <v>279</v>
      </c>
      <c r="D567" t="s">
        <v>160</v>
      </c>
      <c r="E567" t="s">
        <v>280</v>
      </c>
      <c r="F567" t="s">
        <v>281</v>
      </c>
      <c r="G567" t="s">
        <v>282</v>
      </c>
      <c r="H567" t="s">
        <v>283</v>
      </c>
      <c r="I567" t="s">
        <v>648</v>
      </c>
      <c r="J567" t="s">
        <v>285</v>
      </c>
      <c r="K567" t="s">
        <v>285</v>
      </c>
      <c r="L567" t="s">
        <v>285</v>
      </c>
      <c r="M567" t="s">
        <v>285</v>
      </c>
      <c r="N567" t="s">
        <v>285</v>
      </c>
      <c r="O567" t="s">
        <v>285</v>
      </c>
      <c r="P567" t="s">
        <v>285</v>
      </c>
      <c r="Q567" t="s">
        <v>285</v>
      </c>
      <c r="R567" t="s">
        <v>285</v>
      </c>
      <c r="S567" t="s">
        <v>285</v>
      </c>
      <c r="T567" t="s">
        <v>285</v>
      </c>
      <c r="U567" t="s">
        <v>285</v>
      </c>
      <c r="V567" t="s">
        <v>285</v>
      </c>
      <c r="W567" t="s">
        <v>285</v>
      </c>
      <c r="X567" t="s">
        <v>285</v>
      </c>
      <c r="Y567" t="s">
        <v>285</v>
      </c>
      <c r="Z567" t="s">
        <v>285</v>
      </c>
      <c r="AA567" t="s">
        <v>285</v>
      </c>
      <c r="AB567" t="s">
        <v>285</v>
      </c>
      <c r="AC567" t="s">
        <v>285</v>
      </c>
      <c r="AD567">
        <v>1.7230000000000001</v>
      </c>
      <c r="AE567">
        <v>1.742</v>
      </c>
      <c r="AF567">
        <v>1.7749999999999999</v>
      </c>
      <c r="AG567">
        <v>1.819</v>
      </c>
      <c r="AH567">
        <v>1.899</v>
      </c>
      <c r="AI567">
        <v>1.9790000000000001</v>
      </c>
      <c r="AJ567">
        <v>2.149</v>
      </c>
      <c r="AK567">
        <v>2.379</v>
      </c>
      <c r="AL567">
        <v>2.5430000000000001</v>
      </c>
      <c r="AM567">
        <v>2.3980000000000001</v>
      </c>
      <c r="AN567">
        <v>2.4569999999999999</v>
      </c>
      <c r="AO567">
        <v>2.5369999999999999</v>
      </c>
      <c r="AP567">
        <v>2.472</v>
      </c>
      <c r="AQ567">
        <v>2.5539999999999998</v>
      </c>
      <c r="AR567">
        <v>2.593</v>
      </c>
      <c r="AS567">
        <v>2.677</v>
      </c>
      <c r="AT567">
        <v>2.8079999999999998</v>
      </c>
      <c r="AU567">
        <v>2.887</v>
      </c>
      <c r="AV567">
        <v>2.97</v>
      </c>
      <c r="AW567">
        <v>3.0169999999999999</v>
      </c>
      <c r="AX567">
        <v>3.117</v>
      </c>
      <c r="AY567">
        <v>2014</v>
      </c>
    </row>
    <row r="568" spans="1:51" x14ac:dyDescent="0.25">
      <c r="A568">
        <v>943</v>
      </c>
      <c r="B568" t="s">
        <v>647</v>
      </c>
      <c r="C568" t="s">
        <v>286</v>
      </c>
      <c r="D568" t="s">
        <v>160</v>
      </c>
      <c r="E568" t="s">
        <v>287</v>
      </c>
      <c r="F568" t="s">
        <v>288</v>
      </c>
      <c r="G568" t="s">
        <v>282</v>
      </c>
      <c r="H568" t="s">
        <v>283</v>
      </c>
      <c r="I568" t="s">
        <v>648</v>
      </c>
      <c r="J568" t="s">
        <v>285</v>
      </c>
      <c r="K568" t="s">
        <v>285</v>
      </c>
      <c r="L568" t="s">
        <v>285</v>
      </c>
      <c r="M568" t="s">
        <v>285</v>
      </c>
      <c r="N568" t="s">
        <v>285</v>
      </c>
      <c r="O568" t="s">
        <v>285</v>
      </c>
      <c r="P568" t="s">
        <v>285</v>
      </c>
      <c r="Q568" t="s">
        <v>285</v>
      </c>
      <c r="R568" t="s">
        <v>285</v>
      </c>
      <c r="S568" t="s">
        <v>285</v>
      </c>
      <c r="T568" t="s">
        <v>285</v>
      </c>
      <c r="U568" t="s">
        <v>285</v>
      </c>
      <c r="V568" t="s">
        <v>285</v>
      </c>
      <c r="W568" t="s">
        <v>285</v>
      </c>
      <c r="X568" t="s">
        <v>285</v>
      </c>
      <c r="Y568" t="s">
        <v>285</v>
      </c>
      <c r="Z568" t="s">
        <v>285</v>
      </c>
      <c r="AA568" t="s">
        <v>285</v>
      </c>
      <c r="AB568" t="s">
        <v>285</v>
      </c>
      <c r="AC568" t="s">
        <v>285</v>
      </c>
      <c r="AD568">
        <v>1.0660000000000001</v>
      </c>
      <c r="AE568">
        <v>1.2949999999999999</v>
      </c>
      <c r="AF568">
        <v>1.36</v>
      </c>
      <c r="AG568">
        <v>1.51</v>
      </c>
      <c r="AH568">
        <v>1.67</v>
      </c>
      <c r="AI568">
        <v>1.8149999999999999</v>
      </c>
      <c r="AJ568">
        <v>2.149</v>
      </c>
      <c r="AK568">
        <v>2.68</v>
      </c>
      <c r="AL568">
        <v>3.0859999999999999</v>
      </c>
      <c r="AM568">
        <v>2.9809999999999999</v>
      </c>
      <c r="AN568">
        <v>3.1040000000000001</v>
      </c>
      <c r="AO568">
        <v>3.234</v>
      </c>
      <c r="AP568">
        <v>3.149</v>
      </c>
      <c r="AQ568">
        <v>3.327</v>
      </c>
      <c r="AR568">
        <v>3.4249999999999998</v>
      </c>
      <c r="AS568">
        <v>3.5819999999999999</v>
      </c>
      <c r="AT568">
        <v>3.802</v>
      </c>
      <c r="AU568">
        <v>3.9670000000000001</v>
      </c>
      <c r="AV568">
        <v>4.1470000000000002</v>
      </c>
      <c r="AW568">
        <v>4.2839999999999998</v>
      </c>
      <c r="AX568">
        <v>4.5010000000000003</v>
      </c>
      <c r="AY568">
        <v>2014</v>
      </c>
    </row>
    <row r="569" spans="1:51" x14ac:dyDescent="0.25">
      <c r="A569">
        <v>943</v>
      </c>
      <c r="B569" t="s">
        <v>647</v>
      </c>
      <c r="C569" t="s">
        <v>289</v>
      </c>
      <c r="D569" t="s">
        <v>160</v>
      </c>
      <c r="E569" t="s">
        <v>287</v>
      </c>
      <c r="F569" t="s">
        <v>290</v>
      </c>
      <c r="G569" t="s">
        <v>291</v>
      </c>
      <c r="H569" t="s">
        <v>283</v>
      </c>
      <c r="I569" t="s">
        <v>292</v>
      </c>
      <c r="J569" t="s">
        <v>285</v>
      </c>
      <c r="K569" t="s">
        <v>285</v>
      </c>
      <c r="L569" t="s">
        <v>285</v>
      </c>
      <c r="M569" t="s">
        <v>285</v>
      </c>
      <c r="N569" t="s">
        <v>285</v>
      </c>
      <c r="O569" t="s">
        <v>285</v>
      </c>
      <c r="P569" t="s">
        <v>285</v>
      </c>
      <c r="Q569" t="s">
        <v>285</v>
      </c>
      <c r="R569" t="s">
        <v>285</v>
      </c>
      <c r="S569" t="s">
        <v>285</v>
      </c>
      <c r="T569" t="s">
        <v>285</v>
      </c>
      <c r="U569" t="s">
        <v>285</v>
      </c>
      <c r="V569" t="s">
        <v>285</v>
      </c>
      <c r="W569" t="s">
        <v>285</v>
      </c>
      <c r="X569" t="s">
        <v>285</v>
      </c>
      <c r="Y569" t="s">
        <v>285</v>
      </c>
      <c r="Z569" t="s">
        <v>285</v>
      </c>
      <c r="AA569" t="s">
        <v>285</v>
      </c>
      <c r="AB569" t="s">
        <v>285</v>
      </c>
      <c r="AC569" t="s">
        <v>285</v>
      </c>
      <c r="AD569">
        <v>0.98499999999999999</v>
      </c>
      <c r="AE569">
        <v>1.1599999999999999</v>
      </c>
      <c r="AF569">
        <v>1.2849999999999999</v>
      </c>
      <c r="AG569">
        <v>1.708</v>
      </c>
      <c r="AH569">
        <v>2.0760000000000001</v>
      </c>
      <c r="AI569">
        <v>2.2610000000000001</v>
      </c>
      <c r="AJ569">
        <v>2.698</v>
      </c>
      <c r="AK569">
        <v>3.6739999999999999</v>
      </c>
      <c r="AL569">
        <v>4.5410000000000004</v>
      </c>
      <c r="AM569">
        <v>4.1520000000000001</v>
      </c>
      <c r="AN569">
        <v>4.1180000000000003</v>
      </c>
      <c r="AO569">
        <v>4.5</v>
      </c>
      <c r="AP569">
        <v>4.048</v>
      </c>
      <c r="AQ569">
        <v>4.4189999999999996</v>
      </c>
      <c r="AR569">
        <v>4.5510000000000002</v>
      </c>
      <c r="AS569">
        <v>3.9849999999999999</v>
      </c>
      <c r="AT569">
        <v>4.25</v>
      </c>
      <c r="AU569">
        <v>4.4829999999999997</v>
      </c>
      <c r="AV569">
        <v>4.7350000000000003</v>
      </c>
      <c r="AW569">
        <v>4.93</v>
      </c>
      <c r="AX569">
        <v>5.2560000000000002</v>
      </c>
      <c r="AY569">
        <v>2014</v>
      </c>
    </row>
    <row r="570" spans="1:51" x14ac:dyDescent="0.25">
      <c r="A570">
        <v>943</v>
      </c>
      <c r="B570" t="s">
        <v>647</v>
      </c>
      <c r="C570" t="s">
        <v>293</v>
      </c>
      <c r="D570" t="s">
        <v>160</v>
      </c>
      <c r="E570" t="s">
        <v>294</v>
      </c>
      <c r="F570" t="s">
        <v>295</v>
      </c>
      <c r="G570" t="s">
        <v>296</v>
      </c>
      <c r="I570" t="s">
        <v>297</v>
      </c>
      <c r="J570" t="s">
        <v>285</v>
      </c>
      <c r="K570" t="s">
        <v>285</v>
      </c>
      <c r="L570" t="s">
        <v>285</v>
      </c>
      <c r="M570" t="s">
        <v>285</v>
      </c>
      <c r="N570" t="s">
        <v>285</v>
      </c>
      <c r="O570" t="s">
        <v>285</v>
      </c>
      <c r="P570" t="s">
        <v>285</v>
      </c>
      <c r="Q570" t="s">
        <v>285</v>
      </c>
      <c r="R570" t="s">
        <v>285</v>
      </c>
      <c r="S570" t="s">
        <v>285</v>
      </c>
      <c r="T570" t="s">
        <v>285</v>
      </c>
      <c r="U570" t="s">
        <v>285</v>
      </c>
      <c r="V570" t="s">
        <v>285</v>
      </c>
      <c r="W570" t="s">
        <v>285</v>
      </c>
      <c r="X570" t="s">
        <v>285</v>
      </c>
      <c r="Y570" t="s">
        <v>285</v>
      </c>
      <c r="Z570" t="s">
        <v>285</v>
      </c>
      <c r="AA570" t="s">
        <v>285</v>
      </c>
      <c r="AB570" t="s">
        <v>285</v>
      </c>
      <c r="AC570" t="s">
        <v>285</v>
      </c>
      <c r="AD570">
        <v>61.865000000000002</v>
      </c>
      <c r="AE570">
        <v>74.364999999999995</v>
      </c>
      <c r="AF570">
        <v>76.653999999999996</v>
      </c>
      <c r="AG570">
        <v>83.019000000000005</v>
      </c>
      <c r="AH570">
        <v>87.927000000000007</v>
      </c>
      <c r="AI570">
        <v>91.721000000000004</v>
      </c>
      <c r="AJ570">
        <v>100</v>
      </c>
      <c r="AK570">
        <v>112.675</v>
      </c>
      <c r="AL570">
        <v>121.334</v>
      </c>
      <c r="AM570">
        <v>124.304</v>
      </c>
      <c r="AN570">
        <v>126.316</v>
      </c>
      <c r="AO570">
        <v>127.502</v>
      </c>
      <c r="AP570">
        <v>127.38200000000001</v>
      </c>
      <c r="AQ570">
        <v>130.245</v>
      </c>
      <c r="AR570">
        <v>132.101</v>
      </c>
      <c r="AS570">
        <v>133.828</v>
      </c>
      <c r="AT570">
        <v>135.37799999999999</v>
      </c>
      <c r="AU570">
        <v>137.41300000000001</v>
      </c>
      <c r="AV570">
        <v>139.63200000000001</v>
      </c>
      <c r="AW570">
        <v>141.96700000000001</v>
      </c>
      <c r="AX570">
        <v>144.38800000000001</v>
      </c>
      <c r="AY570">
        <v>2014</v>
      </c>
    </row>
    <row r="571" spans="1:51" x14ac:dyDescent="0.25">
      <c r="A571">
        <v>943</v>
      </c>
      <c r="B571" t="s">
        <v>647</v>
      </c>
      <c r="C571" t="s">
        <v>298</v>
      </c>
      <c r="D571" t="s">
        <v>160</v>
      </c>
      <c r="E571" t="s">
        <v>299</v>
      </c>
      <c r="F571" t="s">
        <v>300</v>
      </c>
      <c r="G571" t="s">
        <v>282</v>
      </c>
      <c r="H571" t="s">
        <v>283</v>
      </c>
      <c r="I571" t="s">
        <v>649</v>
      </c>
      <c r="J571" t="s">
        <v>285</v>
      </c>
      <c r="K571" t="s">
        <v>285</v>
      </c>
      <c r="L571" t="s">
        <v>285</v>
      </c>
      <c r="M571" t="s">
        <v>285</v>
      </c>
      <c r="N571" t="s">
        <v>285</v>
      </c>
      <c r="O571" t="s">
        <v>285</v>
      </c>
      <c r="P571" t="s">
        <v>285</v>
      </c>
      <c r="Q571" t="s">
        <v>285</v>
      </c>
      <c r="R571" t="s">
        <v>285</v>
      </c>
      <c r="S571" t="s">
        <v>285</v>
      </c>
      <c r="T571" t="s">
        <v>285</v>
      </c>
      <c r="U571" t="s">
        <v>285</v>
      </c>
      <c r="V571" t="s">
        <v>285</v>
      </c>
      <c r="W571" t="s">
        <v>285</v>
      </c>
      <c r="X571" t="s">
        <v>285</v>
      </c>
      <c r="Y571" t="s">
        <v>285</v>
      </c>
      <c r="Z571" t="s">
        <v>285</v>
      </c>
      <c r="AA571" t="s">
        <v>285</v>
      </c>
      <c r="AB571" t="s">
        <v>285</v>
      </c>
      <c r="AC571" t="s">
        <v>285</v>
      </c>
      <c r="AD571" t="s">
        <v>285</v>
      </c>
      <c r="AE571" t="s">
        <v>285</v>
      </c>
      <c r="AF571">
        <v>0.503</v>
      </c>
      <c r="AG571">
        <v>0.64300000000000002</v>
      </c>
      <c r="AH571">
        <v>0.66500000000000004</v>
      </c>
      <c r="AI571">
        <v>0.69299999999999995</v>
      </c>
      <c r="AJ571">
        <v>0.89800000000000002</v>
      </c>
      <c r="AK571">
        <v>1.149</v>
      </c>
      <c r="AL571">
        <v>1.593</v>
      </c>
      <c r="AM571">
        <v>1.4259999999999999</v>
      </c>
      <c r="AN571">
        <v>1.4239999999999999</v>
      </c>
      <c r="AO571">
        <v>1.3939999999999999</v>
      </c>
      <c r="AP571">
        <v>1.444</v>
      </c>
      <c r="AQ571">
        <v>1.5549999999999999</v>
      </c>
      <c r="AR571">
        <v>1.552</v>
      </c>
      <c r="AS571">
        <v>1.8680000000000001</v>
      </c>
      <c r="AT571">
        <v>1.9550000000000001</v>
      </c>
      <c r="AU571">
        <v>1.9870000000000001</v>
      </c>
      <c r="AV571">
        <v>1.845</v>
      </c>
      <c r="AW571">
        <v>1.841</v>
      </c>
      <c r="AX571">
        <v>1.93</v>
      </c>
      <c r="AY571">
        <v>2014</v>
      </c>
    </row>
    <row r="572" spans="1:51" x14ac:dyDescent="0.25">
      <c r="A572">
        <v>686</v>
      </c>
      <c r="B572" t="s">
        <v>650</v>
      </c>
      <c r="C572" t="s">
        <v>279</v>
      </c>
      <c r="D572" t="s">
        <v>161</v>
      </c>
      <c r="E572" t="s">
        <v>280</v>
      </c>
      <c r="F572" t="s">
        <v>281</v>
      </c>
      <c r="G572" t="s">
        <v>282</v>
      </c>
      <c r="H572" t="s">
        <v>283</v>
      </c>
      <c r="I572" t="s">
        <v>651</v>
      </c>
      <c r="J572">
        <v>235.64400000000001</v>
      </c>
      <c r="K572">
        <v>229.12899999999999</v>
      </c>
      <c r="L572">
        <v>251.16800000000001</v>
      </c>
      <c r="M572">
        <v>249.76900000000001</v>
      </c>
      <c r="N572">
        <v>260.60199999999998</v>
      </c>
      <c r="O572">
        <v>277.08199999999999</v>
      </c>
      <c r="P572">
        <v>300.08100000000002</v>
      </c>
      <c r="Q572">
        <v>292.44600000000003</v>
      </c>
      <c r="R572">
        <v>322.90300000000002</v>
      </c>
      <c r="S572">
        <v>330.54300000000001</v>
      </c>
      <c r="T572">
        <v>343.87900000000002</v>
      </c>
      <c r="U572">
        <v>368.69400000000002</v>
      </c>
      <c r="V572">
        <v>360.96</v>
      </c>
      <c r="W572">
        <v>358.286</v>
      </c>
      <c r="X572">
        <v>396.22199999999998</v>
      </c>
      <c r="Y572">
        <v>374.80399999999997</v>
      </c>
      <c r="Z572">
        <v>421.178</v>
      </c>
      <c r="AA572">
        <v>414.60500000000002</v>
      </c>
      <c r="AB572">
        <v>444.61599999999999</v>
      </c>
      <c r="AC572">
        <v>449.42399999999998</v>
      </c>
      <c r="AD572">
        <v>458.02100000000002</v>
      </c>
      <c r="AE572">
        <v>491.548</v>
      </c>
      <c r="AF572">
        <v>506.89100000000002</v>
      </c>
      <c r="AG572">
        <v>537.10799999999995</v>
      </c>
      <c r="AH572">
        <v>562.87300000000005</v>
      </c>
      <c r="AI572">
        <v>581.40099999999995</v>
      </c>
      <c r="AJ572">
        <v>625.44000000000005</v>
      </c>
      <c r="AK572">
        <v>647.53</v>
      </c>
      <c r="AL572">
        <v>685.88499999999999</v>
      </c>
      <c r="AM572">
        <v>714.99199999999996</v>
      </c>
      <c r="AN572">
        <v>742.274</v>
      </c>
      <c r="AO572">
        <v>781.21199999999999</v>
      </c>
      <c r="AP572">
        <v>804.726</v>
      </c>
      <c r="AQ572">
        <v>842.75199999999995</v>
      </c>
      <c r="AR572">
        <v>863.12199999999996</v>
      </c>
      <c r="AS572">
        <v>905.13499999999999</v>
      </c>
      <c r="AT572">
        <v>938.28700000000003</v>
      </c>
      <c r="AU572">
        <v>983.21400000000006</v>
      </c>
      <c r="AV572" s="21">
        <v>1032.6079999999999</v>
      </c>
      <c r="AW572" s="21">
        <v>1086.672</v>
      </c>
      <c r="AX572" s="21">
        <v>1145.482</v>
      </c>
      <c r="AY572">
        <v>2014</v>
      </c>
    </row>
    <row r="573" spans="1:51" x14ac:dyDescent="0.25">
      <c r="A573">
        <v>686</v>
      </c>
      <c r="B573" t="s">
        <v>650</v>
      </c>
      <c r="C573" t="s">
        <v>286</v>
      </c>
      <c r="D573" t="s">
        <v>161</v>
      </c>
      <c r="E573" t="s">
        <v>287</v>
      </c>
      <c r="F573" t="s">
        <v>288</v>
      </c>
      <c r="G573" t="s">
        <v>282</v>
      </c>
      <c r="H573" t="s">
        <v>283</v>
      </c>
      <c r="I573" t="s">
        <v>651</v>
      </c>
      <c r="J573">
        <v>86.6</v>
      </c>
      <c r="K573">
        <v>92.379000000000005</v>
      </c>
      <c r="L573">
        <v>108.583</v>
      </c>
      <c r="M573">
        <v>115.883</v>
      </c>
      <c r="N573">
        <v>131.31399999999999</v>
      </c>
      <c r="O573">
        <v>151.374</v>
      </c>
      <c r="P573">
        <v>180.851</v>
      </c>
      <c r="Q573">
        <v>183.161</v>
      </c>
      <c r="R573">
        <v>212.999</v>
      </c>
      <c r="S573">
        <v>226.67699999999999</v>
      </c>
      <c r="T573">
        <v>248.75399999999999</v>
      </c>
      <c r="U573">
        <v>281.096</v>
      </c>
      <c r="V573">
        <v>287.82499999999999</v>
      </c>
      <c r="W573">
        <v>294.36399999999998</v>
      </c>
      <c r="X573">
        <v>327.66500000000002</v>
      </c>
      <c r="Y573">
        <v>333.31900000000002</v>
      </c>
      <c r="Z573">
        <v>376.19099999999997</v>
      </c>
      <c r="AA573">
        <v>372.96199999999999</v>
      </c>
      <c r="AB573">
        <v>401.524</v>
      </c>
      <c r="AC573">
        <v>408.17700000000002</v>
      </c>
      <c r="AD573">
        <v>412.89699999999999</v>
      </c>
      <c r="AE573">
        <v>446.012</v>
      </c>
      <c r="AF573">
        <v>465.49200000000002</v>
      </c>
      <c r="AG573">
        <v>498.48200000000003</v>
      </c>
      <c r="AH573">
        <v>528.76400000000001</v>
      </c>
      <c r="AI573">
        <v>552.67100000000005</v>
      </c>
      <c r="AJ573">
        <v>603.73699999999997</v>
      </c>
      <c r="AK573">
        <v>647.53200000000004</v>
      </c>
      <c r="AL573">
        <v>716.95899999999995</v>
      </c>
      <c r="AM573">
        <v>748.48299999999995</v>
      </c>
      <c r="AN573">
        <v>784.62400000000002</v>
      </c>
      <c r="AO573">
        <v>820.077</v>
      </c>
      <c r="AP573">
        <v>847.88099999999997</v>
      </c>
      <c r="AQ573">
        <v>901.36599999999999</v>
      </c>
      <c r="AR573">
        <v>924.76900000000001</v>
      </c>
      <c r="AS573">
        <v>998.97299999999996</v>
      </c>
      <c r="AT573" s="21">
        <v>1051.8630000000001</v>
      </c>
      <c r="AU573" s="21">
        <v>1115.0889999999999</v>
      </c>
      <c r="AV573" s="21">
        <v>1186.123</v>
      </c>
      <c r="AW573" s="21">
        <v>1267.472</v>
      </c>
      <c r="AX573" s="21">
        <v>1356.6690000000001</v>
      </c>
      <c r="AY573">
        <v>2014</v>
      </c>
    </row>
    <row r="574" spans="1:51" x14ac:dyDescent="0.25">
      <c r="A574">
        <v>686</v>
      </c>
      <c r="B574" t="s">
        <v>650</v>
      </c>
      <c r="C574" t="s">
        <v>289</v>
      </c>
      <c r="D574" t="s">
        <v>161</v>
      </c>
      <c r="E574" t="s">
        <v>287</v>
      </c>
      <c r="F574" t="s">
        <v>290</v>
      </c>
      <c r="G574" t="s">
        <v>291</v>
      </c>
      <c r="H574" t="s">
        <v>283</v>
      </c>
      <c r="I574" t="s">
        <v>292</v>
      </c>
      <c r="J574">
        <v>21.998000000000001</v>
      </c>
      <c r="K574">
        <v>17.86</v>
      </c>
      <c r="L574">
        <v>18.027999999999999</v>
      </c>
      <c r="M574">
        <v>16.295999999999999</v>
      </c>
      <c r="N574">
        <v>14.904</v>
      </c>
      <c r="O574">
        <v>15.042999999999999</v>
      </c>
      <c r="P574">
        <v>19.864000000000001</v>
      </c>
      <c r="Q574">
        <v>21.911000000000001</v>
      </c>
      <c r="R574">
        <v>25.946999999999999</v>
      </c>
      <c r="S574">
        <v>26.706</v>
      </c>
      <c r="T574">
        <v>30.18</v>
      </c>
      <c r="U574">
        <v>32.286000000000001</v>
      </c>
      <c r="V574">
        <v>33.712000000000003</v>
      </c>
      <c r="W574">
        <v>31.655999999999999</v>
      </c>
      <c r="X574">
        <v>35.604999999999997</v>
      </c>
      <c r="Y574">
        <v>39.029000000000003</v>
      </c>
      <c r="Z574">
        <v>43.161999999999999</v>
      </c>
      <c r="AA574">
        <v>39.146999999999998</v>
      </c>
      <c r="AB574">
        <v>41.805999999999997</v>
      </c>
      <c r="AC574">
        <v>41.631999999999998</v>
      </c>
      <c r="AD574">
        <v>38.859000000000002</v>
      </c>
      <c r="AE574">
        <v>39.46</v>
      </c>
      <c r="AF574">
        <v>42.238</v>
      </c>
      <c r="AG574">
        <v>52.064</v>
      </c>
      <c r="AH574">
        <v>59.625999999999998</v>
      </c>
      <c r="AI574">
        <v>62.343000000000004</v>
      </c>
      <c r="AJ574">
        <v>68.641000000000005</v>
      </c>
      <c r="AK574">
        <v>79.040999999999997</v>
      </c>
      <c r="AL574">
        <v>92.507000000000005</v>
      </c>
      <c r="AM574">
        <v>92.897000000000006</v>
      </c>
      <c r="AN574">
        <v>93.216999999999999</v>
      </c>
      <c r="AO574">
        <v>101.371</v>
      </c>
      <c r="AP574">
        <v>98.266000000000005</v>
      </c>
      <c r="AQ574">
        <v>107.235</v>
      </c>
      <c r="AR574">
        <v>110.009</v>
      </c>
      <c r="AS574">
        <v>103.075</v>
      </c>
      <c r="AT574">
        <v>109.91200000000001</v>
      </c>
      <c r="AU574">
        <v>117.551</v>
      </c>
      <c r="AV574">
        <v>126.14700000000001</v>
      </c>
      <c r="AW574">
        <v>135.994</v>
      </c>
      <c r="AX574">
        <v>146.85400000000001</v>
      </c>
      <c r="AY574">
        <v>2014</v>
      </c>
    </row>
    <row r="575" spans="1:51" x14ac:dyDescent="0.25">
      <c r="A575">
        <v>686</v>
      </c>
      <c r="B575" t="s">
        <v>650</v>
      </c>
      <c r="C575" t="s">
        <v>293</v>
      </c>
      <c r="D575" t="s">
        <v>161</v>
      </c>
      <c r="E575" t="s">
        <v>294</v>
      </c>
      <c r="F575" t="s">
        <v>295</v>
      </c>
      <c r="G575" t="s">
        <v>296</v>
      </c>
      <c r="I575" t="s">
        <v>297</v>
      </c>
      <c r="J575">
        <v>36.75</v>
      </c>
      <c r="K575">
        <v>40.317999999999998</v>
      </c>
      <c r="L575">
        <v>43.231000000000002</v>
      </c>
      <c r="M575">
        <v>46.396000000000001</v>
      </c>
      <c r="N575">
        <v>50.389000000000003</v>
      </c>
      <c r="O575">
        <v>54.631</v>
      </c>
      <c r="P575">
        <v>60.267000000000003</v>
      </c>
      <c r="Q575">
        <v>62.631</v>
      </c>
      <c r="R575">
        <v>65.963999999999999</v>
      </c>
      <c r="S575">
        <v>68.576999999999998</v>
      </c>
      <c r="T575">
        <v>72.337000000000003</v>
      </c>
      <c r="U575">
        <v>76.241</v>
      </c>
      <c r="V575">
        <v>79.739000000000004</v>
      </c>
      <c r="W575">
        <v>82.159000000000006</v>
      </c>
      <c r="X575">
        <v>82.697000000000003</v>
      </c>
      <c r="Y575">
        <v>88.930999999999997</v>
      </c>
      <c r="Z575">
        <v>89.319000000000003</v>
      </c>
      <c r="AA575">
        <v>89.956000000000003</v>
      </c>
      <c r="AB575">
        <v>90.308000000000007</v>
      </c>
      <c r="AC575">
        <v>90.822000000000003</v>
      </c>
      <c r="AD575">
        <v>90.147999999999996</v>
      </c>
      <c r="AE575">
        <v>90.736000000000004</v>
      </c>
      <c r="AF575">
        <v>91.832999999999998</v>
      </c>
      <c r="AG575">
        <v>92.808999999999997</v>
      </c>
      <c r="AH575">
        <v>93.94</v>
      </c>
      <c r="AI575">
        <v>95.058000000000007</v>
      </c>
      <c r="AJ575">
        <v>96.53</v>
      </c>
      <c r="AK575">
        <v>100</v>
      </c>
      <c r="AL575">
        <v>104.53</v>
      </c>
      <c r="AM575">
        <v>104.684</v>
      </c>
      <c r="AN575">
        <v>105.705</v>
      </c>
      <c r="AO575">
        <v>104.97499999999999</v>
      </c>
      <c r="AP575">
        <v>105.363</v>
      </c>
      <c r="AQ575">
        <v>106.955</v>
      </c>
      <c r="AR575">
        <v>107.142</v>
      </c>
      <c r="AS575">
        <v>110.367</v>
      </c>
      <c r="AT575">
        <v>112.105</v>
      </c>
      <c r="AU575">
        <v>113.413</v>
      </c>
      <c r="AV575">
        <v>114.867</v>
      </c>
      <c r="AW575">
        <v>116.63800000000001</v>
      </c>
      <c r="AX575">
        <v>118.437</v>
      </c>
      <c r="AY575">
        <v>2014</v>
      </c>
    </row>
    <row r="576" spans="1:51" x14ac:dyDescent="0.25">
      <c r="A576">
        <v>686</v>
      </c>
      <c r="B576" t="s">
        <v>650</v>
      </c>
      <c r="C576" t="s">
        <v>298</v>
      </c>
      <c r="D576" t="s">
        <v>161</v>
      </c>
      <c r="E576" t="s">
        <v>299</v>
      </c>
      <c r="F576" t="s">
        <v>300</v>
      </c>
      <c r="G576" t="s">
        <v>282</v>
      </c>
      <c r="H576" t="s">
        <v>283</v>
      </c>
      <c r="I576" t="s">
        <v>652</v>
      </c>
      <c r="J576" t="s">
        <v>285</v>
      </c>
      <c r="K576" t="s">
        <v>285</v>
      </c>
      <c r="L576" t="s">
        <v>285</v>
      </c>
      <c r="M576" t="s">
        <v>285</v>
      </c>
      <c r="N576" t="s">
        <v>285</v>
      </c>
      <c r="O576" t="s">
        <v>285</v>
      </c>
      <c r="P576" t="s">
        <v>285</v>
      </c>
      <c r="Q576" t="s">
        <v>285</v>
      </c>
      <c r="R576" t="s">
        <v>285</v>
      </c>
      <c r="S576" t="s">
        <v>285</v>
      </c>
      <c r="T576">
        <v>60.805999999999997</v>
      </c>
      <c r="U576">
        <v>63.27</v>
      </c>
      <c r="V576">
        <v>69.403999999999996</v>
      </c>
      <c r="W576">
        <v>73.62</v>
      </c>
      <c r="X576">
        <v>77.087999999999994</v>
      </c>
      <c r="Y576">
        <v>76.730999999999995</v>
      </c>
      <c r="Z576">
        <v>71.608000000000004</v>
      </c>
      <c r="AA576">
        <v>75.066999999999993</v>
      </c>
      <c r="AB576">
        <v>81.471000000000004</v>
      </c>
      <c r="AC576">
        <v>81.421000000000006</v>
      </c>
      <c r="AD576">
        <v>101.676</v>
      </c>
      <c r="AE576">
        <v>114.404</v>
      </c>
      <c r="AF576">
        <v>130.041</v>
      </c>
      <c r="AG576">
        <v>130.01</v>
      </c>
      <c r="AH576">
        <v>140.072</v>
      </c>
      <c r="AI576">
        <v>171.27600000000001</v>
      </c>
      <c r="AJ576">
        <v>169.74199999999999</v>
      </c>
      <c r="AK576">
        <v>185.214</v>
      </c>
      <c r="AL576">
        <v>219.23099999999999</v>
      </c>
      <c r="AM576">
        <v>227.66300000000001</v>
      </c>
      <c r="AN576">
        <v>243.78</v>
      </c>
      <c r="AO576">
        <v>277.17099999999999</v>
      </c>
      <c r="AP576">
        <v>299.22399999999999</v>
      </c>
      <c r="AQ576">
        <v>296.51799999999997</v>
      </c>
      <c r="AR576">
        <v>305.05599999999998</v>
      </c>
      <c r="AS576">
        <v>300.01900000000001</v>
      </c>
      <c r="AT576">
        <v>316.02300000000002</v>
      </c>
      <c r="AU576">
        <v>334.01499999999999</v>
      </c>
      <c r="AV576">
        <v>351.74799999999999</v>
      </c>
      <c r="AW576">
        <v>373.63099999999997</v>
      </c>
      <c r="AX576">
        <v>398.58100000000002</v>
      </c>
      <c r="AY576">
        <v>2014</v>
      </c>
    </row>
    <row r="577" spans="1:51" x14ac:dyDescent="0.25">
      <c r="A577">
        <v>688</v>
      </c>
      <c r="B577" t="s">
        <v>653</v>
      </c>
      <c r="C577" t="s">
        <v>279</v>
      </c>
      <c r="D577" t="s">
        <v>162</v>
      </c>
      <c r="E577" t="s">
        <v>280</v>
      </c>
      <c r="F577" t="s">
        <v>281</v>
      </c>
      <c r="G577" t="s">
        <v>282</v>
      </c>
      <c r="H577" t="s">
        <v>283</v>
      </c>
      <c r="I577" t="s">
        <v>654</v>
      </c>
      <c r="J577">
        <v>78.896000000000001</v>
      </c>
      <c r="K577">
        <v>82.84</v>
      </c>
      <c r="L577">
        <v>77.125</v>
      </c>
      <c r="M577">
        <v>65.016000000000005</v>
      </c>
      <c r="N577">
        <v>60.79</v>
      </c>
      <c r="O577">
        <v>61.398000000000003</v>
      </c>
      <c r="P577">
        <v>59.985999999999997</v>
      </c>
      <c r="Q577">
        <v>68.804000000000002</v>
      </c>
      <c r="R577">
        <v>74.444999999999993</v>
      </c>
      <c r="S577">
        <v>79.284000000000006</v>
      </c>
      <c r="T577">
        <v>80.076999999999998</v>
      </c>
      <c r="U577">
        <v>85.323999999999998</v>
      </c>
      <c r="V577">
        <v>79.397000000000006</v>
      </c>
      <c r="W577">
        <v>87.432000000000002</v>
      </c>
      <c r="X577">
        <v>93.144000000000005</v>
      </c>
      <c r="Y577">
        <v>95.352999999999994</v>
      </c>
      <c r="Z577">
        <v>108.325</v>
      </c>
      <c r="AA577">
        <v>120.28</v>
      </c>
      <c r="AB577">
        <v>132.87299999999999</v>
      </c>
      <c r="AC577">
        <v>144.46</v>
      </c>
      <c r="AD577">
        <v>145.322</v>
      </c>
      <c r="AE577">
        <v>163.78700000000001</v>
      </c>
      <c r="AF577">
        <v>178.90600000000001</v>
      </c>
      <c r="AG577">
        <v>191.20099999999999</v>
      </c>
      <c r="AH577">
        <v>207.523</v>
      </c>
      <c r="AI577">
        <v>223.57900000000001</v>
      </c>
      <c r="AJ577">
        <v>243.92500000000001</v>
      </c>
      <c r="AK577">
        <v>262.08300000000003</v>
      </c>
      <c r="AL577">
        <v>277.221</v>
      </c>
      <c r="AM577">
        <v>295.17700000000002</v>
      </c>
      <c r="AN577">
        <v>316.18400000000003</v>
      </c>
      <c r="AO577">
        <v>339.69499999999999</v>
      </c>
      <c r="AP577">
        <v>363.73899999999998</v>
      </c>
      <c r="AQ577">
        <v>390.81599999999997</v>
      </c>
      <c r="AR577">
        <v>419.63</v>
      </c>
      <c r="AS577">
        <v>449.00400000000002</v>
      </c>
      <c r="AT577">
        <v>485.822</v>
      </c>
      <c r="AU577">
        <v>524.202</v>
      </c>
      <c r="AV577">
        <v>566.13800000000003</v>
      </c>
      <c r="AW577">
        <v>610.86300000000006</v>
      </c>
      <c r="AX577">
        <v>718.12199999999996</v>
      </c>
      <c r="AY577">
        <v>2014</v>
      </c>
    </row>
    <row r="578" spans="1:51" x14ac:dyDescent="0.25">
      <c r="A578">
        <v>688</v>
      </c>
      <c r="B578" t="s">
        <v>653</v>
      </c>
      <c r="C578" t="s">
        <v>286</v>
      </c>
      <c r="D578" t="s">
        <v>162</v>
      </c>
      <c r="E578" t="s">
        <v>287</v>
      </c>
      <c r="F578" t="s">
        <v>288</v>
      </c>
      <c r="G578" t="s">
        <v>282</v>
      </c>
      <c r="H578" t="s">
        <v>283</v>
      </c>
      <c r="I578" t="s">
        <v>654</v>
      </c>
      <c r="J578">
        <v>0.188</v>
      </c>
      <c r="K578">
        <v>0.14799999999999999</v>
      </c>
      <c r="L578">
        <v>0.16200000000000001</v>
      </c>
      <c r="M578">
        <v>0.154</v>
      </c>
      <c r="N578">
        <v>0.17</v>
      </c>
      <c r="O578">
        <v>0.22800000000000001</v>
      </c>
      <c r="P578">
        <v>0.251</v>
      </c>
      <c r="Q578">
        <v>0.81100000000000005</v>
      </c>
      <c r="R578">
        <v>1.302</v>
      </c>
      <c r="S578">
        <v>2.0430000000000001</v>
      </c>
      <c r="T578">
        <v>3.85</v>
      </c>
      <c r="U578">
        <v>4.6150000000000002</v>
      </c>
      <c r="V578">
        <v>5.7210000000000001</v>
      </c>
      <c r="W578">
        <v>9.2449999999999992</v>
      </c>
      <c r="X578">
        <v>14.845000000000001</v>
      </c>
      <c r="Y578">
        <v>22.771000000000001</v>
      </c>
      <c r="Z578">
        <v>39.162999999999997</v>
      </c>
      <c r="AA578">
        <v>47.454999999999998</v>
      </c>
      <c r="AB578">
        <v>55.911999999999999</v>
      </c>
      <c r="AC578">
        <v>65.566999999999993</v>
      </c>
      <c r="AD578">
        <v>73.218000000000004</v>
      </c>
      <c r="AE578">
        <v>94.578000000000003</v>
      </c>
      <c r="AF578">
        <v>117.78100000000001</v>
      </c>
      <c r="AG578">
        <v>131.96199999999999</v>
      </c>
      <c r="AH578">
        <v>152.398</v>
      </c>
      <c r="AI578">
        <v>175.15</v>
      </c>
      <c r="AJ578">
        <v>207.44800000000001</v>
      </c>
      <c r="AK578">
        <v>237.54900000000001</v>
      </c>
      <c r="AL578">
        <v>267.95</v>
      </c>
      <c r="AM578">
        <v>295.17700000000002</v>
      </c>
      <c r="AN578">
        <v>345.21699999999998</v>
      </c>
      <c r="AO578">
        <v>385</v>
      </c>
      <c r="AP578">
        <v>424.26299999999998</v>
      </c>
      <c r="AQ578">
        <v>470.47300000000001</v>
      </c>
      <c r="AR578">
        <v>525.87099999999998</v>
      </c>
      <c r="AS578">
        <v>591.37900000000002</v>
      </c>
      <c r="AT578">
        <v>675.70500000000004</v>
      </c>
      <c r="AU578">
        <v>769.91399999999999</v>
      </c>
      <c r="AV578">
        <v>878.072</v>
      </c>
      <c r="AW578" s="21">
        <v>1000.496</v>
      </c>
      <c r="AX578" s="21">
        <v>1242.0340000000001</v>
      </c>
      <c r="AY578">
        <v>2014</v>
      </c>
    </row>
    <row r="579" spans="1:51" x14ac:dyDescent="0.25">
      <c r="A579">
        <v>688</v>
      </c>
      <c r="B579" t="s">
        <v>653</v>
      </c>
      <c r="C579" t="s">
        <v>289</v>
      </c>
      <c r="D579" t="s">
        <v>162</v>
      </c>
      <c r="E579" t="s">
        <v>287</v>
      </c>
      <c r="F579" t="s">
        <v>290</v>
      </c>
      <c r="G579" t="s">
        <v>291</v>
      </c>
      <c r="H579" t="s">
        <v>283</v>
      </c>
      <c r="I579" t="s">
        <v>292</v>
      </c>
      <c r="J579">
        <v>5.4009999999999998</v>
      </c>
      <c r="K579">
        <v>4.1950000000000003</v>
      </c>
      <c r="L579">
        <v>4.2850000000000001</v>
      </c>
      <c r="M579">
        <v>3.8380000000000001</v>
      </c>
      <c r="N579">
        <v>3.9980000000000002</v>
      </c>
      <c r="O579">
        <v>5.2850000000000001</v>
      </c>
      <c r="P579">
        <v>6.2030000000000003</v>
      </c>
      <c r="Q579">
        <v>2.8029999999999999</v>
      </c>
      <c r="R579">
        <v>2.4630000000000001</v>
      </c>
      <c r="S579">
        <v>2.5739999999999998</v>
      </c>
      <c r="T579">
        <v>4.13</v>
      </c>
      <c r="U579">
        <v>3.2170000000000001</v>
      </c>
      <c r="V579">
        <v>2.177</v>
      </c>
      <c r="W579">
        <v>2.2650000000000001</v>
      </c>
      <c r="X579">
        <v>2.4580000000000002</v>
      </c>
      <c r="Y579">
        <v>2.524</v>
      </c>
      <c r="Z579">
        <v>3.468</v>
      </c>
      <c r="AA579">
        <v>4.1100000000000003</v>
      </c>
      <c r="AB579">
        <v>4.718</v>
      </c>
      <c r="AC579">
        <v>5.1669999999999998</v>
      </c>
      <c r="AD579">
        <v>4.6669999999999998</v>
      </c>
      <c r="AE579">
        <v>4.5670000000000002</v>
      </c>
      <c r="AF579">
        <v>4.9770000000000003</v>
      </c>
      <c r="AG579">
        <v>5.5490000000000004</v>
      </c>
      <c r="AH579">
        <v>6.7489999999999997</v>
      </c>
      <c r="AI579">
        <v>7.5949999999999998</v>
      </c>
      <c r="AJ579">
        <v>8.3040000000000003</v>
      </c>
      <c r="AK579">
        <v>9.2910000000000004</v>
      </c>
      <c r="AL579">
        <v>11.084</v>
      </c>
      <c r="AM579">
        <v>11.052</v>
      </c>
      <c r="AN579">
        <v>10.468</v>
      </c>
      <c r="AO579">
        <v>13.244999999999999</v>
      </c>
      <c r="AP579">
        <v>14.867000000000001</v>
      </c>
      <c r="AQ579">
        <v>15.622</v>
      </c>
      <c r="AR579">
        <v>16.684000000000001</v>
      </c>
      <c r="AS579">
        <v>16.984999999999999</v>
      </c>
      <c r="AT579">
        <v>19.042999999999999</v>
      </c>
      <c r="AU579">
        <v>21.244</v>
      </c>
      <c r="AV579">
        <v>23.734999999999999</v>
      </c>
      <c r="AW579">
        <v>26.495000000000001</v>
      </c>
      <c r="AX579">
        <v>32.222999999999999</v>
      </c>
      <c r="AY579">
        <v>2014</v>
      </c>
    </row>
    <row r="580" spans="1:51" x14ac:dyDescent="0.25">
      <c r="A580">
        <v>688</v>
      </c>
      <c r="B580" t="s">
        <v>653</v>
      </c>
      <c r="C580" t="s">
        <v>293</v>
      </c>
      <c r="D580" t="s">
        <v>162</v>
      </c>
      <c r="E580" t="s">
        <v>294</v>
      </c>
      <c r="F580" t="s">
        <v>295</v>
      </c>
      <c r="G580" t="s">
        <v>296</v>
      </c>
      <c r="I580" t="s">
        <v>297</v>
      </c>
      <c r="J580">
        <v>0.23899999999999999</v>
      </c>
      <c r="K580">
        <v>0.17899999999999999</v>
      </c>
      <c r="L580">
        <v>0.21</v>
      </c>
      <c r="M580">
        <v>0.23699999999999999</v>
      </c>
      <c r="N580">
        <v>0.27900000000000003</v>
      </c>
      <c r="O580">
        <v>0.372</v>
      </c>
      <c r="P580">
        <v>0.41899999999999998</v>
      </c>
      <c r="Q580">
        <v>1.179</v>
      </c>
      <c r="R580">
        <v>1.7490000000000001</v>
      </c>
      <c r="S580">
        <v>2.577</v>
      </c>
      <c r="T580">
        <v>4.8079999999999998</v>
      </c>
      <c r="U580">
        <v>5.4080000000000004</v>
      </c>
      <c r="V580">
        <v>7.2050000000000001</v>
      </c>
      <c r="W580">
        <v>10.574</v>
      </c>
      <c r="X580">
        <v>15.938000000000001</v>
      </c>
      <c r="Y580">
        <v>23.881</v>
      </c>
      <c r="Z580">
        <v>36.152999999999999</v>
      </c>
      <c r="AA580">
        <v>39.454000000000001</v>
      </c>
      <c r="AB580">
        <v>42.079000000000001</v>
      </c>
      <c r="AC580">
        <v>45.387999999999998</v>
      </c>
      <c r="AD580">
        <v>50.383000000000003</v>
      </c>
      <c r="AE580">
        <v>57.744</v>
      </c>
      <c r="AF580">
        <v>65.834000000000003</v>
      </c>
      <c r="AG580">
        <v>69.018000000000001</v>
      </c>
      <c r="AH580">
        <v>73.436999999999998</v>
      </c>
      <c r="AI580">
        <v>78.338999999999999</v>
      </c>
      <c r="AJ580">
        <v>85.046000000000006</v>
      </c>
      <c r="AK580">
        <v>90.638999999999996</v>
      </c>
      <c r="AL580">
        <v>96.656000000000006</v>
      </c>
      <c r="AM580">
        <v>100</v>
      </c>
      <c r="AN580">
        <v>109.182</v>
      </c>
      <c r="AO580">
        <v>113.337</v>
      </c>
      <c r="AP580">
        <v>116.639</v>
      </c>
      <c r="AQ580">
        <v>120.38200000000001</v>
      </c>
      <c r="AR580">
        <v>125.318</v>
      </c>
      <c r="AS580">
        <v>131.709</v>
      </c>
      <c r="AT580">
        <v>139.08500000000001</v>
      </c>
      <c r="AU580">
        <v>146.874</v>
      </c>
      <c r="AV580">
        <v>155.09800000000001</v>
      </c>
      <c r="AW580">
        <v>163.78399999999999</v>
      </c>
      <c r="AX580">
        <v>172.95599999999999</v>
      </c>
      <c r="AY580">
        <v>2014</v>
      </c>
    </row>
    <row r="581" spans="1:51" x14ac:dyDescent="0.25">
      <c r="A581">
        <v>688</v>
      </c>
      <c r="B581" t="s">
        <v>653</v>
      </c>
      <c r="C581" t="s">
        <v>298</v>
      </c>
      <c r="D581" t="s">
        <v>162</v>
      </c>
      <c r="E581" t="s">
        <v>299</v>
      </c>
      <c r="F581" t="s">
        <v>300</v>
      </c>
      <c r="G581" t="s">
        <v>282</v>
      </c>
      <c r="H581" t="s">
        <v>283</v>
      </c>
      <c r="I581" t="s">
        <v>655</v>
      </c>
      <c r="J581">
        <v>2.3E-2</v>
      </c>
      <c r="K581">
        <v>0.03</v>
      </c>
      <c r="L581">
        <v>3.6999999999999998E-2</v>
      </c>
      <c r="M581">
        <v>4.7E-2</v>
      </c>
      <c r="N581">
        <v>4.4999999999999998E-2</v>
      </c>
      <c r="O581">
        <v>4.1000000000000002E-2</v>
      </c>
      <c r="P581">
        <v>5.1999999999999998E-2</v>
      </c>
      <c r="Q581">
        <v>0.159</v>
      </c>
      <c r="R581">
        <v>0.30099999999999999</v>
      </c>
      <c r="S581">
        <v>0.47199999999999998</v>
      </c>
      <c r="T581">
        <v>0.69</v>
      </c>
      <c r="U581">
        <v>0.95799999999999996</v>
      </c>
      <c r="V581">
        <v>1.4830000000000001</v>
      </c>
      <c r="W581">
        <v>2.3069999999999999</v>
      </c>
      <c r="X581">
        <v>4.0979999999999999</v>
      </c>
      <c r="Y581">
        <v>5.1820000000000004</v>
      </c>
      <c r="Z581">
        <v>6.7729999999999997</v>
      </c>
      <c r="AA581">
        <v>9.3089999999999993</v>
      </c>
      <c r="AB581">
        <v>9.8510000000000009</v>
      </c>
      <c r="AC581">
        <v>12.532999999999999</v>
      </c>
      <c r="AD581">
        <v>15.526999999999999</v>
      </c>
      <c r="AE581">
        <v>24.294</v>
      </c>
      <c r="AF581">
        <v>26.231000000000002</v>
      </c>
      <c r="AG581">
        <v>29.134</v>
      </c>
      <c r="AH581">
        <v>31.844999999999999</v>
      </c>
      <c r="AI581">
        <v>34.734000000000002</v>
      </c>
      <c r="AJ581">
        <v>48.649000000000001</v>
      </c>
      <c r="AK581">
        <v>58.447000000000003</v>
      </c>
      <c r="AL581">
        <v>66.852999999999994</v>
      </c>
      <c r="AM581">
        <v>86.700999999999993</v>
      </c>
      <c r="AN581">
        <v>103.52200000000001</v>
      </c>
      <c r="AO581">
        <v>122.80800000000001</v>
      </c>
      <c r="AP581">
        <v>133.12100000000001</v>
      </c>
      <c r="AQ581">
        <v>164.185</v>
      </c>
      <c r="AR581">
        <v>227.03200000000001</v>
      </c>
      <c r="AS581">
        <v>218.41800000000001</v>
      </c>
      <c r="AT581">
        <v>231.523</v>
      </c>
      <c r="AU581">
        <v>263.58800000000002</v>
      </c>
      <c r="AV581">
        <v>299.476</v>
      </c>
      <c r="AW581">
        <v>325.99700000000001</v>
      </c>
      <c r="AX581">
        <v>388.98500000000001</v>
      </c>
      <c r="AY581">
        <v>2013</v>
      </c>
    </row>
    <row r="582" spans="1:51" x14ac:dyDescent="0.25">
      <c r="A582">
        <v>518</v>
      </c>
      <c r="B582" t="s">
        <v>656</v>
      </c>
      <c r="C582" t="s">
        <v>279</v>
      </c>
      <c r="D582" t="s">
        <v>163</v>
      </c>
      <c r="E582" t="s">
        <v>280</v>
      </c>
      <c r="F582" t="s">
        <v>281</v>
      </c>
      <c r="G582" t="s">
        <v>282</v>
      </c>
      <c r="H582" t="s">
        <v>283</v>
      </c>
      <c r="I582" t="s">
        <v>657</v>
      </c>
      <c r="J582" t="s">
        <v>285</v>
      </c>
      <c r="K582" t="s">
        <v>285</v>
      </c>
      <c r="L582" t="s">
        <v>285</v>
      </c>
      <c r="M582" t="s">
        <v>285</v>
      </c>
      <c r="N582" t="s">
        <v>285</v>
      </c>
      <c r="O582" t="s">
        <v>285</v>
      </c>
      <c r="P582" t="s">
        <v>285</v>
      </c>
      <c r="Q582" t="s">
        <v>285</v>
      </c>
      <c r="R582" t="s">
        <v>285</v>
      </c>
      <c r="S582" t="s">
        <v>285</v>
      </c>
      <c r="T582" t="s">
        <v>285</v>
      </c>
      <c r="U582" t="s">
        <v>285</v>
      </c>
      <c r="V582" t="s">
        <v>285</v>
      </c>
      <c r="W582" t="s">
        <v>285</v>
      </c>
      <c r="X582" t="s">
        <v>285</v>
      </c>
      <c r="Y582" t="s">
        <v>285</v>
      </c>
      <c r="Z582" t="s">
        <v>285</v>
      </c>
      <c r="AA582" s="21">
        <v>11196.984</v>
      </c>
      <c r="AB582" s="21">
        <v>11843.44</v>
      </c>
      <c r="AC582" s="21">
        <v>13139.72</v>
      </c>
      <c r="AD582" s="21">
        <v>14945.897000000001</v>
      </c>
      <c r="AE582" s="21">
        <v>16641.352999999999</v>
      </c>
      <c r="AF582" s="21">
        <v>18642.562000000002</v>
      </c>
      <c r="AG582" s="21">
        <v>21223.437999999998</v>
      </c>
      <c r="AH582" s="21">
        <v>24102.325000000001</v>
      </c>
      <c r="AI582" s="21">
        <v>27372.762999999999</v>
      </c>
      <c r="AJ582" s="21">
        <v>30952.053</v>
      </c>
      <c r="AK582" s="21">
        <v>34663.65</v>
      </c>
      <c r="AL582" s="21">
        <v>35911.540999999997</v>
      </c>
      <c r="AM582" s="21">
        <v>37758.673999999999</v>
      </c>
      <c r="AN582" s="21">
        <v>39776.764999999999</v>
      </c>
      <c r="AO582" s="21">
        <v>42000.875999999997</v>
      </c>
      <c r="AP582" s="21">
        <v>45080.661999999997</v>
      </c>
      <c r="AQ582" s="21">
        <v>48879.913999999997</v>
      </c>
      <c r="AR582" s="21">
        <v>53017.711000000003</v>
      </c>
      <c r="AS582" s="21">
        <v>57523.783000000003</v>
      </c>
      <c r="AT582" s="21">
        <v>62354.298000000003</v>
      </c>
      <c r="AU582" s="21">
        <v>67554.123999999996</v>
      </c>
      <c r="AV582" s="21">
        <v>72926.216</v>
      </c>
      <c r="AW582" s="21">
        <v>78521.804000000004</v>
      </c>
      <c r="AX582" s="21">
        <v>84568.298999999999</v>
      </c>
      <c r="AY582">
        <v>2014</v>
      </c>
    </row>
    <row r="583" spans="1:51" x14ac:dyDescent="0.25">
      <c r="A583">
        <v>518</v>
      </c>
      <c r="B583" t="s">
        <v>656</v>
      </c>
      <c r="C583" t="s">
        <v>286</v>
      </c>
      <c r="D583" t="s">
        <v>163</v>
      </c>
      <c r="E583" t="s">
        <v>287</v>
      </c>
      <c r="F583" t="s">
        <v>288</v>
      </c>
      <c r="G583" t="s">
        <v>282</v>
      </c>
      <c r="H583" t="s">
        <v>283</v>
      </c>
      <c r="I583" t="s">
        <v>657</v>
      </c>
      <c r="J583" t="s">
        <v>285</v>
      </c>
      <c r="K583" t="s">
        <v>285</v>
      </c>
      <c r="L583" t="s">
        <v>285</v>
      </c>
      <c r="M583" t="s">
        <v>285</v>
      </c>
      <c r="N583" t="s">
        <v>285</v>
      </c>
      <c r="O583" t="s">
        <v>285</v>
      </c>
      <c r="P583" t="s">
        <v>285</v>
      </c>
      <c r="Q583" t="s">
        <v>285</v>
      </c>
      <c r="R583" t="s">
        <v>285</v>
      </c>
      <c r="S583" t="s">
        <v>285</v>
      </c>
      <c r="T583" t="s">
        <v>285</v>
      </c>
      <c r="U583" t="s">
        <v>285</v>
      </c>
      <c r="V583" t="s">
        <v>285</v>
      </c>
      <c r="W583" t="s">
        <v>285</v>
      </c>
      <c r="X583" t="s">
        <v>285</v>
      </c>
      <c r="Y583" t="s">
        <v>285</v>
      </c>
      <c r="Z583" t="s">
        <v>285</v>
      </c>
      <c r="AA583" s="21">
        <v>1291.932</v>
      </c>
      <c r="AB583" s="21">
        <v>1857.7070000000001</v>
      </c>
      <c r="AC583" s="21">
        <v>2527.6640000000002</v>
      </c>
      <c r="AD583" s="21">
        <v>2945.8939999999998</v>
      </c>
      <c r="AE583" s="21">
        <v>4094.9940000000001</v>
      </c>
      <c r="AF583" s="21">
        <v>6491.634</v>
      </c>
      <c r="AG583" s="21">
        <v>8905.098</v>
      </c>
      <c r="AH583" s="21">
        <v>10477.228999999999</v>
      </c>
      <c r="AI583" s="21">
        <v>14179.124</v>
      </c>
      <c r="AJ583" s="21">
        <v>19448.351999999999</v>
      </c>
      <c r="AK583" s="21">
        <v>26930.246999999999</v>
      </c>
      <c r="AL583" s="21">
        <v>31699.306</v>
      </c>
      <c r="AM583" s="21">
        <v>34957.866999999998</v>
      </c>
      <c r="AN583" s="21">
        <v>39846.694000000003</v>
      </c>
      <c r="AO583" s="21">
        <v>43238.48</v>
      </c>
      <c r="AP583" s="21">
        <v>47721.74</v>
      </c>
      <c r="AQ583" s="21">
        <v>54698.624000000003</v>
      </c>
      <c r="AR583" s="21">
        <v>62834.152000000002</v>
      </c>
      <c r="AS583" s="21">
        <v>76471.111999999994</v>
      </c>
      <c r="AT583" s="21">
        <v>92641.028000000006</v>
      </c>
      <c r="AU583" s="21">
        <v>109600.232</v>
      </c>
      <c r="AV583" s="21">
        <v>127426.276</v>
      </c>
      <c r="AW583" s="21">
        <v>146739.274</v>
      </c>
      <c r="AX583" s="21">
        <v>168469.35</v>
      </c>
      <c r="AY583">
        <v>2014</v>
      </c>
    </row>
    <row r="584" spans="1:51" x14ac:dyDescent="0.25">
      <c r="A584">
        <v>518</v>
      </c>
      <c r="B584" t="s">
        <v>656</v>
      </c>
      <c r="C584" t="s">
        <v>289</v>
      </c>
      <c r="D584" t="s">
        <v>163</v>
      </c>
      <c r="E584" t="s">
        <v>287</v>
      </c>
      <c r="F584" t="s">
        <v>290</v>
      </c>
      <c r="G584" t="s">
        <v>291</v>
      </c>
      <c r="H584" t="s">
        <v>283</v>
      </c>
      <c r="I584" t="s">
        <v>292</v>
      </c>
      <c r="J584" t="s">
        <v>285</v>
      </c>
      <c r="K584" t="s">
        <v>285</v>
      </c>
      <c r="L584" t="s">
        <v>285</v>
      </c>
      <c r="M584" t="s">
        <v>285</v>
      </c>
      <c r="N584" t="s">
        <v>285</v>
      </c>
      <c r="O584" t="s">
        <v>285</v>
      </c>
      <c r="P584" t="s">
        <v>285</v>
      </c>
      <c r="Q584" t="s">
        <v>285</v>
      </c>
      <c r="R584" t="s">
        <v>285</v>
      </c>
      <c r="S584" t="s">
        <v>285</v>
      </c>
      <c r="T584" t="s">
        <v>285</v>
      </c>
      <c r="U584" t="s">
        <v>285</v>
      </c>
      <c r="V584" t="s">
        <v>285</v>
      </c>
      <c r="W584" t="s">
        <v>285</v>
      </c>
      <c r="X584" t="s">
        <v>285</v>
      </c>
      <c r="Y584" t="s">
        <v>285</v>
      </c>
      <c r="Z584" t="s">
        <v>285</v>
      </c>
      <c r="AA584" t="s">
        <v>285</v>
      </c>
      <c r="AB584">
        <v>7.4539999999999997</v>
      </c>
      <c r="AC584">
        <v>9.7940000000000005</v>
      </c>
      <c r="AD584">
        <v>10.276999999999999</v>
      </c>
      <c r="AE584">
        <v>7.4749999999999996</v>
      </c>
      <c r="AF584">
        <v>7.8209999999999997</v>
      </c>
      <c r="AG584">
        <v>12.079000000000001</v>
      </c>
      <c r="AH584">
        <v>12.195</v>
      </c>
      <c r="AI584">
        <v>13.833</v>
      </c>
      <c r="AJ584">
        <v>16.736000000000001</v>
      </c>
      <c r="AK584">
        <v>23.291</v>
      </c>
      <c r="AL584">
        <v>34.549999999999997</v>
      </c>
      <c r="AM584">
        <v>38.064999999999998</v>
      </c>
      <c r="AN584">
        <v>49.628</v>
      </c>
      <c r="AO584">
        <v>56.002000000000002</v>
      </c>
      <c r="AP584">
        <v>55.609000000000002</v>
      </c>
      <c r="AQ584">
        <v>56.698999999999998</v>
      </c>
      <c r="AR584">
        <v>63.134999999999998</v>
      </c>
      <c r="AS584">
        <v>65.775000000000006</v>
      </c>
      <c r="AT584">
        <v>71.275000000000006</v>
      </c>
      <c r="AU584">
        <v>79.046000000000006</v>
      </c>
      <c r="AV584">
        <v>87.474000000000004</v>
      </c>
      <c r="AW584">
        <v>96.408000000000001</v>
      </c>
      <c r="AX584">
        <v>106.221</v>
      </c>
      <c r="AY584">
        <v>2014</v>
      </c>
    </row>
    <row r="585" spans="1:51" x14ac:dyDescent="0.25">
      <c r="A585">
        <v>518</v>
      </c>
      <c r="B585" t="s">
        <v>656</v>
      </c>
      <c r="C585" t="s">
        <v>293</v>
      </c>
      <c r="D585" t="s">
        <v>163</v>
      </c>
      <c r="E585" t="s">
        <v>294</v>
      </c>
      <c r="F585" t="s">
        <v>295</v>
      </c>
      <c r="G585" t="s">
        <v>296</v>
      </c>
      <c r="I585" t="s">
        <v>297</v>
      </c>
      <c r="J585" t="s">
        <v>285</v>
      </c>
      <c r="K585" t="s">
        <v>285</v>
      </c>
      <c r="L585" t="s">
        <v>285</v>
      </c>
      <c r="M585" t="s">
        <v>285</v>
      </c>
      <c r="N585" t="s">
        <v>285</v>
      </c>
      <c r="O585" t="s">
        <v>285</v>
      </c>
      <c r="P585" t="s">
        <v>285</v>
      </c>
      <c r="Q585" t="s">
        <v>285</v>
      </c>
      <c r="R585" t="s">
        <v>285</v>
      </c>
      <c r="S585" t="s">
        <v>285</v>
      </c>
      <c r="T585" t="s">
        <v>285</v>
      </c>
      <c r="U585" t="s">
        <v>285</v>
      </c>
      <c r="V585" t="s">
        <v>285</v>
      </c>
      <c r="W585" t="s">
        <v>285</v>
      </c>
      <c r="X585" t="s">
        <v>285</v>
      </c>
      <c r="Y585" t="s">
        <v>285</v>
      </c>
      <c r="Z585" t="s">
        <v>285</v>
      </c>
      <c r="AA585">
        <v>11.538</v>
      </c>
      <c r="AB585">
        <v>15.686</v>
      </c>
      <c r="AC585">
        <v>19.236999999999998</v>
      </c>
      <c r="AD585">
        <v>19.71</v>
      </c>
      <c r="AE585">
        <v>24.606999999999999</v>
      </c>
      <c r="AF585">
        <v>34.822000000000003</v>
      </c>
      <c r="AG585">
        <v>41.959000000000003</v>
      </c>
      <c r="AH585">
        <v>43.47</v>
      </c>
      <c r="AI585">
        <v>51.8</v>
      </c>
      <c r="AJ585">
        <v>62.834000000000003</v>
      </c>
      <c r="AK585">
        <v>77.69</v>
      </c>
      <c r="AL585">
        <v>88.271000000000001</v>
      </c>
      <c r="AM585">
        <v>92.581999999999994</v>
      </c>
      <c r="AN585">
        <v>100.176</v>
      </c>
      <c r="AO585">
        <v>102.947</v>
      </c>
      <c r="AP585">
        <v>105.85899999999999</v>
      </c>
      <c r="AQ585">
        <v>111.904</v>
      </c>
      <c r="AR585">
        <v>118.515</v>
      </c>
      <c r="AS585">
        <v>132.93799999999999</v>
      </c>
      <c r="AT585">
        <v>148.572</v>
      </c>
      <c r="AU585">
        <v>162.24100000000001</v>
      </c>
      <c r="AV585">
        <v>174.733</v>
      </c>
      <c r="AW585">
        <v>186.87700000000001</v>
      </c>
      <c r="AX585">
        <v>199.21100000000001</v>
      </c>
      <c r="AY585">
        <v>2014</v>
      </c>
    </row>
    <row r="586" spans="1:51" x14ac:dyDescent="0.25">
      <c r="A586">
        <v>518</v>
      </c>
      <c r="B586" t="s">
        <v>656</v>
      </c>
      <c r="C586" t="s">
        <v>298</v>
      </c>
      <c r="D586" t="s">
        <v>163</v>
      </c>
      <c r="E586" t="s">
        <v>299</v>
      </c>
      <c r="F586" t="s">
        <v>300</v>
      </c>
      <c r="G586" t="s">
        <v>282</v>
      </c>
      <c r="H586" t="s">
        <v>283</v>
      </c>
      <c r="I586" t="s">
        <v>658</v>
      </c>
      <c r="J586" t="s">
        <v>285</v>
      </c>
      <c r="K586" t="s">
        <v>285</v>
      </c>
      <c r="L586" t="s">
        <v>285</v>
      </c>
      <c r="M586" t="s">
        <v>285</v>
      </c>
      <c r="N586" t="s">
        <v>285</v>
      </c>
      <c r="O586" t="s">
        <v>285</v>
      </c>
      <c r="P586" t="s">
        <v>285</v>
      </c>
      <c r="Q586" t="s">
        <v>285</v>
      </c>
      <c r="R586" t="s">
        <v>285</v>
      </c>
      <c r="S586" t="s">
        <v>285</v>
      </c>
      <c r="T586" t="s">
        <v>285</v>
      </c>
      <c r="U586" t="s">
        <v>285</v>
      </c>
      <c r="V586" t="s">
        <v>285</v>
      </c>
      <c r="W586" t="s">
        <v>285</v>
      </c>
      <c r="X586" t="s">
        <v>285</v>
      </c>
      <c r="Y586" t="s">
        <v>285</v>
      </c>
      <c r="Z586" t="s">
        <v>285</v>
      </c>
      <c r="AA586">
        <v>303.95699999999999</v>
      </c>
      <c r="AB586">
        <v>408.4</v>
      </c>
      <c r="AC586">
        <v>487.625</v>
      </c>
      <c r="AD586">
        <v>591.76800000000003</v>
      </c>
      <c r="AE586">
        <v>666.97</v>
      </c>
      <c r="AF586">
        <v>853.99599999999998</v>
      </c>
      <c r="AG586" s="21">
        <v>1245.703</v>
      </c>
      <c r="AH586" s="21">
        <v>1480.6959999999999</v>
      </c>
      <c r="AI586" s="21">
        <v>2064.6280000000002</v>
      </c>
      <c r="AJ586" s="21">
        <v>3187.2939999999999</v>
      </c>
      <c r="AK586" s="21">
        <v>4177.0720000000001</v>
      </c>
      <c r="AL586" s="21">
        <v>4451.5479999999998</v>
      </c>
      <c r="AM586" s="21">
        <v>5462.9560000000001</v>
      </c>
      <c r="AN586" s="21">
        <v>6721.9669999999996</v>
      </c>
      <c r="AO586" s="21">
        <v>7207.8069999999998</v>
      </c>
      <c r="AP586" s="21">
        <v>11954.915000000001</v>
      </c>
      <c r="AQ586" s="21">
        <v>13732.031999999999</v>
      </c>
      <c r="AR586" s="21">
        <v>18404.578000000001</v>
      </c>
      <c r="AS586" s="21">
        <v>19582.469000000001</v>
      </c>
      <c r="AT586" s="21">
        <v>23379.256000000001</v>
      </c>
      <c r="AU586" s="21">
        <v>27761.947</v>
      </c>
      <c r="AV586" s="21">
        <v>33057.563000000002</v>
      </c>
      <c r="AW586" s="21">
        <v>38685.826000000001</v>
      </c>
      <c r="AX586" s="21">
        <v>44799.743999999999</v>
      </c>
      <c r="AY586">
        <v>2014</v>
      </c>
    </row>
    <row r="587" spans="1:51" x14ac:dyDescent="0.25">
      <c r="A587">
        <v>728</v>
      </c>
      <c r="B587" t="s">
        <v>659</v>
      </c>
      <c r="C587" t="s">
        <v>279</v>
      </c>
      <c r="D587" t="s">
        <v>164</v>
      </c>
      <c r="E587" t="s">
        <v>280</v>
      </c>
      <c r="F587" t="s">
        <v>281</v>
      </c>
      <c r="G587" t="s">
        <v>282</v>
      </c>
      <c r="H587" t="s">
        <v>283</v>
      </c>
      <c r="I587" t="s">
        <v>660</v>
      </c>
      <c r="J587" t="s">
        <v>285</v>
      </c>
      <c r="K587" t="s">
        <v>285</v>
      </c>
      <c r="L587" t="s">
        <v>285</v>
      </c>
      <c r="M587" t="s">
        <v>285</v>
      </c>
      <c r="N587" t="s">
        <v>285</v>
      </c>
      <c r="O587" t="s">
        <v>285</v>
      </c>
      <c r="P587" t="s">
        <v>285</v>
      </c>
      <c r="Q587" t="s">
        <v>285</v>
      </c>
      <c r="R587" t="s">
        <v>285</v>
      </c>
      <c r="S587" t="s">
        <v>285</v>
      </c>
      <c r="T587">
        <v>18.795000000000002</v>
      </c>
      <c r="U587">
        <v>19.798999999999999</v>
      </c>
      <c r="V587">
        <v>21.635000000000002</v>
      </c>
      <c r="W587">
        <v>21.283999999999999</v>
      </c>
      <c r="X587">
        <v>21.923999999999999</v>
      </c>
      <c r="Y587">
        <v>22.826000000000001</v>
      </c>
      <c r="Z587">
        <v>23.555</v>
      </c>
      <c r="AA587">
        <v>24.547999999999998</v>
      </c>
      <c r="AB587">
        <v>25.356000000000002</v>
      </c>
      <c r="AC587">
        <v>26.21</v>
      </c>
      <c r="AD587">
        <v>27.126000000000001</v>
      </c>
      <c r="AE587">
        <v>27.776</v>
      </c>
      <c r="AF587">
        <v>29.631</v>
      </c>
      <c r="AG587">
        <v>30.661000000000001</v>
      </c>
      <c r="AH587">
        <v>32.695</v>
      </c>
      <c r="AI587">
        <v>34.222000000000001</v>
      </c>
      <c r="AJ587">
        <v>35.573</v>
      </c>
      <c r="AK587">
        <v>36.869999999999997</v>
      </c>
      <c r="AL587">
        <v>37.845999999999997</v>
      </c>
      <c r="AM587">
        <v>37.957999999999998</v>
      </c>
      <c r="AN587">
        <v>40.250999999999998</v>
      </c>
      <c r="AO587">
        <v>42.311999999999998</v>
      </c>
      <c r="AP587">
        <v>44.488999999999997</v>
      </c>
      <c r="AQ587">
        <v>46.765999999999998</v>
      </c>
      <c r="AR587">
        <v>48.851999999999997</v>
      </c>
      <c r="AS587">
        <v>51.186999999999998</v>
      </c>
      <c r="AT587">
        <v>53.762999999999998</v>
      </c>
      <c r="AU587">
        <v>57.119</v>
      </c>
      <c r="AV587">
        <v>60.436</v>
      </c>
      <c r="AW587">
        <v>63.142000000000003</v>
      </c>
      <c r="AX587">
        <v>65.891999999999996</v>
      </c>
      <c r="AY587">
        <v>2014</v>
      </c>
    </row>
    <row r="588" spans="1:51" x14ac:dyDescent="0.25">
      <c r="A588">
        <v>728</v>
      </c>
      <c r="B588" t="s">
        <v>659</v>
      </c>
      <c r="C588" t="s">
        <v>286</v>
      </c>
      <c r="D588" t="s">
        <v>164</v>
      </c>
      <c r="E588" t="s">
        <v>287</v>
      </c>
      <c r="F588" t="s">
        <v>288</v>
      </c>
      <c r="G588" t="s">
        <v>282</v>
      </c>
      <c r="H588" t="s">
        <v>283</v>
      </c>
      <c r="I588" t="s">
        <v>660</v>
      </c>
      <c r="J588" t="s">
        <v>285</v>
      </c>
      <c r="K588" t="s">
        <v>285</v>
      </c>
      <c r="L588" t="s">
        <v>285</v>
      </c>
      <c r="M588" t="s">
        <v>285</v>
      </c>
      <c r="N588" t="s">
        <v>285</v>
      </c>
      <c r="O588" t="s">
        <v>285</v>
      </c>
      <c r="P588" t="s">
        <v>285</v>
      </c>
      <c r="Q588" t="s">
        <v>285</v>
      </c>
      <c r="R588" t="s">
        <v>285</v>
      </c>
      <c r="S588" t="s">
        <v>285</v>
      </c>
      <c r="T588">
        <v>7.3440000000000003</v>
      </c>
      <c r="U588">
        <v>7.88</v>
      </c>
      <c r="V588">
        <v>8.5939999999999994</v>
      </c>
      <c r="W588">
        <v>9.4450000000000003</v>
      </c>
      <c r="X588">
        <v>11.548999999999999</v>
      </c>
      <c r="Y588">
        <v>12.706</v>
      </c>
      <c r="Z588">
        <v>15.010999999999999</v>
      </c>
      <c r="AA588">
        <v>16.75</v>
      </c>
      <c r="AB588">
        <v>17.786999999999999</v>
      </c>
      <c r="AC588">
        <v>20.684000000000001</v>
      </c>
      <c r="AD588">
        <v>27.126000000000001</v>
      </c>
      <c r="AE588">
        <v>30.538</v>
      </c>
      <c r="AF588">
        <v>35.43</v>
      </c>
      <c r="AG588">
        <v>37.305999999999997</v>
      </c>
      <c r="AH588">
        <v>42.679000000000002</v>
      </c>
      <c r="AI588">
        <v>46.176000000000002</v>
      </c>
      <c r="AJ588">
        <v>54.026000000000003</v>
      </c>
      <c r="AK588">
        <v>61.582999999999998</v>
      </c>
      <c r="AL588">
        <v>70.108999999999995</v>
      </c>
      <c r="AM588">
        <v>75.212000000000003</v>
      </c>
      <c r="AN588">
        <v>82.597999999999999</v>
      </c>
      <c r="AO588">
        <v>90.128</v>
      </c>
      <c r="AP588">
        <v>106.744</v>
      </c>
      <c r="AQ588">
        <v>124.86</v>
      </c>
      <c r="AR588">
        <v>145.745</v>
      </c>
      <c r="AS588">
        <v>162.041</v>
      </c>
      <c r="AT588">
        <v>180.41</v>
      </c>
      <c r="AU588">
        <v>203.07499999999999</v>
      </c>
      <c r="AV588">
        <v>227.65299999999999</v>
      </c>
      <c r="AW588">
        <v>251.52099999999999</v>
      </c>
      <c r="AX588">
        <v>277.56900000000002</v>
      </c>
      <c r="AY588">
        <v>2014</v>
      </c>
    </row>
    <row r="589" spans="1:51" x14ac:dyDescent="0.25">
      <c r="A589">
        <v>728</v>
      </c>
      <c r="B589" t="s">
        <v>659</v>
      </c>
      <c r="C589" t="s">
        <v>289</v>
      </c>
      <c r="D589" t="s">
        <v>164</v>
      </c>
      <c r="E589" t="s">
        <v>287</v>
      </c>
      <c r="F589" t="s">
        <v>290</v>
      </c>
      <c r="G589" t="s">
        <v>291</v>
      </c>
      <c r="H589" t="s">
        <v>283</v>
      </c>
      <c r="I589" t="s">
        <v>292</v>
      </c>
      <c r="J589" t="s">
        <v>285</v>
      </c>
      <c r="K589" t="s">
        <v>285</v>
      </c>
      <c r="L589" t="s">
        <v>285</v>
      </c>
      <c r="M589" t="s">
        <v>285</v>
      </c>
      <c r="N589" t="s">
        <v>285</v>
      </c>
      <c r="O589" t="s">
        <v>285</v>
      </c>
      <c r="P589" t="s">
        <v>285</v>
      </c>
      <c r="Q589" t="s">
        <v>285</v>
      </c>
      <c r="R589" t="s">
        <v>285</v>
      </c>
      <c r="S589" t="s">
        <v>285</v>
      </c>
      <c r="T589">
        <v>2.8380000000000001</v>
      </c>
      <c r="U589">
        <v>2.8540000000000001</v>
      </c>
      <c r="V589">
        <v>3.0139999999999998</v>
      </c>
      <c r="W589">
        <v>2.891</v>
      </c>
      <c r="X589">
        <v>3.254</v>
      </c>
      <c r="Y589">
        <v>3.5030000000000001</v>
      </c>
      <c r="Z589">
        <v>3.4940000000000002</v>
      </c>
      <c r="AA589">
        <v>3.6360000000000001</v>
      </c>
      <c r="AB589">
        <v>3.2149999999999999</v>
      </c>
      <c r="AC589">
        <v>3.3839999999999999</v>
      </c>
      <c r="AD589">
        <v>3.911</v>
      </c>
      <c r="AE589">
        <v>3.55</v>
      </c>
      <c r="AF589">
        <v>3.3690000000000002</v>
      </c>
      <c r="AG589">
        <v>4.9320000000000004</v>
      </c>
      <c r="AH589">
        <v>6.617</v>
      </c>
      <c r="AI589">
        <v>7.258</v>
      </c>
      <c r="AJ589">
        <v>7.9779999999999998</v>
      </c>
      <c r="AK589">
        <v>8.7409999999999997</v>
      </c>
      <c r="AL589">
        <v>8.4860000000000007</v>
      </c>
      <c r="AM589">
        <v>8.8759999999999994</v>
      </c>
      <c r="AN589">
        <v>11.282999999999999</v>
      </c>
      <c r="AO589">
        <v>12.426</v>
      </c>
      <c r="AP589">
        <v>13.002000000000001</v>
      </c>
      <c r="AQ589">
        <v>12.938000000000001</v>
      </c>
      <c r="AR589">
        <v>13.632</v>
      </c>
      <c r="AS589">
        <v>12.855</v>
      </c>
      <c r="AT589">
        <v>13.702999999999999</v>
      </c>
      <c r="AU589">
        <v>14.923999999999999</v>
      </c>
      <c r="AV589">
        <v>16.215</v>
      </c>
      <c r="AW589">
        <v>17.37</v>
      </c>
      <c r="AX589">
        <v>18.661000000000001</v>
      </c>
      <c r="AY589">
        <v>2014</v>
      </c>
    </row>
    <row r="590" spans="1:51" x14ac:dyDescent="0.25">
      <c r="A590">
        <v>728</v>
      </c>
      <c r="B590" t="s">
        <v>659</v>
      </c>
      <c r="C590" t="s">
        <v>293</v>
      </c>
      <c r="D590" t="s">
        <v>164</v>
      </c>
      <c r="E590" t="s">
        <v>294</v>
      </c>
      <c r="F590" t="s">
        <v>295</v>
      </c>
      <c r="G590" t="s">
        <v>296</v>
      </c>
      <c r="I590" t="s">
        <v>297</v>
      </c>
      <c r="J590" t="s">
        <v>285</v>
      </c>
      <c r="K590" t="s">
        <v>285</v>
      </c>
      <c r="L590" t="s">
        <v>285</v>
      </c>
      <c r="M590" t="s">
        <v>285</v>
      </c>
      <c r="N590" t="s">
        <v>285</v>
      </c>
      <c r="O590" t="s">
        <v>285</v>
      </c>
      <c r="P590" t="s">
        <v>285</v>
      </c>
      <c r="Q590" t="s">
        <v>285</v>
      </c>
      <c r="R590" t="s">
        <v>285</v>
      </c>
      <c r="S590" t="s">
        <v>285</v>
      </c>
      <c r="T590">
        <v>39.073</v>
      </c>
      <c r="U590">
        <v>39.801000000000002</v>
      </c>
      <c r="V590">
        <v>39.725000000000001</v>
      </c>
      <c r="W590">
        <v>44.375999999999998</v>
      </c>
      <c r="X590">
        <v>52.677999999999997</v>
      </c>
      <c r="Y590">
        <v>55.664000000000001</v>
      </c>
      <c r="Z590">
        <v>63.726999999999997</v>
      </c>
      <c r="AA590">
        <v>68.234999999999999</v>
      </c>
      <c r="AB590">
        <v>70.150000000000006</v>
      </c>
      <c r="AC590">
        <v>78.917000000000002</v>
      </c>
      <c r="AD590">
        <v>100</v>
      </c>
      <c r="AE590">
        <v>109.944</v>
      </c>
      <c r="AF590">
        <v>119.571</v>
      </c>
      <c r="AG590">
        <v>121.67100000000001</v>
      </c>
      <c r="AH590">
        <v>130.53700000000001</v>
      </c>
      <c r="AI590">
        <v>134.93100000000001</v>
      </c>
      <c r="AJ590">
        <v>151.874</v>
      </c>
      <c r="AK590">
        <v>167.02799999999999</v>
      </c>
      <c r="AL590">
        <v>185.24799999999999</v>
      </c>
      <c r="AM590">
        <v>198.14699999999999</v>
      </c>
      <c r="AN590">
        <v>205.209</v>
      </c>
      <c r="AO590">
        <v>213.00899999999999</v>
      </c>
      <c r="AP590">
        <v>239.93199999999999</v>
      </c>
      <c r="AQ590">
        <v>266.99</v>
      </c>
      <c r="AR590">
        <v>298.339</v>
      </c>
      <c r="AS590">
        <v>316.57</v>
      </c>
      <c r="AT590">
        <v>335.56400000000002</v>
      </c>
      <c r="AU590">
        <v>355.53</v>
      </c>
      <c r="AV590">
        <v>376.68400000000003</v>
      </c>
      <c r="AW590">
        <v>398.34399999999999</v>
      </c>
      <c r="AX590">
        <v>421.24799999999999</v>
      </c>
      <c r="AY590">
        <v>2014</v>
      </c>
    </row>
    <row r="591" spans="1:51" x14ac:dyDescent="0.25">
      <c r="A591">
        <v>728</v>
      </c>
      <c r="B591" t="s">
        <v>659</v>
      </c>
      <c r="C591" t="s">
        <v>298</v>
      </c>
      <c r="D591" t="s">
        <v>164</v>
      </c>
      <c r="E591" t="s">
        <v>299</v>
      </c>
      <c r="F591" t="s">
        <v>300</v>
      </c>
      <c r="G591" t="s">
        <v>282</v>
      </c>
      <c r="H591" t="s">
        <v>283</v>
      </c>
      <c r="I591" t="s">
        <v>661</v>
      </c>
      <c r="J591" t="s">
        <v>285</v>
      </c>
      <c r="K591" t="s">
        <v>285</v>
      </c>
      <c r="L591" t="s">
        <v>285</v>
      </c>
      <c r="M591" t="s">
        <v>285</v>
      </c>
      <c r="N591" t="s">
        <v>285</v>
      </c>
      <c r="O591" t="s">
        <v>285</v>
      </c>
      <c r="P591" t="s">
        <v>285</v>
      </c>
      <c r="Q591" t="s">
        <v>285</v>
      </c>
      <c r="R591" t="s">
        <v>285</v>
      </c>
      <c r="S591" t="s">
        <v>285</v>
      </c>
      <c r="T591">
        <v>2.0089999999999999</v>
      </c>
      <c r="U591">
        <v>2.59</v>
      </c>
      <c r="V591">
        <v>3.0830000000000002</v>
      </c>
      <c r="W591">
        <v>3.3460000000000001</v>
      </c>
      <c r="X591">
        <v>3.6040000000000001</v>
      </c>
      <c r="Y591">
        <v>4.2430000000000003</v>
      </c>
      <c r="Z591">
        <v>5.17</v>
      </c>
      <c r="AA591">
        <v>5.8559999999999999</v>
      </c>
      <c r="AB591">
        <v>6.6260000000000003</v>
      </c>
      <c r="AC591">
        <v>7.44</v>
      </c>
      <c r="AD591">
        <v>8.2330000000000005</v>
      </c>
      <c r="AE591">
        <v>9.4559999999999995</v>
      </c>
      <c r="AF591">
        <v>10.657999999999999</v>
      </c>
      <c r="AG591">
        <v>11.696999999999999</v>
      </c>
      <c r="AH591">
        <v>12.22</v>
      </c>
      <c r="AI591">
        <v>12.906000000000001</v>
      </c>
      <c r="AJ591">
        <v>14.285</v>
      </c>
      <c r="AK591">
        <v>15.926</v>
      </c>
      <c r="AL591">
        <v>19.670000000000002</v>
      </c>
      <c r="AM591">
        <v>23.975999999999999</v>
      </c>
      <c r="AN591">
        <v>27.367000000000001</v>
      </c>
      <c r="AO591">
        <v>34.573999999999998</v>
      </c>
      <c r="AP591">
        <v>37.447000000000003</v>
      </c>
      <c r="AQ591">
        <v>44.982999999999997</v>
      </c>
      <c r="AR591">
        <v>55.518000000000001</v>
      </c>
      <c r="AS591">
        <v>64.224000000000004</v>
      </c>
      <c r="AT591">
        <v>68.778999999999996</v>
      </c>
      <c r="AU591">
        <v>71.087000000000003</v>
      </c>
      <c r="AV591">
        <v>73.150000000000006</v>
      </c>
      <c r="AW591">
        <v>76.012</v>
      </c>
      <c r="AX591">
        <v>80.843000000000004</v>
      </c>
      <c r="AY591">
        <v>2015</v>
      </c>
    </row>
    <row r="592" spans="1:51" x14ac:dyDescent="0.25">
      <c r="A592">
        <v>558</v>
      </c>
      <c r="B592" t="s">
        <v>662</v>
      </c>
      <c r="C592" t="s">
        <v>279</v>
      </c>
      <c r="D592" t="s">
        <v>166</v>
      </c>
      <c r="E592" t="s">
        <v>280</v>
      </c>
      <c r="F592" t="s">
        <v>281</v>
      </c>
      <c r="G592" t="s">
        <v>282</v>
      </c>
      <c r="H592" t="s">
        <v>283</v>
      </c>
      <c r="I592" t="s">
        <v>663</v>
      </c>
      <c r="J592">
        <v>161.548</v>
      </c>
      <c r="K592">
        <v>175.023</v>
      </c>
      <c r="L592">
        <v>181.63900000000001</v>
      </c>
      <c r="M592">
        <v>176.23</v>
      </c>
      <c r="N592">
        <v>193.291</v>
      </c>
      <c r="O592">
        <v>205.16900000000001</v>
      </c>
      <c r="P592">
        <v>214.53700000000001</v>
      </c>
      <c r="Q592">
        <v>218.18299999999999</v>
      </c>
      <c r="R592">
        <v>234.976</v>
      </c>
      <c r="S592">
        <v>245.14500000000001</v>
      </c>
      <c r="T592">
        <v>256.50799999999998</v>
      </c>
      <c r="U592">
        <v>272.83800000000002</v>
      </c>
      <c r="V592">
        <v>284.04599999999999</v>
      </c>
      <c r="W592">
        <v>294.97300000000001</v>
      </c>
      <c r="X592">
        <v>319.21699999999998</v>
      </c>
      <c r="Y592">
        <v>330.28899999999999</v>
      </c>
      <c r="Z592">
        <v>347.91899999999998</v>
      </c>
      <c r="AA592">
        <v>366.22300000000001</v>
      </c>
      <c r="AB592">
        <v>376.99900000000002</v>
      </c>
      <c r="AC592">
        <v>393.9</v>
      </c>
      <c r="AD592">
        <v>417.99099999999999</v>
      </c>
      <c r="AE592">
        <v>441.51799999999997</v>
      </c>
      <c r="AF592">
        <v>442.04899999999998</v>
      </c>
      <c r="AG592">
        <v>459.488</v>
      </c>
      <c r="AH592">
        <v>481.00400000000002</v>
      </c>
      <c r="AI592">
        <v>497.73899999999998</v>
      </c>
      <c r="AJ592">
        <v>514.48599999999999</v>
      </c>
      <c r="AK592">
        <v>532.03800000000001</v>
      </c>
      <c r="AL592">
        <v>564.51700000000005</v>
      </c>
      <c r="AM592">
        <v>590.10699999999997</v>
      </c>
      <c r="AN592">
        <v>618.529</v>
      </c>
      <c r="AO592">
        <v>639.69399999999996</v>
      </c>
      <c r="AP592">
        <v>670.279</v>
      </c>
      <c r="AQ592">
        <v>697.95399999999995</v>
      </c>
      <c r="AR592">
        <v>735.50800000000004</v>
      </c>
      <c r="AS592">
        <v>760.24300000000005</v>
      </c>
      <c r="AT592">
        <v>793.6</v>
      </c>
      <c r="AU592">
        <v>836.13</v>
      </c>
      <c r="AV592">
        <v>868.928</v>
      </c>
      <c r="AW592">
        <v>901.93399999999997</v>
      </c>
      <c r="AX592">
        <v>935.83699999999999</v>
      </c>
      <c r="AY592">
        <v>2014</v>
      </c>
    </row>
    <row r="593" spans="1:51" x14ac:dyDescent="0.25">
      <c r="A593">
        <v>558</v>
      </c>
      <c r="B593" t="s">
        <v>662</v>
      </c>
      <c r="C593" t="s">
        <v>286</v>
      </c>
      <c r="D593" t="s">
        <v>166</v>
      </c>
      <c r="E593" t="s">
        <v>287</v>
      </c>
      <c r="F593" t="s">
        <v>288</v>
      </c>
      <c r="G593" t="s">
        <v>282</v>
      </c>
      <c r="H593" t="s">
        <v>283</v>
      </c>
      <c r="I593" t="s">
        <v>663</v>
      </c>
      <c r="J593">
        <v>23.759</v>
      </c>
      <c r="K593">
        <v>27.783999999999999</v>
      </c>
      <c r="L593">
        <v>30.27</v>
      </c>
      <c r="M593">
        <v>35.317</v>
      </c>
      <c r="N593">
        <v>41.77</v>
      </c>
      <c r="O593">
        <v>50.012</v>
      </c>
      <c r="P593">
        <v>59.822000000000003</v>
      </c>
      <c r="Q593">
        <v>68.56</v>
      </c>
      <c r="R593">
        <v>82.561000000000007</v>
      </c>
      <c r="S593">
        <v>95.832999999999998</v>
      </c>
      <c r="T593">
        <v>111.021</v>
      </c>
      <c r="U593">
        <v>132.905</v>
      </c>
      <c r="V593">
        <v>163.94399999999999</v>
      </c>
      <c r="W593">
        <v>188.601</v>
      </c>
      <c r="X593">
        <v>213.92500000000001</v>
      </c>
      <c r="Y593">
        <v>235.292</v>
      </c>
      <c r="Z593">
        <v>267.21699999999998</v>
      </c>
      <c r="AA593">
        <v>301.14</v>
      </c>
      <c r="AB593">
        <v>322.96800000000002</v>
      </c>
      <c r="AC593">
        <v>367.18799999999999</v>
      </c>
      <c r="AD593">
        <v>407.39400000000001</v>
      </c>
      <c r="AE593">
        <v>441.51900000000001</v>
      </c>
      <c r="AF593">
        <v>459.44299999999998</v>
      </c>
      <c r="AG593">
        <v>492.23099999999999</v>
      </c>
      <c r="AH593">
        <v>536.74900000000002</v>
      </c>
      <c r="AI593">
        <v>589.41200000000003</v>
      </c>
      <c r="AJ593">
        <v>654.08399999999995</v>
      </c>
      <c r="AK593">
        <v>727.827</v>
      </c>
      <c r="AL593">
        <v>815.65800000000002</v>
      </c>
      <c r="AM593">
        <v>988.27200000000005</v>
      </c>
      <c r="AN593" s="21">
        <v>1192.7739999999999</v>
      </c>
      <c r="AO593" s="21">
        <v>1366.954</v>
      </c>
      <c r="AP593" s="21">
        <v>1527.3440000000001</v>
      </c>
      <c r="AQ593" s="21">
        <v>1695.011</v>
      </c>
      <c r="AR593" s="21">
        <v>1941.624</v>
      </c>
      <c r="AS593" s="21">
        <v>2124.65</v>
      </c>
      <c r="AT593" s="21">
        <v>2396.152</v>
      </c>
      <c r="AU593" s="21">
        <v>2732.8409999999999</v>
      </c>
      <c r="AV593" s="21">
        <v>3060.1410000000001</v>
      </c>
      <c r="AW593" s="21">
        <v>3351.0810000000001</v>
      </c>
      <c r="AX593" s="21">
        <v>3650.8969999999999</v>
      </c>
      <c r="AY593">
        <v>2014</v>
      </c>
    </row>
    <row r="594" spans="1:51" x14ac:dyDescent="0.25">
      <c r="A594">
        <v>558</v>
      </c>
      <c r="B594" t="s">
        <v>662</v>
      </c>
      <c r="C594" t="s">
        <v>289</v>
      </c>
      <c r="D594" t="s">
        <v>166</v>
      </c>
      <c r="E594" t="s">
        <v>287</v>
      </c>
      <c r="F594" t="s">
        <v>290</v>
      </c>
      <c r="G594" t="s">
        <v>291</v>
      </c>
      <c r="H594" t="s">
        <v>283</v>
      </c>
      <c r="I594" t="s">
        <v>292</v>
      </c>
      <c r="J594">
        <v>1.98</v>
      </c>
      <c r="K594">
        <v>2.3149999999999999</v>
      </c>
      <c r="L594">
        <v>2.34</v>
      </c>
      <c r="M594">
        <v>2.56</v>
      </c>
      <c r="N594">
        <v>2.7080000000000002</v>
      </c>
      <c r="O594">
        <v>2.8119999999999998</v>
      </c>
      <c r="P594">
        <v>3.06</v>
      </c>
      <c r="Q594">
        <v>3.1749999999999998</v>
      </c>
      <c r="R594">
        <v>3.7429999999999999</v>
      </c>
      <c r="S594">
        <v>3.7839999999999998</v>
      </c>
      <c r="T594">
        <v>3.8940000000000001</v>
      </c>
      <c r="U594">
        <v>4.2610000000000001</v>
      </c>
      <c r="V594">
        <v>3.8719999999999999</v>
      </c>
      <c r="W594">
        <v>4.1580000000000004</v>
      </c>
      <c r="X594">
        <v>4.3440000000000003</v>
      </c>
      <c r="Y594">
        <v>4.7160000000000002</v>
      </c>
      <c r="Z594">
        <v>4.8609999999999998</v>
      </c>
      <c r="AA594">
        <v>5.2839999999999998</v>
      </c>
      <c r="AB594">
        <v>5.2530000000000001</v>
      </c>
      <c r="AC594">
        <v>5.4039999999999999</v>
      </c>
      <c r="AD594">
        <v>5.7309999999999999</v>
      </c>
      <c r="AE594">
        <v>5.891</v>
      </c>
      <c r="AF594">
        <v>5.976</v>
      </c>
      <c r="AG594">
        <v>6.3280000000000003</v>
      </c>
      <c r="AH594">
        <v>7.274</v>
      </c>
      <c r="AI594">
        <v>8.18</v>
      </c>
      <c r="AJ594">
        <v>9.0440000000000005</v>
      </c>
      <c r="AK594">
        <v>10.324999999999999</v>
      </c>
      <c r="AL594">
        <v>12.545</v>
      </c>
      <c r="AM594">
        <v>12.855</v>
      </c>
      <c r="AN594">
        <v>16.001999999999999</v>
      </c>
      <c r="AO594">
        <v>19.010999999999999</v>
      </c>
      <c r="AP594">
        <v>18.852</v>
      </c>
      <c r="AQ594">
        <v>19.27</v>
      </c>
      <c r="AR594">
        <v>19.760999999999999</v>
      </c>
      <c r="AS594">
        <v>21.356000000000002</v>
      </c>
      <c r="AT594">
        <v>24.067</v>
      </c>
      <c r="AU594">
        <v>26.388000000000002</v>
      </c>
      <c r="AV594">
        <v>28.555</v>
      </c>
      <c r="AW594">
        <v>30.271000000000001</v>
      </c>
      <c r="AX594">
        <v>32.1</v>
      </c>
      <c r="AY594">
        <v>2014</v>
      </c>
    </row>
    <row r="595" spans="1:51" x14ac:dyDescent="0.25">
      <c r="A595">
        <v>558</v>
      </c>
      <c r="B595" t="s">
        <v>662</v>
      </c>
      <c r="C595" t="s">
        <v>293</v>
      </c>
      <c r="D595" t="s">
        <v>166</v>
      </c>
      <c r="E595" t="s">
        <v>294</v>
      </c>
      <c r="F595" t="s">
        <v>295</v>
      </c>
      <c r="G595" t="s">
        <v>296</v>
      </c>
      <c r="I595" t="s">
        <v>297</v>
      </c>
      <c r="J595">
        <v>14.707000000000001</v>
      </c>
      <c r="K595">
        <v>15.874000000000001</v>
      </c>
      <c r="L595">
        <v>16.664999999999999</v>
      </c>
      <c r="M595">
        <v>20.041</v>
      </c>
      <c r="N595">
        <v>21.61</v>
      </c>
      <c r="O595">
        <v>24.376000000000001</v>
      </c>
      <c r="P595">
        <v>27.884</v>
      </c>
      <c r="Q595">
        <v>31.422999999999998</v>
      </c>
      <c r="R595">
        <v>35.136000000000003</v>
      </c>
      <c r="S595">
        <v>39.093000000000004</v>
      </c>
      <c r="T595">
        <v>43.281999999999996</v>
      </c>
      <c r="U595">
        <v>48.712000000000003</v>
      </c>
      <c r="V595">
        <v>57.716999999999999</v>
      </c>
      <c r="W595">
        <v>63.938000000000002</v>
      </c>
      <c r="X595">
        <v>67.016000000000005</v>
      </c>
      <c r="Y595">
        <v>71.238</v>
      </c>
      <c r="Z595">
        <v>76.804000000000002</v>
      </c>
      <c r="AA595">
        <v>82.228999999999999</v>
      </c>
      <c r="AB595">
        <v>85.668000000000006</v>
      </c>
      <c r="AC595">
        <v>93.218999999999994</v>
      </c>
      <c r="AD595">
        <v>97.465000000000003</v>
      </c>
      <c r="AE595">
        <v>100</v>
      </c>
      <c r="AF595">
        <v>103.935</v>
      </c>
      <c r="AG595">
        <v>107.126</v>
      </c>
      <c r="AH595">
        <v>111.589</v>
      </c>
      <c r="AI595">
        <v>118.41800000000001</v>
      </c>
      <c r="AJ595">
        <v>127.134</v>
      </c>
      <c r="AK595">
        <v>136.80000000000001</v>
      </c>
      <c r="AL595">
        <v>144.488</v>
      </c>
      <c r="AM595">
        <v>167.47300000000001</v>
      </c>
      <c r="AN595">
        <v>192.84</v>
      </c>
      <c r="AO595">
        <v>213.68899999999999</v>
      </c>
      <c r="AP595">
        <v>227.86699999999999</v>
      </c>
      <c r="AQ595">
        <v>242.85400000000001</v>
      </c>
      <c r="AR595">
        <v>263.98399999999998</v>
      </c>
      <c r="AS595">
        <v>279.47000000000003</v>
      </c>
      <c r="AT595">
        <v>301.93400000000003</v>
      </c>
      <c r="AU595">
        <v>326.84399999999999</v>
      </c>
      <c r="AV595">
        <v>352.17399999999998</v>
      </c>
      <c r="AW595">
        <v>371.54399999999998</v>
      </c>
      <c r="AX595">
        <v>390.12099999999998</v>
      </c>
      <c r="AY595">
        <v>2014</v>
      </c>
    </row>
    <row r="596" spans="1:51" x14ac:dyDescent="0.25">
      <c r="A596">
        <v>558</v>
      </c>
      <c r="B596" t="s">
        <v>662</v>
      </c>
      <c r="C596" t="s">
        <v>298</v>
      </c>
      <c r="D596" t="s">
        <v>166</v>
      </c>
      <c r="E596" t="s">
        <v>299</v>
      </c>
      <c r="F596" t="s">
        <v>300</v>
      </c>
      <c r="G596" t="s">
        <v>282</v>
      </c>
      <c r="H596" t="s">
        <v>283</v>
      </c>
      <c r="I596" t="s">
        <v>664</v>
      </c>
      <c r="J596" t="s">
        <v>285</v>
      </c>
      <c r="K596" t="s">
        <v>285</v>
      </c>
      <c r="L596" t="s">
        <v>285</v>
      </c>
      <c r="M596" t="s">
        <v>285</v>
      </c>
      <c r="N596" t="s">
        <v>285</v>
      </c>
      <c r="O596" t="s">
        <v>285</v>
      </c>
      <c r="P596" t="s">
        <v>285</v>
      </c>
      <c r="Q596" t="s">
        <v>285</v>
      </c>
      <c r="R596" t="s">
        <v>285</v>
      </c>
      <c r="S596" t="s">
        <v>285</v>
      </c>
      <c r="T596" t="s">
        <v>285</v>
      </c>
      <c r="U596" t="s">
        <v>285</v>
      </c>
      <c r="V596" t="s">
        <v>285</v>
      </c>
      <c r="W596" t="s">
        <v>285</v>
      </c>
      <c r="X596" t="s">
        <v>285</v>
      </c>
      <c r="Y596" t="s">
        <v>285</v>
      </c>
      <c r="Z596" t="s">
        <v>285</v>
      </c>
      <c r="AA596" t="s">
        <v>285</v>
      </c>
      <c r="AB596" t="s">
        <v>285</v>
      </c>
      <c r="AC596" t="s">
        <v>285</v>
      </c>
      <c r="AD596">
        <v>53.24</v>
      </c>
      <c r="AE596">
        <v>65.094999999999999</v>
      </c>
      <c r="AF596">
        <v>68.149000000000001</v>
      </c>
      <c r="AG596">
        <v>67.17</v>
      </c>
      <c r="AH596">
        <v>72.263000000000005</v>
      </c>
      <c r="AI596">
        <v>81.069000000000003</v>
      </c>
      <c r="AJ596">
        <v>83.384</v>
      </c>
      <c r="AK596">
        <v>108.883</v>
      </c>
      <c r="AL596">
        <v>125.233</v>
      </c>
      <c r="AM596">
        <v>191.66300000000001</v>
      </c>
      <c r="AN596">
        <v>223.97300000000001</v>
      </c>
      <c r="AO596">
        <v>254.96</v>
      </c>
      <c r="AP596">
        <v>294.827</v>
      </c>
      <c r="AQ596">
        <v>291.755</v>
      </c>
      <c r="AR596">
        <v>361.81700000000001</v>
      </c>
      <c r="AS596">
        <v>413.541</v>
      </c>
      <c r="AT596">
        <v>573.86400000000003</v>
      </c>
      <c r="AU596">
        <v>653.24099999999999</v>
      </c>
      <c r="AV596">
        <v>719.95899999999995</v>
      </c>
      <c r="AW596">
        <v>746.63</v>
      </c>
      <c r="AX596">
        <v>823.33100000000002</v>
      </c>
      <c r="AY596">
        <v>2014</v>
      </c>
    </row>
    <row r="597" spans="1:51" x14ac:dyDescent="0.25">
      <c r="A597">
        <v>138</v>
      </c>
      <c r="B597" t="s">
        <v>665</v>
      </c>
      <c r="C597" t="s">
        <v>279</v>
      </c>
      <c r="D597" t="s">
        <v>7</v>
      </c>
      <c r="E597" t="s">
        <v>280</v>
      </c>
      <c r="F597" t="s">
        <v>281</v>
      </c>
      <c r="G597" t="s">
        <v>282</v>
      </c>
      <c r="H597" t="s">
        <v>283</v>
      </c>
      <c r="I597" t="s">
        <v>666</v>
      </c>
      <c r="J597">
        <v>318.55900000000003</v>
      </c>
      <c r="K597">
        <v>316.92200000000003</v>
      </c>
      <c r="L597">
        <v>312.85700000000003</v>
      </c>
      <c r="M597">
        <v>318.35599999999999</v>
      </c>
      <c r="N597">
        <v>328.28699999999998</v>
      </c>
      <c r="O597">
        <v>337.00700000000001</v>
      </c>
      <c r="P597">
        <v>347.53899999999999</v>
      </c>
      <c r="Q597">
        <v>353.97</v>
      </c>
      <c r="R597">
        <v>370.20400000000001</v>
      </c>
      <c r="S597">
        <v>386.57</v>
      </c>
      <c r="T597">
        <v>402.738</v>
      </c>
      <c r="U597">
        <v>412.565</v>
      </c>
      <c r="V597">
        <v>419.60500000000002</v>
      </c>
      <c r="W597">
        <v>424.875</v>
      </c>
      <c r="X597">
        <v>437.45299999999997</v>
      </c>
      <c r="Y597">
        <v>448.67</v>
      </c>
      <c r="Z597">
        <v>464.65199999999999</v>
      </c>
      <c r="AA597">
        <v>484.62</v>
      </c>
      <c r="AB597">
        <v>506.58</v>
      </c>
      <c r="AC597">
        <v>532.15300000000002</v>
      </c>
      <c r="AD597">
        <v>554.74300000000005</v>
      </c>
      <c r="AE597">
        <v>566.54600000000005</v>
      </c>
      <c r="AF597">
        <v>567.12699999999995</v>
      </c>
      <c r="AG597">
        <v>568.74300000000005</v>
      </c>
      <c r="AH597">
        <v>580.279</v>
      </c>
      <c r="AI597">
        <v>592.79</v>
      </c>
      <c r="AJ597">
        <v>613.65599999999995</v>
      </c>
      <c r="AK597">
        <v>636.33399999999995</v>
      </c>
      <c r="AL597">
        <v>647.20500000000004</v>
      </c>
      <c r="AM597">
        <v>622.78800000000001</v>
      </c>
      <c r="AN597">
        <v>631.51199999999994</v>
      </c>
      <c r="AO597">
        <v>642.01800000000003</v>
      </c>
      <c r="AP597">
        <v>635.23400000000004</v>
      </c>
      <c r="AQ597">
        <v>632.096</v>
      </c>
      <c r="AR597">
        <v>638.49800000000005</v>
      </c>
      <c r="AS597">
        <v>649.97400000000005</v>
      </c>
      <c r="AT597">
        <v>662.096</v>
      </c>
      <c r="AU597">
        <v>674.93200000000002</v>
      </c>
      <c r="AV597">
        <v>687.50599999999997</v>
      </c>
      <c r="AW597">
        <v>700.94899999999996</v>
      </c>
      <c r="AX597">
        <v>715.82799999999997</v>
      </c>
      <c r="AY597">
        <v>2014</v>
      </c>
    </row>
    <row r="598" spans="1:51" x14ac:dyDescent="0.25">
      <c r="A598">
        <v>138</v>
      </c>
      <c r="B598" t="s">
        <v>665</v>
      </c>
      <c r="C598" t="s">
        <v>286</v>
      </c>
      <c r="D598" t="s">
        <v>7</v>
      </c>
      <c r="E598" t="s">
        <v>287</v>
      </c>
      <c r="F598" t="s">
        <v>288</v>
      </c>
      <c r="G598" t="s">
        <v>282</v>
      </c>
      <c r="H598" t="s">
        <v>283</v>
      </c>
      <c r="I598" t="s">
        <v>666</v>
      </c>
      <c r="J598">
        <v>170.73599999999999</v>
      </c>
      <c r="K598">
        <v>179.03200000000001</v>
      </c>
      <c r="L598">
        <v>186.279</v>
      </c>
      <c r="M598">
        <v>193.53399999999999</v>
      </c>
      <c r="N598">
        <v>202.364</v>
      </c>
      <c r="O598">
        <v>211.47900000000001</v>
      </c>
      <c r="P598">
        <v>218.30600000000001</v>
      </c>
      <c r="Q598">
        <v>221.65</v>
      </c>
      <c r="R598">
        <v>231.15700000000001</v>
      </c>
      <c r="S598">
        <v>244.62899999999999</v>
      </c>
      <c r="T598">
        <v>258.83699999999999</v>
      </c>
      <c r="U598">
        <v>273.41399999999999</v>
      </c>
      <c r="V598">
        <v>285.02</v>
      </c>
      <c r="W598">
        <v>293.21499999999997</v>
      </c>
      <c r="X598">
        <v>308.12400000000002</v>
      </c>
      <c r="Y598">
        <v>325.34100000000001</v>
      </c>
      <c r="Z598">
        <v>340.964</v>
      </c>
      <c r="AA598">
        <v>364.96100000000001</v>
      </c>
      <c r="AB598">
        <v>389.315</v>
      </c>
      <c r="AC598">
        <v>414.83800000000002</v>
      </c>
      <c r="AD598">
        <v>448.06099999999998</v>
      </c>
      <c r="AE598">
        <v>476.69600000000003</v>
      </c>
      <c r="AF598">
        <v>494.50099999999998</v>
      </c>
      <c r="AG598">
        <v>506.67099999999999</v>
      </c>
      <c r="AH598">
        <v>523.93899999999996</v>
      </c>
      <c r="AI598">
        <v>545.60900000000004</v>
      </c>
      <c r="AJ598">
        <v>579.21199999999999</v>
      </c>
      <c r="AK598">
        <v>613.28</v>
      </c>
      <c r="AL598">
        <v>639.16300000000001</v>
      </c>
      <c r="AM598">
        <v>617.54</v>
      </c>
      <c r="AN598">
        <v>631.51199999999994</v>
      </c>
      <c r="AO598">
        <v>642.92899999999997</v>
      </c>
      <c r="AP598">
        <v>645.16399999999999</v>
      </c>
      <c r="AQ598">
        <v>650.85699999999997</v>
      </c>
      <c r="AR598">
        <v>662.77</v>
      </c>
      <c r="AS598">
        <v>674.81100000000004</v>
      </c>
      <c r="AT598">
        <v>700.37300000000005</v>
      </c>
      <c r="AU598">
        <v>724.15099999999995</v>
      </c>
      <c r="AV598">
        <v>749.36400000000003</v>
      </c>
      <c r="AW598">
        <v>776.23500000000001</v>
      </c>
      <c r="AX598">
        <v>805.56600000000003</v>
      </c>
      <c r="AY598">
        <v>2014</v>
      </c>
    </row>
    <row r="599" spans="1:51" x14ac:dyDescent="0.25">
      <c r="A599">
        <v>138</v>
      </c>
      <c r="B599" t="s">
        <v>665</v>
      </c>
      <c r="C599" t="s">
        <v>289</v>
      </c>
      <c r="D599" t="s">
        <v>7</v>
      </c>
      <c r="E599" t="s">
        <v>287</v>
      </c>
      <c r="F599" t="s">
        <v>290</v>
      </c>
      <c r="G599" t="s">
        <v>291</v>
      </c>
      <c r="H599" t="s">
        <v>283</v>
      </c>
      <c r="I599" t="s">
        <v>292</v>
      </c>
      <c r="J599">
        <v>189.524</v>
      </c>
      <c r="K599">
        <v>158.86699999999999</v>
      </c>
      <c r="L599">
        <v>153.892</v>
      </c>
      <c r="M599">
        <v>149.82400000000001</v>
      </c>
      <c r="N599">
        <v>139.46799999999999</v>
      </c>
      <c r="O599">
        <v>141.524</v>
      </c>
      <c r="P599">
        <v>197.21700000000001</v>
      </c>
      <c r="Q599">
        <v>241.53100000000001</v>
      </c>
      <c r="R599">
        <v>258.30900000000003</v>
      </c>
      <c r="S599">
        <v>254.53800000000001</v>
      </c>
      <c r="T599">
        <v>314.01600000000002</v>
      </c>
      <c r="U599">
        <v>323.51100000000002</v>
      </c>
      <c r="V599">
        <v>358.00099999999998</v>
      </c>
      <c r="W599">
        <v>348.101</v>
      </c>
      <c r="X599">
        <v>373.91800000000001</v>
      </c>
      <c r="Y599">
        <v>446.93200000000002</v>
      </c>
      <c r="Z599">
        <v>445.84500000000003</v>
      </c>
      <c r="AA599">
        <v>412.71699999999998</v>
      </c>
      <c r="AB599">
        <v>433.08600000000001</v>
      </c>
      <c r="AC599">
        <v>442.55500000000001</v>
      </c>
      <c r="AD599">
        <v>414.01799999999997</v>
      </c>
      <c r="AE599">
        <v>426.94</v>
      </c>
      <c r="AF599">
        <v>467.01600000000002</v>
      </c>
      <c r="AG599">
        <v>572.95799999999997</v>
      </c>
      <c r="AH599">
        <v>651.41600000000005</v>
      </c>
      <c r="AI599">
        <v>679.69500000000005</v>
      </c>
      <c r="AJ599">
        <v>727.28700000000003</v>
      </c>
      <c r="AK599">
        <v>840.58299999999997</v>
      </c>
      <c r="AL599">
        <v>940.66499999999996</v>
      </c>
      <c r="AM599">
        <v>860.10799999999995</v>
      </c>
      <c r="AN599">
        <v>837.94899999999996</v>
      </c>
      <c r="AO599">
        <v>894.57600000000002</v>
      </c>
      <c r="AP599">
        <v>829.40599999999995</v>
      </c>
      <c r="AQ599">
        <v>864.43899999999996</v>
      </c>
      <c r="AR599">
        <v>880.71600000000001</v>
      </c>
      <c r="AS599">
        <v>750.78200000000004</v>
      </c>
      <c r="AT599">
        <v>782.93399999999997</v>
      </c>
      <c r="AU599">
        <v>818.49199999999996</v>
      </c>
      <c r="AV599">
        <v>855.63699999999994</v>
      </c>
      <c r="AW599">
        <v>893.29200000000003</v>
      </c>
      <c r="AX599">
        <v>940.74900000000002</v>
      </c>
      <c r="AY599">
        <v>2014</v>
      </c>
    </row>
    <row r="600" spans="1:51" x14ac:dyDescent="0.25">
      <c r="A600">
        <v>138</v>
      </c>
      <c r="B600" t="s">
        <v>665</v>
      </c>
      <c r="C600" t="s">
        <v>293</v>
      </c>
      <c r="D600" t="s">
        <v>7</v>
      </c>
      <c r="E600" t="s">
        <v>294</v>
      </c>
      <c r="F600" t="s">
        <v>295</v>
      </c>
      <c r="G600" t="s">
        <v>296</v>
      </c>
      <c r="I600" t="s">
        <v>297</v>
      </c>
      <c r="J600">
        <v>53.595999999999997</v>
      </c>
      <c r="K600">
        <v>56.491</v>
      </c>
      <c r="L600">
        <v>59.540999999999997</v>
      </c>
      <c r="M600">
        <v>60.792000000000002</v>
      </c>
      <c r="N600">
        <v>61.642000000000003</v>
      </c>
      <c r="O600">
        <v>62.752000000000002</v>
      </c>
      <c r="P600">
        <v>62.814999999999998</v>
      </c>
      <c r="Q600">
        <v>62.618000000000002</v>
      </c>
      <c r="R600">
        <v>62.44</v>
      </c>
      <c r="S600">
        <v>63.281999999999996</v>
      </c>
      <c r="T600">
        <v>64.269000000000005</v>
      </c>
      <c r="U600">
        <v>66.272000000000006</v>
      </c>
      <c r="V600">
        <v>67.926000000000002</v>
      </c>
      <c r="W600">
        <v>69.012</v>
      </c>
      <c r="X600">
        <v>70.436000000000007</v>
      </c>
      <c r="Y600">
        <v>72.512</v>
      </c>
      <c r="Z600">
        <v>73.381</v>
      </c>
      <c r="AA600">
        <v>75.308999999999997</v>
      </c>
      <c r="AB600">
        <v>76.852000000000004</v>
      </c>
      <c r="AC600">
        <v>77.954999999999998</v>
      </c>
      <c r="AD600">
        <v>80.769000000000005</v>
      </c>
      <c r="AE600">
        <v>84.141000000000005</v>
      </c>
      <c r="AF600">
        <v>87.194000000000003</v>
      </c>
      <c r="AG600">
        <v>89.085999999999999</v>
      </c>
      <c r="AH600">
        <v>90.290999999999997</v>
      </c>
      <c r="AI600">
        <v>92.040999999999997</v>
      </c>
      <c r="AJ600">
        <v>94.387</v>
      </c>
      <c r="AK600">
        <v>96.376999999999995</v>
      </c>
      <c r="AL600">
        <v>98.757000000000005</v>
      </c>
      <c r="AM600">
        <v>99.156999999999996</v>
      </c>
      <c r="AN600">
        <v>100</v>
      </c>
      <c r="AO600">
        <v>100.142</v>
      </c>
      <c r="AP600">
        <v>101.563</v>
      </c>
      <c r="AQ600">
        <v>102.968</v>
      </c>
      <c r="AR600">
        <v>103.801</v>
      </c>
      <c r="AS600">
        <v>103.821</v>
      </c>
      <c r="AT600">
        <v>105.78100000000001</v>
      </c>
      <c r="AU600">
        <v>107.292</v>
      </c>
      <c r="AV600">
        <v>108.997</v>
      </c>
      <c r="AW600">
        <v>110.741</v>
      </c>
      <c r="AX600">
        <v>112.536</v>
      </c>
      <c r="AY600">
        <v>2014</v>
      </c>
    </row>
    <row r="601" spans="1:51" x14ac:dyDescent="0.25">
      <c r="A601">
        <v>138</v>
      </c>
      <c r="B601" t="s">
        <v>665</v>
      </c>
      <c r="C601" t="s">
        <v>298</v>
      </c>
      <c r="D601" t="s">
        <v>7</v>
      </c>
      <c r="E601" t="s">
        <v>299</v>
      </c>
      <c r="F601" t="s">
        <v>300</v>
      </c>
      <c r="G601" t="s">
        <v>282</v>
      </c>
      <c r="H601" t="s">
        <v>283</v>
      </c>
      <c r="I601" t="s">
        <v>667</v>
      </c>
      <c r="J601">
        <v>90.022999999999996</v>
      </c>
      <c r="K601">
        <v>97.234999999999999</v>
      </c>
      <c r="L601">
        <v>105.08799999999999</v>
      </c>
      <c r="M601">
        <v>109.193</v>
      </c>
      <c r="N601">
        <v>112.358</v>
      </c>
      <c r="O601">
        <v>114.995</v>
      </c>
      <c r="P601">
        <v>117.93</v>
      </c>
      <c r="Q601">
        <v>122.054</v>
      </c>
      <c r="R601">
        <v>122.676</v>
      </c>
      <c r="S601">
        <v>125.39700000000001</v>
      </c>
      <c r="T601">
        <v>133.79499999999999</v>
      </c>
      <c r="U601">
        <v>141.40199999999999</v>
      </c>
      <c r="V601">
        <v>149.38999999999999</v>
      </c>
      <c r="W601">
        <v>153.78399999999999</v>
      </c>
      <c r="X601">
        <v>155.25</v>
      </c>
      <c r="Y601">
        <v>172.30500000000001</v>
      </c>
      <c r="Z601">
        <v>158.06399999999999</v>
      </c>
      <c r="AA601">
        <v>162.715</v>
      </c>
      <c r="AB601">
        <v>169.17599999999999</v>
      </c>
      <c r="AC601">
        <v>180.33600000000001</v>
      </c>
      <c r="AD601">
        <v>187.16200000000001</v>
      </c>
      <c r="AE601">
        <v>205.64599999999999</v>
      </c>
      <c r="AF601">
        <v>217.15</v>
      </c>
      <c r="AG601">
        <v>226.69800000000001</v>
      </c>
      <c r="AH601">
        <v>228.65700000000001</v>
      </c>
      <c r="AI601">
        <v>230.88399999999999</v>
      </c>
      <c r="AJ601">
        <v>249.298</v>
      </c>
      <c r="AK601">
        <v>260.35300000000001</v>
      </c>
      <c r="AL601">
        <v>278.45499999999998</v>
      </c>
      <c r="AM601">
        <v>297.536</v>
      </c>
      <c r="AN601">
        <v>304.447</v>
      </c>
      <c r="AO601">
        <v>302.26900000000001</v>
      </c>
      <c r="AP601">
        <v>304.03500000000003</v>
      </c>
      <c r="AQ601">
        <v>300.78800000000001</v>
      </c>
      <c r="AR601">
        <v>305.42399999999998</v>
      </c>
      <c r="AS601">
        <v>300.06099999999998</v>
      </c>
      <c r="AT601">
        <v>305.47300000000001</v>
      </c>
      <c r="AU601">
        <v>313.30700000000002</v>
      </c>
      <c r="AV601">
        <v>321.61200000000002</v>
      </c>
      <c r="AW601">
        <v>330.46899999999999</v>
      </c>
      <c r="AX601">
        <v>340.20100000000002</v>
      </c>
      <c r="AY601">
        <v>2014</v>
      </c>
    </row>
    <row r="602" spans="1:51" x14ac:dyDescent="0.25">
      <c r="A602">
        <v>196</v>
      </c>
      <c r="B602" t="s">
        <v>668</v>
      </c>
      <c r="C602" t="s">
        <v>279</v>
      </c>
      <c r="D602" t="s">
        <v>167</v>
      </c>
      <c r="E602" t="s">
        <v>280</v>
      </c>
      <c r="F602" t="s">
        <v>281</v>
      </c>
      <c r="G602" t="s">
        <v>282</v>
      </c>
      <c r="H602" t="s">
        <v>283</v>
      </c>
      <c r="I602" t="s">
        <v>669</v>
      </c>
      <c r="J602">
        <v>89.974999999999994</v>
      </c>
      <c r="K602">
        <v>92.64</v>
      </c>
      <c r="L602">
        <v>95.305999999999997</v>
      </c>
      <c r="M602">
        <v>95.186999999999998</v>
      </c>
      <c r="N602">
        <v>101.715</v>
      </c>
      <c r="O602">
        <v>102.949</v>
      </c>
      <c r="P602">
        <v>104.813</v>
      </c>
      <c r="Q602">
        <v>107.366</v>
      </c>
      <c r="R602">
        <v>107.962</v>
      </c>
      <c r="S602">
        <v>109.599</v>
      </c>
      <c r="T602">
        <v>110.828</v>
      </c>
      <c r="U602">
        <v>108.468</v>
      </c>
      <c r="V602">
        <v>109.416</v>
      </c>
      <c r="W602">
        <v>114.79300000000001</v>
      </c>
      <c r="X602">
        <v>122.444</v>
      </c>
      <c r="Y602">
        <v>127.586</v>
      </c>
      <c r="Z602">
        <v>132.61699999999999</v>
      </c>
      <c r="AA602">
        <v>136.54499999999999</v>
      </c>
      <c r="AB602">
        <v>137.49</v>
      </c>
      <c r="AC602">
        <v>143.71899999999999</v>
      </c>
      <c r="AD602">
        <v>149.43700000000001</v>
      </c>
      <c r="AE602">
        <v>152.65799999999999</v>
      </c>
      <c r="AF602">
        <v>160.59899999999999</v>
      </c>
      <c r="AG602">
        <v>168.01599999999999</v>
      </c>
      <c r="AH602">
        <v>175.36600000000001</v>
      </c>
      <c r="AI602">
        <v>180.30500000000001</v>
      </c>
      <c r="AJ602">
        <v>184.55</v>
      </c>
      <c r="AK602">
        <v>191.404</v>
      </c>
      <c r="AL602">
        <v>189.81299999999999</v>
      </c>
      <c r="AM602">
        <v>190.68299999999999</v>
      </c>
      <c r="AN602">
        <v>194.524</v>
      </c>
      <c r="AO602">
        <v>197.114</v>
      </c>
      <c r="AP602">
        <v>202.804</v>
      </c>
      <c r="AQ602">
        <v>207.83600000000001</v>
      </c>
      <c r="AR602">
        <v>214.714</v>
      </c>
      <c r="AS602">
        <v>219.48500000000001</v>
      </c>
      <c r="AT602">
        <v>224.809</v>
      </c>
      <c r="AU602">
        <v>230.29499999999999</v>
      </c>
      <c r="AV602">
        <v>236.06100000000001</v>
      </c>
      <c r="AW602">
        <v>241.982</v>
      </c>
      <c r="AX602">
        <v>248.15</v>
      </c>
      <c r="AY602">
        <v>2014</v>
      </c>
    </row>
    <row r="603" spans="1:51" x14ac:dyDescent="0.25">
      <c r="A603">
        <v>196</v>
      </c>
      <c r="B603" t="s">
        <v>668</v>
      </c>
      <c r="C603" t="s">
        <v>286</v>
      </c>
      <c r="D603" t="s">
        <v>167</v>
      </c>
      <c r="E603" t="s">
        <v>287</v>
      </c>
      <c r="F603" t="s">
        <v>288</v>
      </c>
      <c r="G603" t="s">
        <v>282</v>
      </c>
      <c r="H603" t="s">
        <v>283</v>
      </c>
      <c r="I603" t="s">
        <v>669</v>
      </c>
      <c r="J603">
        <v>23.117000000000001</v>
      </c>
      <c r="K603">
        <v>26.943000000000001</v>
      </c>
      <c r="L603">
        <v>30.864000000000001</v>
      </c>
      <c r="M603">
        <v>33.572000000000003</v>
      </c>
      <c r="N603">
        <v>38.630000000000003</v>
      </c>
      <c r="O603">
        <v>45.176000000000002</v>
      </c>
      <c r="P603">
        <v>52.296999999999997</v>
      </c>
      <c r="Q603">
        <v>62.36</v>
      </c>
      <c r="R603">
        <v>69.271000000000001</v>
      </c>
      <c r="S603">
        <v>73.626000000000005</v>
      </c>
      <c r="T603">
        <v>76.680000000000007</v>
      </c>
      <c r="U603">
        <v>75.247</v>
      </c>
      <c r="V603">
        <v>77.299000000000007</v>
      </c>
      <c r="W603">
        <v>82.847999999999999</v>
      </c>
      <c r="X603">
        <v>89.042000000000002</v>
      </c>
      <c r="Y603">
        <v>94.738</v>
      </c>
      <c r="Z603">
        <v>100.49</v>
      </c>
      <c r="AA603">
        <v>103.91</v>
      </c>
      <c r="AB603">
        <v>105.789</v>
      </c>
      <c r="AC603">
        <v>111.164</v>
      </c>
      <c r="AD603">
        <v>118.342</v>
      </c>
      <c r="AE603">
        <v>126.23399999999999</v>
      </c>
      <c r="AF603">
        <v>133.75800000000001</v>
      </c>
      <c r="AG603">
        <v>141.821</v>
      </c>
      <c r="AH603">
        <v>153.136</v>
      </c>
      <c r="AI603">
        <v>161.24700000000001</v>
      </c>
      <c r="AJ603">
        <v>168.94499999999999</v>
      </c>
      <c r="AK603">
        <v>182.69200000000001</v>
      </c>
      <c r="AL603">
        <v>187.99700000000001</v>
      </c>
      <c r="AM603">
        <v>190.374</v>
      </c>
      <c r="AN603">
        <v>199.90799999999999</v>
      </c>
      <c r="AO603">
        <v>208.50399999999999</v>
      </c>
      <c r="AP603">
        <v>213.72399999999999</v>
      </c>
      <c r="AQ603">
        <v>225.233</v>
      </c>
      <c r="AR603">
        <v>237.767</v>
      </c>
      <c r="AS603">
        <v>243.70699999999999</v>
      </c>
      <c r="AT603">
        <v>252.97900000000001</v>
      </c>
      <c r="AU603">
        <v>264.024</v>
      </c>
      <c r="AV603">
        <v>275.79700000000003</v>
      </c>
      <c r="AW603">
        <v>288.596</v>
      </c>
      <c r="AX603">
        <v>302.62799999999999</v>
      </c>
      <c r="AY603">
        <v>2014</v>
      </c>
    </row>
    <row r="604" spans="1:51" x14ac:dyDescent="0.25">
      <c r="A604">
        <v>196</v>
      </c>
      <c r="B604" t="s">
        <v>668</v>
      </c>
      <c r="C604" t="s">
        <v>289</v>
      </c>
      <c r="D604" t="s">
        <v>167</v>
      </c>
      <c r="E604" t="s">
        <v>287</v>
      </c>
      <c r="F604" t="s">
        <v>290</v>
      </c>
      <c r="G604" t="s">
        <v>291</v>
      </c>
      <c r="H604" t="s">
        <v>283</v>
      </c>
      <c r="I604" t="s">
        <v>292</v>
      </c>
      <c r="J604">
        <v>22.52</v>
      </c>
      <c r="K604">
        <v>23.439</v>
      </c>
      <c r="L604">
        <v>23.204999999999998</v>
      </c>
      <c r="M604">
        <v>22.452999999999999</v>
      </c>
      <c r="N604">
        <v>22.347000000000001</v>
      </c>
      <c r="O604">
        <v>22.498000000000001</v>
      </c>
      <c r="P604">
        <v>27.382000000000001</v>
      </c>
      <c r="Q604">
        <v>36.911999999999999</v>
      </c>
      <c r="R604">
        <v>45.415999999999997</v>
      </c>
      <c r="S604">
        <v>44.051000000000002</v>
      </c>
      <c r="T604">
        <v>45.765000000000001</v>
      </c>
      <c r="U604">
        <v>43.576000000000001</v>
      </c>
      <c r="V604">
        <v>41.591999999999999</v>
      </c>
      <c r="W604">
        <v>44.796999999999997</v>
      </c>
      <c r="X604">
        <v>52.854999999999997</v>
      </c>
      <c r="Y604">
        <v>62.186</v>
      </c>
      <c r="Z604">
        <v>69.096000000000004</v>
      </c>
      <c r="AA604">
        <v>68.875</v>
      </c>
      <c r="AB604">
        <v>56.752000000000002</v>
      </c>
      <c r="AC604">
        <v>58.860999999999997</v>
      </c>
      <c r="AD604">
        <v>54.076999999999998</v>
      </c>
      <c r="AE604">
        <v>53.082999999999998</v>
      </c>
      <c r="AF604">
        <v>62.052</v>
      </c>
      <c r="AG604">
        <v>82.540999999999997</v>
      </c>
      <c r="AH604">
        <v>101.657</v>
      </c>
      <c r="AI604">
        <v>113.562</v>
      </c>
      <c r="AJ604">
        <v>109.67</v>
      </c>
      <c r="AK604">
        <v>134.422</v>
      </c>
      <c r="AL604">
        <v>134.19800000000001</v>
      </c>
      <c r="AM604">
        <v>120.598</v>
      </c>
      <c r="AN604">
        <v>144.16499999999999</v>
      </c>
      <c r="AO604">
        <v>164.92599999999999</v>
      </c>
      <c r="AP604">
        <v>173.196</v>
      </c>
      <c r="AQ604">
        <v>184.761</v>
      </c>
      <c r="AR604">
        <v>197.50200000000001</v>
      </c>
      <c r="AS604">
        <v>170.59</v>
      </c>
      <c r="AT604">
        <v>165.476</v>
      </c>
      <c r="AU604">
        <v>172.11500000000001</v>
      </c>
      <c r="AV604">
        <v>179.01599999999999</v>
      </c>
      <c r="AW604">
        <v>185.929</v>
      </c>
      <c r="AX604">
        <v>194.67699999999999</v>
      </c>
      <c r="AY604">
        <v>2014</v>
      </c>
    </row>
    <row r="605" spans="1:51" x14ac:dyDescent="0.25">
      <c r="A605">
        <v>196</v>
      </c>
      <c r="B605" t="s">
        <v>668</v>
      </c>
      <c r="C605" t="s">
        <v>293</v>
      </c>
      <c r="D605" t="s">
        <v>167</v>
      </c>
      <c r="E605" t="s">
        <v>294</v>
      </c>
      <c r="F605" t="s">
        <v>295</v>
      </c>
      <c r="G605" t="s">
        <v>296</v>
      </c>
      <c r="I605" t="s">
        <v>297</v>
      </c>
      <c r="J605">
        <v>25.692</v>
      </c>
      <c r="K605">
        <v>29.084</v>
      </c>
      <c r="L605">
        <v>32.384</v>
      </c>
      <c r="M605">
        <v>35.268999999999998</v>
      </c>
      <c r="N605">
        <v>37.978999999999999</v>
      </c>
      <c r="O605">
        <v>43.881999999999998</v>
      </c>
      <c r="P605">
        <v>49.895000000000003</v>
      </c>
      <c r="Q605">
        <v>58.082000000000001</v>
      </c>
      <c r="R605">
        <v>64.162000000000006</v>
      </c>
      <c r="S605">
        <v>67.177999999999997</v>
      </c>
      <c r="T605">
        <v>69.188000000000002</v>
      </c>
      <c r="U605">
        <v>69.373000000000005</v>
      </c>
      <c r="V605">
        <v>70.647000000000006</v>
      </c>
      <c r="W605">
        <v>72.171999999999997</v>
      </c>
      <c r="X605">
        <v>72.721000000000004</v>
      </c>
      <c r="Y605">
        <v>74.254000000000005</v>
      </c>
      <c r="Z605">
        <v>75.775000000000006</v>
      </c>
      <c r="AA605">
        <v>76.099000000000004</v>
      </c>
      <c r="AB605">
        <v>76.942999999999998</v>
      </c>
      <c r="AC605">
        <v>77.347999999999999</v>
      </c>
      <c r="AD605">
        <v>79.191999999999993</v>
      </c>
      <c r="AE605">
        <v>82.691000000000003</v>
      </c>
      <c r="AF605">
        <v>83.287000000000006</v>
      </c>
      <c r="AG605">
        <v>84.409000000000006</v>
      </c>
      <c r="AH605">
        <v>87.323999999999998</v>
      </c>
      <c r="AI605">
        <v>89.43</v>
      </c>
      <c r="AJ605">
        <v>91.543999999999997</v>
      </c>
      <c r="AK605">
        <v>95.447999999999993</v>
      </c>
      <c r="AL605">
        <v>99.043000000000006</v>
      </c>
      <c r="AM605">
        <v>99.837999999999994</v>
      </c>
      <c r="AN605">
        <v>102.768</v>
      </c>
      <c r="AO605">
        <v>105.77800000000001</v>
      </c>
      <c r="AP605">
        <v>105.38500000000001</v>
      </c>
      <c r="AQ605">
        <v>108.371</v>
      </c>
      <c r="AR605">
        <v>110.73699999999999</v>
      </c>
      <c r="AS605">
        <v>111.036</v>
      </c>
      <c r="AT605">
        <v>112.53100000000001</v>
      </c>
      <c r="AU605">
        <v>114.646</v>
      </c>
      <c r="AV605">
        <v>116.833</v>
      </c>
      <c r="AW605">
        <v>119.26300000000001</v>
      </c>
      <c r="AX605">
        <v>121.95399999999999</v>
      </c>
      <c r="AY605">
        <v>2014</v>
      </c>
    </row>
    <row r="606" spans="1:51" x14ac:dyDescent="0.25">
      <c r="A606">
        <v>196</v>
      </c>
      <c r="B606" t="s">
        <v>668</v>
      </c>
      <c r="C606" t="s">
        <v>298</v>
      </c>
      <c r="D606" t="s">
        <v>167</v>
      </c>
      <c r="E606" t="s">
        <v>299</v>
      </c>
      <c r="F606" t="s">
        <v>300</v>
      </c>
      <c r="G606" t="s">
        <v>282</v>
      </c>
      <c r="H606" t="s">
        <v>283</v>
      </c>
      <c r="I606" t="s">
        <v>670</v>
      </c>
      <c r="J606" t="s">
        <v>285</v>
      </c>
      <c r="K606" t="s">
        <v>285</v>
      </c>
      <c r="L606" t="s">
        <v>285</v>
      </c>
      <c r="M606" t="s">
        <v>285</v>
      </c>
      <c r="N606" t="s">
        <v>285</v>
      </c>
      <c r="O606">
        <v>19.128</v>
      </c>
      <c r="P606">
        <v>22.498000000000001</v>
      </c>
      <c r="Q606">
        <v>26.361999999999998</v>
      </c>
      <c r="R606">
        <v>29.309000000000001</v>
      </c>
      <c r="S606">
        <v>32.304000000000002</v>
      </c>
      <c r="T606">
        <v>34.790999999999997</v>
      </c>
      <c r="U606">
        <v>36.529000000000003</v>
      </c>
      <c r="V606">
        <v>37.186999999999998</v>
      </c>
      <c r="W606">
        <v>35.526000000000003</v>
      </c>
      <c r="X606">
        <v>34.927</v>
      </c>
      <c r="Y606">
        <v>36.151000000000003</v>
      </c>
      <c r="Z606">
        <v>36.713999999999999</v>
      </c>
      <c r="AA606">
        <v>37.435000000000002</v>
      </c>
      <c r="AB606">
        <v>38.93</v>
      </c>
      <c r="AC606">
        <v>40.005000000000003</v>
      </c>
      <c r="AD606">
        <v>41.529000000000003</v>
      </c>
      <c r="AE606">
        <v>43.09</v>
      </c>
      <c r="AF606">
        <v>45.033000000000001</v>
      </c>
      <c r="AG606">
        <v>47.558999999999997</v>
      </c>
      <c r="AH606">
        <v>50.682000000000002</v>
      </c>
      <c r="AI606">
        <v>54.67</v>
      </c>
      <c r="AJ606">
        <v>58.582999999999998</v>
      </c>
      <c r="AK606">
        <v>62.231999999999999</v>
      </c>
      <c r="AL606">
        <v>66.933999999999997</v>
      </c>
      <c r="AM606">
        <v>71.090999999999994</v>
      </c>
      <c r="AN606">
        <v>81.703000000000003</v>
      </c>
      <c r="AO606">
        <v>84.603999999999999</v>
      </c>
      <c r="AP606">
        <v>78.822000000000003</v>
      </c>
      <c r="AQ606">
        <v>80.382000000000005</v>
      </c>
      <c r="AR606">
        <v>82.790999999999997</v>
      </c>
      <c r="AS606">
        <v>85.944999999999993</v>
      </c>
      <c r="AT606">
        <v>88.537999999999997</v>
      </c>
      <c r="AU606">
        <v>91.209000000000003</v>
      </c>
      <c r="AV606">
        <v>94.438000000000002</v>
      </c>
      <c r="AW606">
        <v>97.826999999999998</v>
      </c>
      <c r="AX606">
        <v>102.182</v>
      </c>
      <c r="AY606">
        <v>2014</v>
      </c>
    </row>
    <row r="607" spans="1:51" x14ac:dyDescent="0.25">
      <c r="A607">
        <v>278</v>
      </c>
      <c r="B607" t="s">
        <v>671</v>
      </c>
      <c r="C607" t="s">
        <v>279</v>
      </c>
      <c r="D607" t="s">
        <v>168</v>
      </c>
      <c r="E607" t="s">
        <v>280</v>
      </c>
      <c r="F607" t="s">
        <v>281</v>
      </c>
      <c r="G607" t="s">
        <v>282</v>
      </c>
      <c r="H607" t="s">
        <v>283</v>
      </c>
      <c r="I607" t="s">
        <v>672</v>
      </c>
      <c r="J607">
        <v>79.191000000000003</v>
      </c>
      <c r="K607">
        <v>83.436000000000007</v>
      </c>
      <c r="L607">
        <v>82.754000000000005</v>
      </c>
      <c r="M607">
        <v>86.572999999999993</v>
      </c>
      <c r="N607">
        <v>85.218000000000004</v>
      </c>
      <c r="O607">
        <v>81.738</v>
      </c>
      <c r="P607">
        <v>80.908000000000001</v>
      </c>
      <c r="Q607">
        <v>80.337000000000003</v>
      </c>
      <c r="R607">
        <v>70.375</v>
      </c>
      <c r="S607">
        <v>69.183000000000007</v>
      </c>
      <c r="T607">
        <v>69.090999999999994</v>
      </c>
      <c r="U607">
        <v>68.983999999999995</v>
      </c>
      <c r="V607">
        <v>69.260000000000005</v>
      </c>
      <c r="W607">
        <v>68.983000000000004</v>
      </c>
      <c r="X607">
        <v>72.432000000000002</v>
      </c>
      <c r="Y607">
        <v>76.715000000000003</v>
      </c>
      <c r="Z607">
        <v>81.581999999999994</v>
      </c>
      <c r="AA607">
        <v>84.817999999999998</v>
      </c>
      <c r="AB607">
        <v>87.965999999999994</v>
      </c>
      <c r="AC607">
        <v>94.155000000000001</v>
      </c>
      <c r="AD607">
        <v>98.016999999999996</v>
      </c>
      <c r="AE607">
        <v>100.919</v>
      </c>
      <c r="AF607">
        <v>101.68</v>
      </c>
      <c r="AG607">
        <v>104.24299999999999</v>
      </c>
      <c r="AH607">
        <v>109.78100000000001</v>
      </c>
      <c r="AI607">
        <v>114.482</v>
      </c>
      <c r="AJ607">
        <v>119.235</v>
      </c>
      <c r="AK607">
        <v>125.54</v>
      </c>
      <c r="AL607">
        <v>129.12</v>
      </c>
      <c r="AM607">
        <v>125.557</v>
      </c>
      <c r="AN607">
        <v>129.56399999999999</v>
      </c>
      <c r="AO607">
        <v>137.63800000000001</v>
      </c>
      <c r="AP607">
        <v>144.702</v>
      </c>
      <c r="AQ607">
        <v>151.22800000000001</v>
      </c>
      <c r="AR607">
        <v>158.34</v>
      </c>
      <c r="AS607">
        <v>164.67400000000001</v>
      </c>
      <c r="AT607">
        <v>171.673</v>
      </c>
      <c r="AU607">
        <v>178.53899999999999</v>
      </c>
      <c r="AV607">
        <v>185.68100000000001</v>
      </c>
      <c r="AW607">
        <v>193.108</v>
      </c>
      <c r="AX607">
        <v>200.833</v>
      </c>
      <c r="AY607">
        <v>2014</v>
      </c>
    </row>
    <row r="608" spans="1:51" x14ac:dyDescent="0.25">
      <c r="A608">
        <v>278</v>
      </c>
      <c r="B608" t="s">
        <v>671</v>
      </c>
      <c r="C608" t="s">
        <v>286</v>
      </c>
      <c r="D608" t="s">
        <v>168</v>
      </c>
      <c r="E608" t="s">
        <v>287</v>
      </c>
      <c r="F608" t="s">
        <v>288</v>
      </c>
      <c r="G608" t="s">
        <v>282</v>
      </c>
      <c r="H608" t="s">
        <v>283</v>
      </c>
      <c r="I608" t="s">
        <v>672</v>
      </c>
      <c r="J608" t="s">
        <v>310</v>
      </c>
      <c r="K608" t="s">
        <v>310</v>
      </c>
      <c r="L608" t="s">
        <v>310</v>
      </c>
      <c r="M608" t="s">
        <v>310</v>
      </c>
      <c r="N608" t="s">
        <v>310</v>
      </c>
      <c r="O608" t="s">
        <v>310</v>
      </c>
      <c r="P608" t="s">
        <v>310</v>
      </c>
      <c r="Q608" t="s">
        <v>310</v>
      </c>
      <c r="R608" t="s">
        <v>310</v>
      </c>
      <c r="S608">
        <v>7.0000000000000001E-3</v>
      </c>
      <c r="T608">
        <v>0.51900000000000002</v>
      </c>
      <c r="U608">
        <v>15.706</v>
      </c>
      <c r="V608">
        <v>19.47</v>
      </c>
      <c r="W608">
        <v>23.364999999999998</v>
      </c>
      <c r="X608">
        <v>25.960999999999999</v>
      </c>
      <c r="Y608">
        <v>31.178000000000001</v>
      </c>
      <c r="Z608">
        <v>36.341000000000001</v>
      </c>
      <c r="AA608">
        <v>41.476999999999997</v>
      </c>
      <c r="AB608">
        <v>49.051000000000002</v>
      </c>
      <c r="AC608">
        <v>57.345999999999997</v>
      </c>
      <c r="AD608">
        <v>64.811999999999998</v>
      </c>
      <c r="AE608">
        <v>71.563000000000002</v>
      </c>
      <c r="AF608">
        <v>74.444999999999993</v>
      </c>
      <c r="AG608">
        <v>80.39</v>
      </c>
      <c r="AH608">
        <v>92.322999999999993</v>
      </c>
      <c r="AI608">
        <v>105.777</v>
      </c>
      <c r="AJ608">
        <v>119.235</v>
      </c>
      <c r="AK608">
        <v>137.59100000000001</v>
      </c>
      <c r="AL608">
        <v>164.494</v>
      </c>
      <c r="AM608">
        <v>170.46</v>
      </c>
      <c r="AN608">
        <v>186.68299999999999</v>
      </c>
      <c r="AO608">
        <v>218.76300000000001</v>
      </c>
      <c r="AP608">
        <v>246.30600000000001</v>
      </c>
      <c r="AQ608">
        <v>268.26100000000002</v>
      </c>
      <c r="AR608">
        <v>306.46100000000001</v>
      </c>
      <c r="AS608">
        <v>335.827</v>
      </c>
      <c r="AT608">
        <v>374.60700000000003</v>
      </c>
      <c r="AU608">
        <v>416.863</v>
      </c>
      <c r="AV608">
        <v>463.88499999999999</v>
      </c>
      <c r="AW608">
        <v>516.21100000000001</v>
      </c>
      <c r="AX608">
        <v>574.44000000000005</v>
      </c>
      <c r="AY608">
        <v>2014</v>
      </c>
    </row>
    <row r="609" spans="1:51" x14ac:dyDescent="0.25">
      <c r="A609">
        <v>278</v>
      </c>
      <c r="B609" t="s">
        <v>671</v>
      </c>
      <c r="C609" t="s">
        <v>289</v>
      </c>
      <c r="D609" t="s">
        <v>168</v>
      </c>
      <c r="E609" t="s">
        <v>287</v>
      </c>
      <c r="F609" t="s">
        <v>290</v>
      </c>
      <c r="G609" t="s">
        <v>291</v>
      </c>
      <c r="H609" t="s">
        <v>283</v>
      </c>
      <c r="I609" t="s">
        <v>292</v>
      </c>
      <c r="J609">
        <v>1.8320000000000001</v>
      </c>
      <c r="K609">
        <v>2.1560000000000001</v>
      </c>
      <c r="L609">
        <v>2.4969999999999999</v>
      </c>
      <c r="M609">
        <v>2.9</v>
      </c>
      <c r="N609">
        <v>3.9660000000000002</v>
      </c>
      <c r="O609">
        <v>3.8540000000000001</v>
      </c>
      <c r="P609">
        <v>5.8</v>
      </c>
      <c r="Q609">
        <v>3.4089999999999998</v>
      </c>
      <c r="R609">
        <v>1.4990000000000001</v>
      </c>
      <c r="S609">
        <v>2.0819999999999999</v>
      </c>
      <c r="T609">
        <v>0.51900000000000002</v>
      </c>
      <c r="U609">
        <v>3.6779999999999999</v>
      </c>
      <c r="V609">
        <v>3.8940000000000001</v>
      </c>
      <c r="W609">
        <v>3.726</v>
      </c>
      <c r="X609">
        <v>3.8610000000000002</v>
      </c>
      <c r="Y609">
        <v>4.1399999999999997</v>
      </c>
      <c r="Z609">
        <v>4.3079999999999998</v>
      </c>
      <c r="AA609">
        <v>4.3899999999999997</v>
      </c>
      <c r="AB609">
        <v>4.6349999999999998</v>
      </c>
      <c r="AC609">
        <v>4.8559999999999999</v>
      </c>
      <c r="AD609">
        <v>5.109</v>
      </c>
      <c r="AE609">
        <v>5.335</v>
      </c>
      <c r="AF609">
        <v>5.2240000000000002</v>
      </c>
      <c r="AG609">
        <v>5.3220000000000001</v>
      </c>
      <c r="AH609">
        <v>5.7930000000000001</v>
      </c>
      <c r="AI609">
        <v>6.3209999999999997</v>
      </c>
      <c r="AJ609">
        <v>6.7859999999999996</v>
      </c>
      <c r="AK609">
        <v>7.4580000000000002</v>
      </c>
      <c r="AL609">
        <v>8.4909999999999997</v>
      </c>
      <c r="AM609">
        <v>8.3789999999999996</v>
      </c>
      <c r="AN609">
        <v>8.7409999999999997</v>
      </c>
      <c r="AO609">
        <v>9.7560000000000002</v>
      </c>
      <c r="AP609">
        <v>10.46</v>
      </c>
      <c r="AQ609">
        <v>10.851000000000001</v>
      </c>
      <c r="AR609">
        <v>11.805999999999999</v>
      </c>
      <c r="AS609">
        <v>12.321</v>
      </c>
      <c r="AT609">
        <v>13.089</v>
      </c>
      <c r="AU609">
        <v>13.872</v>
      </c>
      <c r="AV609">
        <v>14.702</v>
      </c>
      <c r="AW609">
        <v>15.581</v>
      </c>
      <c r="AX609">
        <v>16.513000000000002</v>
      </c>
      <c r="AY609">
        <v>2014</v>
      </c>
    </row>
    <row r="610" spans="1:51" x14ac:dyDescent="0.25">
      <c r="A610">
        <v>278</v>
      </c>
      <c r="B610" t="s">
        <v>671</v>
      </c>
      <c r="C610" t="s">
        <v>293</v>
      </c>
      <c r="D610" t="s">
        <v>168</v>
      </c>
      <c r="E610" t="s">
        <v>294</v>
      </c>
      <c r="F610" t="s">
        <v>295</v>
      </c>
      <c r="G610" t="s">
        <v>296</v>
      </c>
      <c r="I610" t="s">
        <v>297</v>
      </c>
      <c r="J610" t="s">
        <v>310</v>
      </c>
      <c r="K610" t="s">
        <v>310</v>
      </c>
      <c r="L610" t="s">
        <v>310</v>
      </c>
      <c r="M610" t="s">
        <v>310</v>
      </c>
      <c r="N610" t="s">
        <v>310</v>
      </c>
      <c r="O610" t="s">
        <v>310</v>
      </c>
      <c r="P610" t="s">
        <v>310</v>
      </c>
      <c r="Q610" t="s">
        <v>310</v>
      </c>
      <c r="R610" t="s">
        <v>310</v>
      </c>
      <c r="S610">
        <v>0.01</v>
      </c>
      <c r="T610">
        <v>0.751</v>
      </c>
      <c r="U610">
        <v>22.768000000000001</v>
      </c>
      <c r="V610">
        <v>28.111999999999998</v>
      </c>
      <c r="W610">
        <v>33.869999999999997</v>
      </c>
      <c r="X610">
        <v>35.841000000000001</v>
      </c>
      <c r="Y610">
        <v>40.640999999999998</v>
      </c>
      <c r="Z610">
        <v>44.545999999999999</v>
      </c>
      <c r="AA610">
        <v>48.901000000000003</v>
      </c>
      <c r="AB610">
        <v>55.761000000000003</v>
      </c>
      <c r="AC610">
        <v>60.905999999999999</v>
      </c>
      <c r="AD610">
        <v>66.123000000000005</v>
      </c>
      <c r="AE610">
        <v>70.912000000000006</v>
      </c>
      <c r="AF610">
        <v>73.215000000000003</v>
      </c>
      <c r="AG610">
        <v>77.117999999999995</v>
      </c>
      <c r="AH610">
        <v>84.097999999999999</v>
      </c>
      <c r="AI610">
        <v>92.396000000000001</v>
      </c>
      <c r="AJ610">
        <v>100</v>
      </c>
      <c r="AK610">
        <v>109.599</v>
      </c>
      <c r="AL610">
        <v>127.396</v>
      </c>
      <c r="AM610">
        <v>135.76300000000001</v>
      </c>
      <c r="AN610">
        <v>144.08500000000001</v>
      </c>
      <c r="AO610">
        <v>158.941</v>
      </c>
      <c r="AP610">
        <v>170.21700000000001</v>
      </c>
      <c r="AQ610">
        <v>177.38800000000001</v>
      </c>
      <c r="AR610">
        <v>193.54599999999999</v>
      </c>
      <c r="AS610">
        <v>203.935</v>
      </c>
      <c r="AT610">
        <v>218.21</v>
      </c>
      <c r="AU610">
        <v>233.48500000000001</v>
      </c>
      <c r="AV610">
        <v>249.82900000000001</v>
      </c>
      <c r="AW610">
        <v>267.31700000000001</v>
      </c>
      <c r="AX610">
        <v>286.029</v>
      </c>
      <c r="AY610">
        <v>2014</v>
      </c>
    </row>
    <row r="611" spans="1:51" x14ac:dyDescent="0.25">
      <c r="A611">
        <v>278</v>
      </c>
      <c r="B611" t="s">
        <v>671</v>
      </c>
      <c r="C611" t="s">
        <v>298</v>
      </c>
      <c r="D611" t="s">
        <v>168</v>
      </c>
      <c r="E611" t="s">
        <v>299</v>
      </c>
      <c r="F611" t="s">
        <v>300</v>
      </c>
      <c r="G611" t="s">
        <v>282</v>
      </c>
      <c r="H611" t="s">
        <v>283</v>
      </c>
      <c r="I611" t="s">
        <v>673</v>
      </c>
      <c r="J611" t="s">
        <v>285</v>
      </c>
      <c r="K611" t="s">
        <v>285</v>
      </c>
      <c r="L611" t="s">
        <v>285</v>
      </c>
      <c r="M611" t="s">
        <v>285</v>
      </c>
      <c r="N611" t="s">
        <v>285</v>
      </c>
      <c r="O611" t="s">
        <v>285</v>
      </c>
      <c r="P611" t="s">
        <v>285</v>
      </c>
      <c r="Q611" t="s">
        <v>285</v>
      </c>
      <c r="R611" t="s">
        <v>285</v>
      </c>
      <c r="S611" t="s">
        <v>285</v>
      </c>
      <c r="T611" t="s">
        <v>285</v>
      </c>
      <c r="U611" t="s">
        <v>285</v>
      </c>
      <c r="V611" t="s">
        <v>285</v>
      </c>
      <c r="W611" t="s">
        <v>285</v>
      </c>
      <c r="X611" t="s">
        <v>285</v>
      </c>
      <c r="Y611" t="s">
        <v>285</v>
      </c>
      <c r="Z611" t="s">
        <v>285</v>
      </c>
      <c r="AA611" t="s">
        <v>285</v>
      </c>
      <c r="AB611" t="s">
        <v>285</v>
      </c>
      <c r="AC611" t="s">
        <v>285</v>
      </c>
      <c r="AD611">
        <v>16.425000000000001</v>
      </c>
      <c r="AE611">
        <v>16.957000000000001</v>
      </c>
      <c r="AF611">
        <v>17.181999999999999</v>
      </c>
      <c r="AG611">
        <v>19.143999999999998</v>
      </c>
      <c r="AH611">
        <v>21.805</v>
      </c>
      <c r="AI611">
        <v>25.181999999999999</v>
      </c>
      <c r="AJ611">
        <v>25.300999999999998</v>
      </c>
      <c r="AK611">
        <v>29.196999999999999</v>
      </c>
      <c r="AL611">
        <v>35.752000000000002</v>
      </c>
      <c r="AM611">
        <v>38.523000000000003</v>
      </c>
      <c r="AN611">
        <v>41.822000000000003</v>
      </c>
      <c r="AO611">
        <v>51.131</v>
      </c>
      <c r="AP611">
        <v>59.616</v>
      </c>
      <c r="AQ611">
        <v>66.215999999999994</v>
      </c>
      <c r="AR611">
        <v>76.054000000000002</v>
      </c>
      <c r="AS611">
        <v>84.343000000000004</v>
      </c>
      <c r="AT611">
        <v>96.227000000000004</v>
      </c>
      <c r="AU611">
        <v>104.874</v>
      </c>
      <c r="AV611">
        <v>117.116</v>
      </c>
      <c r="AW611">
        <v>131.35499999999999</v>
      </c>
      <c r="AX611">
        <v>146.98599999999999</v>
      </c>
      <c r="AY611">
        <v>2014</v>
      </c>
    </row>
    <row r="612" spans="1:51" x14ac:dyDescent="0.25">
      <c r="A612">
        <v>692</v>
      </c>
      <c r="B612" t="s">
        <v>674</v>
      </c>
      <c r="C612" t="s">
        <v>279</v>
      </c>
      <c r="D612" t="s">
        <v>169</v>
      </c>
      <c r="E612" t="s">
        <v>280</v>
      </c>
      <c r="F612" t="s">
        <v>281</v>
      </c>
      <c r="G612" t="s">
        <v>282</v>
      </c>
      <c r="H612" t="s">
        <v>283</v>
      </c>
      <c r="I612" t="s">
        <v>675</v>
      </c>
      <c r="J612" s="21">
        <v>1077.4469999999999</v>
      </c>
      <c r="K612" s="21">
        <v>1075.5329999999999</v>
      </c>
      <c r="L612" s="21">
        <v>1098.92</v>
      </c>
      <c r="M612" s="21">
        <v>1056.462</v>
      </c>
      <c r="N612">
        <v>878.76700000000005</v>
      </c>
      <c r="O612">
        <v>946.59100000000001</v>
      </c>
      <c r="P612" s="21">
        <v>1006.72</v>
      </c>
      <c r="Q612" s="21">
        <v>1007.6079999999999</v>
      </c>
      <c r="R612" s="21">
        <v>1076.8430000000001</v>
      </c>
      <c r="S612" s="21">
        <v>1087.1489999999999</v>
      </c>
      <c r="T612" s="21">
        <v>1072.924</v>
      </c>
      <c r="U612" s="21">
        <v>1099.6379999999999</v>
      </c>
      <c r="V612" s="21">
        <v>1027.981</v>
      </c>
      <c r="W612" s="21">
        <v>1042.8800000000001</v>
      </c>
      <c r="X612" s="21">
        <v>1084.644</v>
      </c>
      <c r="Y612" s="21">
        <v>1012.9349999999999</v>
      </c>
      <c r="Z612" s="21">
        <v>1064.4880000000001</v>
      </c>
      <c r="AA612" s="21">
        <v>1069.768</v>
      </c>
      <c r="AB612" s="21">
        <v>1205.7550000000001</v>
      </c>
      <c r="AC612" s="21">
        <v>1217.74</v>
      </c>
      <c r="AD612" s="21">
        <v>1186.278</v>
      </c>
      <c r="AE612" s="21">
        <v>1281.6559999999999</v>
      </c>
      <c r="AF612" s="21">
        <v>1350.068</v>
      </c>
      <c r="AG612" s="21">
        <v>1445.3140000000001</v>
      </c>
      <c r="AH612" s="21">
        <v>1433.385</v>
      </c>
      <c r="AI612" s="21">
        <v>1554.0150000000001</v>
      </c>
      <c r="AJ612" s="21">
        <v>1644.251</v>
      </c>
      <c r="AK612" s="21">
        <v>1696.3019999999999</v>
      </c>
      <c r="AL612" s="21">
        <v>1859.9870000000001</v>
      </c>
      <c r="AM612" s="21">
        <v>1846.748</v>
      </c>
      <c r="AN612" s="21">
        <v>2001.136</v>
      </c>
      <c r="AO612" s="21">
        <v>2045.356</v>
      </c>
      <c r="AP612" s="21">
        <v>2287.6799999999998</v>
      </c>
      <c r="AQ612" s="21">
        <v>2392.5140000000001</v>
      </c>
      <c r="AR612" s="21">
        <v>2557.6419999999998</v>
      </c>
      <c r="AS612" s="21">
        <v>2667.4690000000001</v>
      </c>
      <c r="AT612" s="21">
        <v>2812.4969999999998</v>
      </c>
      <c r="AU612" s="21">
        <v>3039.7669999999998</v>
      </c>
      <c r="AV612" s="21">
        <v>3270.297</v>
      </c>
      <c r="AW612" s="21">
        <v>3514.165</v>
      </c>
      <c r="AX612" s="21">
        <v>3830.9740000000002</v>
      </c>
      <c r="AY612">
        <v>2013</v>
      </c>
    </row>
    <row r="613" spans="1:51" x14ac:dyDescent="0.25">
      <c r="A613">
        <v>692</v>
      </c>
      <c r="B613" t="s">
        <v>674</v>
      </c>
      <c r="C613" t="s">
        <v>286</v>
      </c>
      <c r="D613" t="s">
        <v>169</v>
      </c>
      <c r="E613" t="s">
        <v>287</v>
      </c>
      <c r="F613" t="s">
        <v>288</v>
      </c>
      <c r="G613" t="s">
        <v>282</v>
      </c>
      <c r="H613" t="s">
        <v>283</v>
      </c>
      <c r="I613" t="s">
        <v>675</v>
      </c>
      <c r="J613">
        <v>530</v>
      </c>
      <c r="K613">
        <v>589.9</v>
      </c>
      <c r="L613">
        <v>663</v>
      </c>
      <c r="M613">
        <v>687.1</v>
      </c>
      <c r="N613">
        <v>638.4</v>
      </c>
      <c r="O613">
        <v>647.1</v>
      </c>
      <c r="P613">
        <v>659.3</v>
      </c>
      <c r="Q613">
        <v>671.1</v>
      </c>
      <c r="R613">
        <v>679.2</v>
      </c>
      <c r="S613">
        <v>695.3</v>
      </c>
      <c r="T613">
        <v>675.22299999999996</v>
      </c>
      <c r="U613">
        <v>656.74099999999999</v>
      </c>
      <c r="V613">
        <v>620.69899999999996</v>
      </c>
      <c r="W613">
        <v>628.79999999999995</v>
      </c>
      <c r="X613">
        <v>867.9</v>
      </c>
      <c r="Y613">
        <v>876.48800000000006</v>
      </c>
      <c r="Z613">
        <v>961.60699999999997</v>
      </c>
      <c r="AA613" s="21">
        <v>1010.3150000000001</v>
      </c>
      <c r="AB613" s="21">
        <v>1166.788</v>
      </c>
      <c r="AC613" s="21">
        <v>1177.847</v>
      </c>
      <c r="AD613" s="21">
        <v>1186.278</v>
      </c>
      <c r="AE613" s="21">
        <v>1329.4449999999999</v>
      </c>
      <c r="AF613" s="21">
        <v>1439.53</v>
      </c>
      <c r="AG613" s="21">
        <v>1534.306</v>
      </c>
      <c r="AH613" s="21">
        <v>1530.443</v>
      </c>
      <c r="AI613" s="21">
        <v>1776.953</v>
      </c>
      <c r="AJ613" s="21">
        <v>1906.838</v>
      </c>
      <c r="AK613" s="21">
        <v>2052.962</v>
      </c>
      <c r="AL613" s="21">
        <v>2419.6559999999999</v>
      </c>
      <c r="AM613" s="21">
        <v>2548.4470000000001</v>
      </c>
      <c r="AN613" s="21">
        <v>2832.2860000000001</v>
      </c>
      <c r="AO613" s="21">
        <v>3025.53</v>
      </c>
      <c r="AP613" s="21">
        <v>3577.5210000000002</v>
      </c>
      <c r="AQ613" s="21">
        <v>3702.8890000000001</v>
      </c>
      <c r="AR613" s="21">
        <v>3960.7860000000001</v>
      </c>
      <c r="AS613" s="21">
        <v>4199.5810000000001</v>
      </c>
      <c r="AT613" s="21">
        <v>4504.87</v>
      </c>
      <c r="AU613" s="21">
        <v>4937.7960000000003</v>
      </c>
      <c r="AV613" s="21">
        <v>5405.973</v>
      </c>
      <c r="AW613" s="21">
        <v>5922.2280000000001</v>
      </c>
      <c r="AX613" s="21">
        <v>6571.5240000000003</v>
      </c>
      <c r="AY613">
        <v>2013</v>
      </c>
    </row>
    <row r="614" spans="1:51" x14ac:dyDescent="0.25">
      <c r="A614">
        <v>692</v>
      </c>
      <c r="B614" t="s">
        <v>674</v>
      </c>
      <c r="C614" t="s">
        <v>289</v>
      </c>
      <c r="D614" t="s">
        <v>169</v>
      </c>
      <c r="E614" t="s">
        <v>287</v>
      </c>
      <c r="F614" t="s">
        <v>290</v>
      </c>
      <c r="G614" t="s">
        <v>291</v>
      </c>
      <c r="H614" t="s">
        <v>283</v>
      </c>
      <c r="I614" t="s">
        <v>292</v>
      </c>
      <c r="J614">
        <v>2.5089999999999999</v>
      </c>
      <c r="K614">
        <v>2.1709999999999998</v>
      </c>
      <c r="L614">
        <v>2.0179999999999998</v>
      </c>
      <c r="M614">
        <v>1.8029999999999999</v>
      </c>
      <c r="N614">
        <v>1.4610000000000001</v>
      </c>
      <c r="O614">
        <v>1.44</v>
      </c>
      <c r="P614">
        <v>1.9039999999999999</v>
      </c>
      <c r="Q614">
        <v>2.2330000000000001</v>
      </c>
      <c r="R614">
        <v>2.2799999999999998</v>
      </c>
      <c r="S614">
        <v>2.1800000000000002</v>
      </c>
      <c r="T614">
        <v>2.48</v>
      </c>
      <c r="U614">
        <v>2.3279999999999998</v>
      </c>
      <c r="V614">
        <v>2.3450000000000002</v>
      </c>
      <c r="W614">
        <v>2.2210000000000001</v>
      </c>
      <c r="X614">
        <v>1.5629999999999999</v>
      </c>
      <c r="Y614">
        <v>1.756</v>
      </c>
      <c r="Z614">
        <v>1.88</v>
      </c>
      <c r="AA614">
        <v>1.7330000000000001</v>
      </c>
      <c r="AB614">
        <v>1.9810000000000001</v>
      </c>
      <c r="AC614">
        <v>1.9159999999999999</v>
      </c>
      <c r="AD614">
        <v>1.671</v>
      </c>
      <c r="AE614">
        <v>1.8149999999999999</v>
      </c>
      <c r="AF614">
        <v>2.073</v>
      </c>
      <c r="AG614">
        <v>2.645</v>
      </c>
      <c r="AH614">
        <v>2.9009999999999998</v>
      </c>
      <c r="AI614">
        <v>3.375</v>
      </c>
      <c r="AJ614">
        <v>3.65</v>
      </c>
      <c r="AK614">
        <v>4.29</v>
      </c>
      <c r="AL614">
        <v>5.4290000000000003</v>
      </c>
      <c r="AM614">
        <v>5.4109999999999996</v>
      </c>
      <c r="AN614">
        <v>5.7290000000000001</v>
      </c>
      <c r="AO614">
        <v>6.4180000000000001</v>
      </c>
      <c r="AP614">
        <v>7.0110000000000001</v>
      </c>
      <c r="AQ614">
        <v>7.4969999999999999</v>
      </c>
      <c r="AR614">
        <v>8.0239999999999991</v>
      </c>
      <c r="AS614">
        <v>7.1189999999999998</v>
      </c>
      <c r="AT614">
        <v>7.6520000000000001</v>
      </c>
      <c r="AU614">
        <v>8.4789999999999992</v>
      </c>
      <c r="AV614">
        <v>9.3780000000000001</v>
      </c>
      <c r="AW614">
        <v>10.273999999999999</v>
      </c>
      <c r="AX614">
        <v>11.4</v>
      </c>
      <c r="AY614">
        <v>2013</v>
      </c>
    </row>
    <row r="615" spans="1:51" x14ac:dyDescent="0.25">
      <c r="A615">
        <v>692</v>
      </c>
      <c r="B615" t="s">
        <v>674</v>
      </c>
      <c r="C615" t="s">
        <v>293</v>
      </c>
      <c r="D615" t="s">
        <v>169</v>
      </c>
      <c r="E615" t="s">
        <v>294</v>
      </c>
      <c r="F615" t="s">
        <v>295</v>
      </c>
      <c r="G615" t="s">
        <v>296</v>
      </c>
      <c r="I615" t="s">
        <v>297</v>
      </c>
      <c r="J615">
        <v>49.19</v>
      </c>
      <c r="K615">
        <v>54.847000000000001</v>
      </c>
      <c r="L615">
        <v>60.332000000000001</v>
      </c>
      <c r="M615">
        <v>65.037999999999997</v>
      </c>
      <c r="N615">
        <v>72.647000000000006</v>
      </c>
      <c r="O615">
        <v>68.361000000000004</v>
      </c>
      <c r="P615">
        <v>65.489999999999995</v>
      </c>
      <c r="Q615">
        <v>66.602999999999994</v>
      </c>
      <c r="R615">
        <v>63.073</v>
      </c>
      <c r="S615">
        <v>63.956000000000003</v>
      </c>
      <c r="T615">
        <v>62.933</v>
      </c>
      <c r="U615">
        <v>59.722999999999999</v>
      </c>
      <c r="V615">
        <v>60.38</v>
      </c>
      <c r="W615">
        <v>60.295000000000002</v>
      </c>
      <c r="X615">
        <v>80.016999999999996</v>
      </c>
      <c r="Y615">
        <v>86.53</v>
      </c>
      <c r="Z615">
        <v>90.334999999999994</v>
      </c>
      <c r="AA615">
        <v>94.441999999999993</v>
      </c>
      <c r="AB615">
        <v>96.768000000000001</v>
      </c>
      <c r="AC615">
        <v>96.724000000000004</v>
      </c>
      <c r="AD615">
        <v>100</v>
      </c>
      <c r="AE615">
        <v>103.729</v>
      </c>
      <c r="AF615">
        <v>106.626</v>
      </c>
      <c r="AG615">
        <v>106.157</v>
      </c>
      <c r="AH615">
        <v>106.771</v>
      </c>
      <c r="AI615">
        <v>114.346</v>
      </c>
      <c r="AJ615">
        <v>115.97</v>
      </c>
      <c r="AK615">
        <v>121.026</v>
      </c>
      <c r="AL615">
        <v>130.09</v>
      </c>
      <c r="AM615">
        <v>137.99600000000001</v>
      </c>
      <c r="AN615">
        <v>141.53399999999999</v>
      </c>
      <c r="AO615">
        <v>147.922</v>
      </c>
      <c r="AP615">
        <v>156.38200000000001</v>
      </c>
      <c r="AQ615">
        <v>154.77000000000001</v>
      </c>
      <c r="AR615">
        <v>154.86099999999999</v>
      </c>
      <c r="AS615">
        <v>157.43700000000001</v>
      </c>
      <c r="AT615">
        <v>160.173</v>
      </c>
      <c r="AU615">
        <v>162.44</v>
      </c>
      <c r="AV615">
        <v>165.30500000000001</v>
      </c>
      <c r="AW615">
        <v>168.524</v>
      </c>
      <c r="AX615">
        <v>171.53700000000001</v>
      </c>
      <c r="AY615">
        <v>2013</v>
      </c>
    </row>
    <row r="616" spans="1:51" x14ac:dyDescent="0.25">
      <c r="A616">
        <v>692</v>
      </c>
      <c r="B616" t="s">
        <v>674</v>
      </c>
      <c r="C616" t="s">
        <v>298</v>
      </c>
      <c r="D616" t="s">
        <v>169</v>
      </c>
      <c r="E616" t="s">
        <v>299</v>
      </c>
      <c r="F616" t="s">
        <v>300</v>
      </c>
      <c r="G616" t="s">
        <v>282</v>
      </c>
      <c r="H616" t="s">
        <v>283</v>
      </c>
      <c r="I616" t="s">
        <v>676</v>
      </c>
      <c r="J616" t="s">
        <v>285</v>
      </c>
      <c r="K616" t="s">
        <v>285</v>
      </c>
      <c r="L616" t="s">
        <v>285</v>
      </c>
      <c r="M616" t="s">
        <v>285</v>
      </c>
      <c r="N616" t="s">
        <v>285</v>
      </c>
      <c r="O616" t="s">
        <v>285</v>
      </c>
      <c r="P616" t="s">
        <v>285</v>
      </c>
      <c r="Q616" t="s">
        <v>285</v>
      </c>
      <c r="R616" t="s">
        <v>285</v>
      </c>
      <c r="S616" t="s">
        <v>285</v>
      </c>
      <c r="T616" t="s">
        <v>285</v>
      </c>
      <c r="U616" t="s">
        <v>285</v>
      </c>
      <c r="V616" t="s">
        <v>285</v>
      </c>
      <c r="W616" t="s">
        <v>285</v>
      </c>
      <c r="X616" t="s">
        <v>285</v>
      </c>
      <c r="Y616">
        <v>148.66300000000001</v>
      </c>
      <c r="Z616">
        <v>135.72999999999999</v>
      </c>
      <c r="AA616">
        <v>174.82</v>
      </c>
      <c r="AB616">
        <v>212.34</v>
      </c>
      <c r="AC616">
        <v>234.37</v>
      </c>
      <c r="AD616">
        <v>217.41800000000001</v>
      </c>
      <c r="AE616">
        <v>246.37299999999999</v>
      </c>
      <c r="AF616">
        <v>278.31900000000002</v>
      </c>
      <c r="AG616">
        <v>275.36500000000001</v>
      </c>
      <c r="AH616">
        <v>316.71699999999998</v>
      </c>
      <c r="AI616">
        <v>358.52100000000002</v>
      </c>
      <c r="AJ616">
        <v>376.54599999999999</v>
      </c>
      <c r="AK616">
        <v>475.94200000000001</v>
      </c>
      <c r="AL616">
        <v>547.86699999999996</v>
      </c>
      <c r="AM616">
        <v>609.86500000000001</v>
      </c>
      <c r="AN616">
        <v>584.07000000000005</v>
      </c>
      <c r="AO616">
        <v>586.99699999999996</v>
      </c>
      <c r="AP616">
        <v>799.19</v>
      </c>
      <c r="AQ616" s="21">
        <v>1030.296</v>
      </c>
      <c r="AR616" s="21">
        <v>1263.7349999999999</v>
      </c>
      <c r="AS616" s="21">
        <v>1326.798</v>
      </c>
      <c r="AT616" s="21">
        <v>1304.2080000000001</v>
      </c>
      <c r="AU616" s="21">
        <v>1367.2149999999999</v>
      </c>
      <c r="AV616" s="21">
        <v>1449.443</v>
      </c>
      <c r="AW616" s="21">
        <v>1558.799</v>
      </c>
      <c r="AX616" s="21">
        <v>1721.261</v>
      </c>
      <c r="AY616">
        <v>2014</v>
      </c>
    </row>
    <row r="617" spans="1:51" x14ac:dyDescent="0.25">
      <c r="A617">
        <v>694</v>
      </c>
      <c r="B617" t="s">
        <v>677</v>
      </c>
      <c r="C617" t="s">
        <v>279</v>
      </c>
      <c r="D617" t="s">
        <v>170</v>
      </c>
      <c r="E617" t="s">
        <v>280</v>
      </c>
      <c r="F617" t="s">
        <v>281</v>
      </c>
      <c r="G617" t="s">
        <v>282</v>
      </c>
      <c r="H617" t="s">
        <v>283</v>
      </c>
      <c r="I617" t="s">
        <v>678</v>
      </c>
      <c r="J617" s="21">
        <v>12248.8</v>
      </c>
      <c r="K617" s="21">
        <v>14801.232</v>
      </c>
      <c r="L617" s="21">
        <v>14645.347</v>
      </c>
      <c r="M617" s="21">
        <v>13905.691000000001</v>
      </c>
      <c r="N617" s="21">
        <v>13624.583000000001</v>
      </c>
      <c r="O617" s="21">
        <v>14758.532999999999</v>
      </c>
      <c r="P617" s="21">
        <v>13466.545</v>
      </c>
      <c r="Q617" s="21">
        <v>12018.663</v>
      </c>
      <c r="R617" s="21">
        <v>12925.173000000001</v>
      </c>
      <c r="S617" s="21">
        <v>13761.069</v>
      </c>
      <c r="T617" s="21">
        <v>15517.808000000001</v>
      </c>
      <c r="U617" s="21">
        <v>15860.154</v>
      </c>
      <c r="V617" s="21">
        <v>16369.066999999999</v>
      </c>
      <c r="W617" s="21">
        <v>17160.565999999999</v>
      </c>
      <c r="X617" s="21">
        <v>17770.098000000002</v>
      </c>
      <c r="Y617" s="21">
        <v>18167.477999999999</v>
      </c>
      <c r="Z617" s="21">
        <v>19549.297999999999</v>
      </c>
      <c r="AA617" s="21">
        <v>20585.008000000002</v>
      </c>
      <c r="AB617" s="21">
        <v>21645.161</v>
      </c>
      <c r="AC617" s="21">
        <v>22251.326000000001</v>
      </c>
      <c r="AD617" s="21">
        <v>23964.964</v>
      </c>
      <c r="AE617" s="21">
        <v>25650.786</v>
      </c>
      <c r="AF617" s="21">
        <v>27420.098999999998</v>
      </c>
      <c r="AG617" s="21">
        <v>30679.948</v>
      </c>
      <c r="AH617" s="21">
        <v>33377.031999999999</v>
      </c>
      <c r="AI617" s="21">
        <v>36273.209000000003</v>
      </c>
      <c r="AJ617" s="21">
        <v>39293.72</v>
      </c>
      <c r="AK617" s="21">
        <v>42854.252999999997</v>
      </c>
      <c r="AL617" s="21">
        <v>46288.726999999999</v>
      </c>
      <c r="AM617" s="21">
        <v>50441.105000000003</v>
      </c>
      <c r="AN617" s="21">
        <v>55469.351000000002</v>
      </c>
      <c r="AO617" s="21">
        <v>58180.353000000003</v>
      </c>
      <c r="AP617" s="21">
        <v>60670.052000000003</v>
      </c>
      <c r="AQ617" s="21">
        <v>63942.847000000002</v>
      </c>
      <c r="AR617" s="21">
        <v>67977.460000000006</v>
      </c>
      <c r="AS617" s="21">
        <v>70667.331999999995</v>
      </c>
      <c r="AT617" s="21">
        <v>73695.739000000001</v>
      </c>
      <c r="AU617" s="21">
        <v>77039.388999999996</v>
      </c>
      <c r="AV617" s="21">
        <v>80674.320999999996</v>
      </c>
      <c r="AW617" s="21">
        <v>84639.248999999996</v>
      </c>
      <c r="AX617" s="21">
        <v>88957.372000000003</v>
      </c>
      <c r="AY617">
        <v>2014</v>
      </c>
    </row>
    <row r="618" spans="1:51" x14ac:dyDescent="0.25">
      <c r="A618">
        <v>694</v>
      </c>
      <c r="B618" t="s">
        <v>677</v>
      </c>
      <c r="C618" t="s">
        <v>286</v>
      </c>
      <c r="D618" t="s">
        <v>170</v>
      </c>
      <c r="E618" t="s">
        <v>287</v>
      </c>
      <c r="F618" t="s">
        <v>288</v>
      </c>
      <c r="G618" t="s">
        <v>282</v>
      </c>
      <c r="H618" t="s">
        <v>283</v>
      </c>
      <c r="I618" t="s">
        <v>678</v>
      </c>
      <c r="J618">
        <v>49.012</v>
      </c>
      <c r="K618">
        <v>53.244999999999997</v>
      </c>
      <c r="L618">
        <v>55.228000000000002</v>
      </c>
      <c r="M618">
        <v>59.658999999999999</v>
      </c>
      <c r="N618">
        <v>66.207999999999998</v>
      </c>
      <c r="O618">
        <v>75.692999999999998</v>
      </c>
      <c r="P618">
        <v>77.099000000000004</v>
      </c>
      <c r="Q618">
        <v>115.18600000000001</v>
      </c>
      <c r="R618">
        <v>152.268</v>
      </c>
      <c r="S618">
        <v>235.13300000000001</v>
      </c>
      <c r="T618">
        <v>289.78500000000003</v>
      </c>
      <c r="U618">
        <v>348.31900000000002</v>
      </c>
      <c r="V618">
        <v>604.17999999999995</v>
      </c>
      <c r="W618">
        <v>798.91499999999996</v>
      </c>
      <c r="X618" s="21">
        <v>1083.829</v>
      </c>
      <c r="Y618" s="21">
        <v>2361.0259999999998</v>
      </c>
      <c r="Z618" s="21">
        <v>3372.0720000000001</v>
      </c>
      <c r="AA618" s="21">
        <v>3586.6959999999999</v>
      </c>
      <c r="AB618" s="21">
        <v>3557.739</v>
      </c>
      <c r="AC618" s="21">
        <v>4280.9589999999998</v>
      </c>
      <c r="AD618" s="21">
        <v>6234.9579999999996</v>
      </c>
      <c r="AE618" s="21">
        <v>6632.5709999999999</v>
      </c>
      <c r="AF618" s="21">
        <v>9838.3889999999992</v>
      </c>
      <c r="AG618" s="21">
        <v>12322.346</v>
      </c>
      <c r="AH618" s="21">
        <v>16794.802</v>
      </c>
      <c r="AI618" s="21">
        <v>21630.656999999999</v>
      </c>
      <c r="AJ618" s="21">
        <v>28012.151000000002</v>
      </c>
      <c r="AK618" s="21">
        <v>31863.151999999998</v>
      </c>
      <c r="AL618" s="21">
        <v>38196.402000000002</v>
      </c>
      <c r="AM618" s="21">
        <v>39786.457000000002</v>
      </c>
      <c r="AN618" s="21">
        <v>55469.35</v>
      </c>
      <c r="AO618" s="21">
        <v>63713.360999999997</v>
      </c>
      <c r="AP618" s="21">
        <v>72599.630999999994</v>
      </c>
      <c r="AQ618" s="21">
        <v>81009.964999999997</v>
      </c>
      <c r="AR618" s="21">
        <v>90136.986000000004</v>
      </c>
      <c r="AS618" s="21">
        <v>98309.298999999999</v>
      </c>
      <c r="AT618" s="21">
        <v>111150.092</v>
      </c>
      <c r="AU618" s="21">
        <v>125613.19899999999</v>
      </c>
      <c r="AV618" s="21">
        <v>140726.49600000001</v>
      </c>
      <c r="AW618" s="21">
        <v>157127.68400000001</v>
      </c>
      <c r="AX618" s="21">
        <v>175177.946</v>
      </c>
      <c r="AY618">
        <v>2014</v>
      </c>
    </row>
    <row r="619" spans="1:51" x14ac:dyDescent="0.25">
      <c r="A619">
        <v>694</v>
      </c>
      <c r="B619" t="s">
        <v>677</v>
      </c>
      <c r="C619" t="s">
        <v>289</v>
      </c>
      <c r="D619" t="s">
        <v>170</v>
      </c>
      <c r="E619" t="s">
        <v>287</v>
      </c>
      <c r="F619" t="s">
        <v>290</v>
      </c>
      <c r="G619" t="s">
        <v>291</v>
      </c>
      <c r="H619" t="s">
        <v>283</v>
      </c>
      <c r="I619" t="s">
        <v>292</v>
      </c>
      <c r="J619">
        <v>62.365000000000002</v>
      </c>
      <c r="K619">
        <v>64.135000000000005</v>
      </c>
      <c r="L619">
        <v>55.511000000000003</v>
      </c>
      <c r="M619">
        <v>37.575000000000003</v>
      </c>
      <c r="N619">
        <v>27.25</v>
      </c>
      <c r="O619">
        <v>26.725000000000001</v>
      </c>
      <c r="P619">
        <v>21.164000000000001</v>
      </c>
      <c r="Q619">
        <v>22.553000000000001</v>
      </c>
      <c r="R619">
        <v>25.021999999999998</v>
      </c>
      <c r="S619">
        <v>24.173999999999999</v>
      </c>
      <c r="T619">
        <v>36.052</v>
      </c>
      <c r="U619">
        <v>35.139000000000003</v>
      </c>
      <c r="V619">
        <v>34.715000000000003</v>
      </c>
      <c r="W619">
        <v>36.045000000000002</v>
      </c>
      <c r="X619">
        <v>49.265000000000001</v>
      </c>
      <c r="Y619">
        <v>107.833</v>
      </c>
      <c r="Z619">
        <v>154.08500000000001</v>
      </c>
      <c r="AA619">
        <v>163.88</v>
      </c>
      <c r="AB619">
        <v>162.55799999999999</v>
      </c>
      <c r="AC619">
        <v>46.362000000000002</v>
      </c>
      <c r="AD619">
        <v>61.308999999999997</v>
      </c>
      <c r="AE619">
        <v>59.628999999999998</v>
      </c>
      <c r="AF619">
        <v>81.593000000000004</v>
      </c>
      <c r="AG619">
        <v>95.358000000000004</v>
      </c>
      <c r="AH619">
        <v>126.383</v>
      </c>
      <c r="AI619">
        <v>164.774</v>
      </c>
      <c r="AJ619">
        <v>217.73599999999999</v>
      </c>
      <c r="AK619">
        <v>257.471</v>
      </c>
      <c r="AL619">
        <v>325.44299999999998</v>
      </c>
      <c r="AM619">
        <v>270.471</v>
      </c>
      <c r="AN619">
        <v>373.839</v>
      </c>
      <c r="AO619">
        <v>418.834</v>
      </c>
      <c r="AP619">
        <v>467.11900000000003</v>
      </c>
      <c r="AQ619">
        <v>521.81200000000001</v>
      </c>
      <c r="AR619">
        <v>573.99900000000002</v>
      </c>
      <c r="AS619">
        <v>492.98599999999999</v>
      </c>
      <c r="AT619">
        <v>484.89499999999998</v>
      </c>
      <c r="AU619">
        <v>508.52800000000002</v>
      </c>
      <c r="AV619">
        <v>534.71500000000003</v>
      </c>
      <c r="AW619">
        <v>565.23099999999999</v>
      </c>
      <c r="AX619">
        <v>594.99199999999996</v>
      </c>
      <c r="AY619">
        <v>2014</v>
      </c>
    </row>
    <row r="620" spans="1:51" x14ac:dyDescent="0.25">
      <c r="A620">
        <v>694</v>
      </c>
      <c r="B620" t="s">
        <v>677</v>
      </c>
      <c r="C620" t="s">
        <v>293</v>
      </c>
      <c r="D620" t="s">
        <v>170</v>
      </c>
      <c r="E620" t="s">
        <v>294</v>
      </c>
      <c r="F620" t="s">
        <v>295</v>
      </c>
      <c r="G620" t="s">
        <v>296</v>
      </c>
      <c r="I620" t="s">
        <v>297</v>
      </c>
      <c r="J620">
        <v>0.4</v>
      </c>
      <c r="K620">
        <v>0.36</v>
      </c>
      <c r="L620">
        <v>0.377</v>
      </c>
      <c r="M620">
        <v>0.42899999999999999</v>
      </c>
      <c r="N620">
        <v>0.48599999999999999</v>
      </c>
      <c r="O620">
        <v>0.51300000000000001</v>
      </c>
      <c r="P620">
        <v>0.57299999999999995</v>
      </c>
      <c r="Q620">
        <v>0.95799999999999996</v>
      </c>
      <c r="R620">
        <v>1.1779999999999999</v>
      </c>
      <c r="S620">
        <v>1.7090000000000001</v>
      </c>
      <c r="T620">
        <v>1.867</v>
      </c>
      <c r="U620">
        <v>2.1960000000000002</v>
      </c>
      <c r="V620">
        <v>3.6909999999999998</v>
      </c>
      <c r="W620">
        <v>4.6559999999999997</v>
      </c>
      <c r="X620">
        <v>6.0990000000000002</v>
      </c>
      <c r="Y620">
        <v>12.996</v>
      </c>
      <c r="Z620">
        <v>17.248999999999999</v>
      </c>
      <c r="AA620">
        <v>17.423999999999999</v>
      </c>
      <c r="AB620">
        <v>16.437000000000001</v>
      </c>
      <c r="AC620">
        <v>19.239000000000001</v>
      </c>
      <c r="AD620">
        <v>26.016999999999999</v>
      </c>
      <c r="AE620">
        <v>25.856999999999999</v>
      </c>
      <c r="AF620">
        <v>35.880000000000003</v>
      </c>
      <c r="AG620">
        <v>40.164000000000001</v>
      </c>
      <c r="AH620">
        <v>50.317999999999998</v>
      </c>
      <c r="AI620">
        <v>59.633000000000003</v>
      </c>
      <c r="AJ620">
        <v>71.289000000000001</v>
      </c>
      <c r="AK620">
        <v>74.352000000000004</v>
      </c>
      <c r="AL620">
        <v>82.518000000000001</v>
      </c>
      <c r="AM620">
        <v>78.876999999999995</v>
      </c>
      <c r="AN620">
        <v>100</v>
      </c>
      <c r="AO620">
        <v>109.51</v>
      </c>
      <c r="AP620">
        <v>119.663</v>
      </c>
      <c r="AQ620">
        <v>126.691</v>
      </c>
      <c r="AR620">
        <v>132.59800000000001</v>
      </c>
      <c r="AS620">
        <v>139.11600000000001</v>
      </c>
      <c r="AT620">
        <v>150.82300000000001</v>
      </c>
      <c r="AU620">
        <v>163.05099999999999</v>
      </c>
      <c r="AV620">
        <v>174.43799999999999</v>
      </c>
      <c r="AW620">
        <v>185.64400000000001</v>
      </c>
      <c r="AX620">
        <v>196.923</v>
      </c>
      <c r="AY620">
        <v>2014</v>
      </c>
    </row>
    <row r="621" spans="1:51" x14ac:dyDescent="0.25">
      <c r="A621">
        <v>694</v>
      </c>
      <c r="B621" t="s">
        <v>677</v>
      </c>
      <c r="C621" t="s">
        <v>298</v>
      </c>
      <c r="D621" t="s">
        <v>170</v>
      </c>
      <c r="E621" t="s">
        <v>299</v>
      </c>
      <c r="F621" t="s">
        <v>300</v>
      </c>
      <c r="G621" t="s">
        <v>282</v>
      </c>
      <c r="H621" t="s">
        <v>283</v>
      </c>
      <c r="I621" t="s">
        <v>679</v>
      </c>
      <c r="J621" t="s">
        <v>285</v>
      </c>
      <c r="K621" t="s">
        <v>285</v>
      </c>
      <c r="L621" t="s">
        <v>285</v>
      </c>
      <c r="M621" t="s">
        <v>285</v>
      </c>
      <c r="N621" t="s">
        <v>285</v>
      </c>
      <c r="O621" t="s">
        <v>285</v>
      </c>
      <c r="P621" t="s">
        <v>285</v>
      </c>
      <c r="Q621" t="s">
        <v>285</v>
      </c>
      <c r="R621" t="s">
        <v>285</v>
      </c>
      <c r="S621" t="s">
        <v>285</v>
      </c>
      <c r="T621" t="s">
        <v>285</v>
      </c>
      <c r="U621" t="s">
        <v>285</v>
      </c>
      <c r="V621" t="s">
        <v>285</v>
      </c>
      <c r="W621" t="s">
        <v>285</v>
      </c>
      <c r="X621" t="s">
        <v>285</v>
      </c>
      <c r="Y621" t="s">
        <v>285</v>
      </c>
      <c r="Z621" t="s">
        <v>285</v>
      </c>
      <c r="AA621" t="s">
        <v>285</v>
      </c>
      <c r="AB621" t="s">
        <v>285</v>
      </c>
      <c r="AC621" t="s">
        <v>285</v>
      </c>
      <c r="AD621" s="21">
        <v>1706.5619999999999</v>
      </c>
      <c r="AE621" s="21">
        <v>2509.9650000000001</v>
      </c>
      <c r="AF621" s="21">
        <v>2196.3139999999999</v>
      </c>
      <c r="AG621" s="21">
        <v>3086.7570000000001</v>
      </c>
      <c r="AH621" s="21">
        <v>3176.6660000000002</v>
      </c>
      <c r="AI621" s="21">
        <v>4255.701</v>
      </c>
      <c r="AJ621" s="21">
        <v>3548.71</v>
      </c>
      <c r="AK621" s="21">
        <v>5966.3469999999998</v>
      </c>
      <c r="AL621" s="21">
        <v>5628.5370000000003</v>
      </c>
      <c r="AM621" s="21">
        <v>6848.4629999999997</v>
      </c>
      <c r="AN621" s="21">
        <v>9236.1569999999992</v>
      </c>
      <c r="AO621" s="21">
        <v>11039.277</v>
      </c>
      <c r="AP621" s="21">
        <v>10189.046</v>
      </c>
      <c r="AQ621" s="21">
        <v>10819.534</v>
      </c>
      <c r="AR621" s="21">
        <v>11251.085999999999</v>
      </c>
      <c r="AS621" s="21">
        <v>11136.287</v>
      </c>
      <c r="AT621" s="21">
        <v>11933.936</v>
      </c>
      <c r="AU621" s="21">
        <v>14194.63</v>
      </c>
      <c r="AV621" s="21">
        <v>16195.214</v>
      </c>
      <c r="AW621" s="21">
        <v>17959.692999999999</v>
      </c>
      <c r="AX621" s="21">
        <v>20377.674999999999</v>
      </c>
      <c r="AY621">
        <v>2014</v>
      </c>
    </row>
    <row r="622" spans="1:51" x14ac:dyDescent="0.25">
      <c r="A622">
        <v>142</v>
      </c>
      <c r="B622" t="s">
        <v>680</v>
      </c>
      <c r="C622" t="s">
        <v>279</v>
      </c>
      <c r="D622" t="s">
        <v>172</v>
      </c>
      <c r="E622" t="s">
        <v>280</v>
      </c>
      <c r="F622" t="s">
        <v>281</v>
      </c>
      <c r="G622" t="s">
        <v>282</v>
      </c>
      <c r="H622" t="s">
        <v>283</v>
      </c>
      <c r="I622" t="s">
        <v>681</v>
      </c>
      <c r="J622" s="21">
        <v>1323.057</v>
      </c>
      <c r="K622" s="21">
        <v>1344.203</v>
      </c>
      <c r="L622" s="21">
        <v>1347.366</v>
      </c>
      <c r="M622" s="21">
        <v>1400.894</v>
      </c>
      <c r="N622" s="21">
        <v>1485.682</v>
      </c>
      <c r="O622" s="21">
        <v>1568.1869999999999</v>
      </c>
      <c r="P622" s="21">
        <v>1631.579</v>
      </c>
      <c r="Q622" s="21">
        <v>1660.1859999999999</v>
      </c>
      <c r="R622" s="21">
        <v>1655.9469999999999</v>
      </c>
      <c r="S622" s="21">
        <v>1673.14</v>
      </c>
      <c r="T622" s="21">
        <v>1705.473</v>
      </c>
      <c r="U622" s="21">
        <v>1758.0809999999999</v>
      </c>
      <c r="V622" s="21">
        <v>1820.924</v>
      </c>
      <c r="W622" s="21">
        <v>1872.7329999999999</v>
      </c>
      <c r="X622" s="21">
        <v>1967.4069999999999</v>
      </c>
      <c r="Y622" s="21">
        <v>2049.134</v>
      </c>
      <c r="Z622" s="21">
        <v>2152.1640000000002</v>
      </c>
      <c r="AA622" s="21">
        <v>2265.8989999999999</v>
      </c>
      <c r="AB622" s="21">
        <v>2325.3649999999998</v>
      </c>
      <c r="AC622" s="21">
        <v>2372.1819999999998</v>
      </c>
      <c r="AD622" s="21">
        <v>2448.2170000000001</v>
      </c>
      <c r="AE622" s="21">
        <v>2499.27</v>
      </c>
      <c r="AF622" s="21">
        <v>2535.203</v>
      </c>
      <c r="AG622" s="21">
        <v>2558.5219999999999</v>
      </c>
      <c r="AH622" s="21">
        <v>2659.8150000000001</v>
      </c>
      <c r="AI622" s="21">
        <v>2729.6280000000002</v>
      </c>
      <c r="AJ622" s="21">
        <v>2795.0059999999999</v>
      </c>
      <c r="AK622" s="21">
        <v>2876.8919999999998</v>
      </c>
      <c r="AL622" s="21">
        <v>2887.9479999999999</v>
      </c>
      <c r="AM622" s="21">
        <v>2841.09</v>
      </c>
      <c r="AN622" s="21">
        <v>2858.1909999999998</v>
      </c>
      <c r="AO622" s="21">
        <v>2885.88</v>
      </c>
      <c r="AP622" s="21">
        <v>2965.2089999999998</v>
      </c>
      <c r="AQ622" s="21">
        <v>2987.2130000000002</v>
      </c>
      <c r="AR622" s="21">
        <v>3053.19</v>
      </c>
      <c r="AS622" s="21">
        <v>3079.7930000000001</v>
      </c>
      <c r="AT622" s="21">
        <v>3118.6640000000002</v>
      </c>
      <c r="AU622" s="21">
        <v>3169.31</v>
      </c>
      <c r="AV622" s="21">
        <v>3229.9050000000002</v>
      </c>
      <c r="AW622" s="21">
        <v>3295.0349999999999</v>
      </c>
      <c r="AX622" s="21">
        <v>3361.998</v>
      </c>
      <c r="AY622">
        <v>2014</v>
      </c>
    </row>
    <row r="623" spans="1:51" x14ac:dyDescent="0.25">
      <c r="A623">
        <v>142</v>
      </c>
      <c r="B623" t="s">
        <v>680</v>
      </c>
      <c r="C623" t="s">
        <v>286</v>
      </c>
      <c r="D623" t="s">
        <v>172</v>
      </c>
      <c r="E623" t="s">
        <v>287</v>
      </c>
      <c r="F623" t="s">
        <v>288</v>
      </c>
      <c r="G623" t="s">
        <v>282</v>
      </c>
      <c r="H623" t="s">
        <v>283</v>
      </c>
      <c r="I623" t="s">
        <v>681</v>
      </c>
      <c r="J623">
        <v>318.279</v>
      </c>
      <c r="K623">
        <v>365.01400000000001</v>
      </c>
      <c r="L623">
        <v>404.32499999999999</v>
      </c>
      <c r="M623">
        <v>449.65600000000001</v>
      </c>
      <c r="N623">
        <v>506.48599999999999</v>
      </c>
      <c r="O623">
        <v>562.40300000000002</v>
      </c>
      <c r="P623">
        <v>581.91300000000001</v>
      </c>
      <c r="Q623">
        <v>634.87599999999998</v>
      </c>
      <c r="R623">
        <v>664.08399999999995</v>
      </c>
      <c r="S623">
        <v>708.63499999999999</v>
      </c>
      <c r="T623">
        <v>749.86</v>
      </c>
      <c r="U623">
        <v>790.08699999999999</v>
      </c>
      <c r="V623">
        <v>813.09299999999996</v>
      </c>
      <c r="W623">
        <v>855.399</v>
      </c>
      <c r="X623">
        <v>897.24300000000005</v>
      </c>
      <c r="Y623">
        <v>963.12400000000002</v>
      </c>
      <c r="Z623" s="21">
        <v>1054.6559999999999</v>
      </c>
      <c r="AA623" s="21">
        <v>1141.3240000000001</v>
      </c>
      <c r="AB623" s="21">
        <v>1163.192</v>
      </c>
      <c r="AC623" s="21">
        <v>1265.702</v>
      </c>
      <c r="AD623" s="21">
        <v>1507.886</v>
      </c>
      <c r="AE623" s="21">
        <v>1564.585</v>
      </c>
      <c r="AF623" s="21">
        <v>1560.181</v>
      </c>
      <c r="AG623" s="21">
        <v>1619.6130000000001</v>
      </c>
      <c r="AH623" s="21">
        <v>1781.981</v>
      </c>
      <c r="AI623" s="21">
        <v>1988.941</v>
      </c>
      <c r="AJ623" s="21">
        <v>2215.3119999999999</v>
      </c>
      <c r="AK623" s="21">
        <v>2349.8609999999999</v>
      </c>
      <c r="AL623" s="21">
        <v>2605.3760000000002</v>
      </c>
      <c r="AM623" s="21">
        <v>2429.6979999999999</v>
      </c>
      <c r="AN623" s="21">
        <v>2590.0889999999999</v>
      </c>
      <c r="AO623" s="21">
        <v>2791.973</v>
      </c>
      <c r="AP623" s="21">
        <v>2965.2069999999999</v>
      </c>
      <c r="AQ623" s="21">
        <v>3068.8009999999999</v>
      </c>
      <c r="AR623" s="21">
        <v>3149.6819999999998</v>
      </c>
      <c r="AS623" s="21">
        <v>3160.3710000000001</v>
      </c>
      <c r="AT623" s="21">
        <v>3236.5129999999999</v>
      </c>
      <c r="AU623" s="21">
        <v>3416.8519999999999</v>
      </c>
      <c r="AV623" s="21">
        <v>3606.9079999999999</v>
      </c>
      <c r="AW623" s="21">
        <v>3774.6309999999999</v>
      </c>
      <c r="AX623" s="21">
        <v>3925.9569999999999</v>
      </c>
      <c r="AY623">
        <v>2014</v>
      </c>
    </row>
    <row r="624" spans="1:51" x14ac:dyDescent="0.25">
      <c r="A624">
        <v>142</v>
      </c>
      <c r="B624" t="s">
        <v>680</v>
      </c>
      <c r="C624" t="s">
        <v>289</v>
      </c>
      <c r="D624" t="s">
        <v>172</v>
      </c>
      <c r="E624" t="s">
        <v>287</v>
      </c>
      <c r="F624" t="s">
        <v>290</v>
      </c>
      <c r="G624" t="s">
        <v>291</v>
      </c>
      <c r="H624" t="s">
        <v>283</v>
      </c>
      <c r="I624" t="s">
        <v>292</v>
      </c>
      <c r="J624">
        <v>64.447999999999993</v>
      </c>
      <c r="K624">
        <v>63.604999999999997</v>
      </c>
      <c r="L624">
        <v>62.652999999999999</v>
      </c>
      <c r="M624">
        <v>61.631</v>
      </c>
      <c r="N624">
        <v>62.081000000000003</v>
      </c>
      <c r="O624">
        <v>65.436000000000007</v>
      </c>
      <c r="P624">
        <v>78.713999999999999</v>
      </c>
      <c r="Q624">
        <v>94.24</v>
      </c>
      <c r="R624">
        <v>101.91</v>
      </c>
      <c r="S624">
        <v>102.648</v>
      </c>
      <c r="T624">
        <v>119.79600000000001</v>
      </c>
      <c r="U624">
        <v>121.90300000000001</v>
      </c>
      <c r="V624">
        <v>130.892</v>
      </c>
      <c r="W624">
        <v>120.267</v>
      </c>
      <c r="X624">
        <v>127.09399999999999</v>
      </c>
      <c r="Y624">
        <v>152.047</v>
      </c>
      <c r="Z624">
        <v>163.52000000000001</v>
      </c>
      <c r="AA624">
        <v>161.374</v>
      </c>
      <c r="AB624">
        <v>154.18</v>
      </c>
      <c r="AC624">
        <v>162.316</v>
      </c>
      <c r="AD624">
        <v>171.333</v>
      </c>
      <c r="AE624">
        <v>174.017</v>
      </c>
      <c r="AF624">
        <v>195.423</v>
      </c>
      <c r="AG624">
        <v>227.62</v>
      </c>
      <c r="AH624">
        <v>264.19900000000001</v>
      </c>
      <c r="AI624">
        <v>308.67899999999997</v>
      </c>
      <c r="AJ624">
        <v>345.39299999999997</v>
      </c>
      <c r="AK624">
        <v>400.88600000000002</v>
      </c>
      <c r="AL624">
        <v>461.94600000000003</v>
      </c>
      <c r="AM624">
        <v>386.38200000000001</v>
      </c>
      <c r="AN624">
        <v>428.52699999999999</v>
      </c>
      <c r="AO624">
        <v>498.15699999999998</v>
      </c>
      <c r="AP624">
        <v>509.70499999999998</v>
      </c>
      <c r="AQ624">
        <v>522.34900000000005</v>
      </c>
      <c r="AR624">
        <v>499.81700000000001</v>
      </c>
      <c r="AS624">
        <v>397.59</v>
      </c>
      <c r="AT624">
        <v>394.77600000000001</v>
      </c>
      <c r="AU624">
        <v>415.19</v>
      </c>
      <c r="AV624">
        <v>436.47199999999998</v>
      </c>
      <c r="AW624">
        <v>453.44099999999997</v>
      </c>
      <c r="AX624">
        <v>470.99</v>
      </c>
      <c r="AY624">
        <v>2014</v>
      </c>
    </row>
    <row r="625" spans="1:51" x14ac:dyDescent="0.25">
      <c r="A625">
        <v>142</v>
      </c>
      <c r="B625" t="s">
        <v>680</v>
      </c>
      <c r="C625" t="s">
        <v>293</v>
      </c>
      <c r="D625" t="s">
        <v>172</v>
      </c>
      <c r="E625" t="s">
        <v>294</v>
      </c>
      <c r="F625" t="s">
        <v>295</v>
      </c>
      <c r="G625" t="s">
        <v>296</v>
      </c>
      <c r="I625" t="s">
        <v>297</v>
      </c>
      <c r="J625">
        <v>24.056000000000001</v>
      </c>
      <c r="K625">
        <v>27.155000000000001</v>
      </c>
      <c r="L625">
        <v>30.009</v>
      </c>
      <c r="M625">
        <v>32.097999999999999</v>
      </c>
      <c r="N625">
        <v>34.091000000000001</v>
      </c>
      <c r="O625">
        <v>35.863</v>
      </c>
      <c r="P625">
        <v>35.665999999999997</v>
      </c>
      <c r="Q625">
        <v>38.241</v>
      </c>
      <c r="R625">
        <v>40.103000000000002</v>
      </c>
      <c r="S625">
        <v>42.353999999999999</v>
      </c>
      <c r="T625">
        <v>43.968000000000004</v>
      </c>
      <c r="U625">
        <v>44.94</v>
      </c>
      <c r="V625">
        <v>44.652999999999999</v>
      </c>
      <c r="W625">
        <v>45.677</v>
      </c>
      <c r="X625">
        <v>45.604999999999997</v>
      </c>
      <c r="Y625">
        <v>47.002000000000002</v>
      </c>
      <c r="Z625">
        <v>49.003999999999998</v>
      </c>
      <c r="AA625">
        <v>50.37</v>
      </c>
      <c r="AB625">
        <v>50.021999999999998</v>
      </c>
      <c r="AC625">
        <v>53.356000000000002</v>
      </c>
      <c r="AD625">
        <v>61.591000000000001</v>
      </c>
      <c r="AE625">
        <v>62.601999999999997</v>
      </c>
      <c r="AF625">
        <v>61.540999999999997</v>
      </c>
      <c r="AG625">
        <v>63.302999999999997</v>
      </c>
      <c r="AH625">
        <v>66.995999999999995</v>
      </c>
      <c r="AI625">
        <v>72.864999999999995</v>
      </c>
      <c r="AJ625">
        <v>79.260000000000005</v>
      </c>
      <c r="AK625">
        <v>81.680999999999997</v>
      </c>
      <c r="AL625">
        <v>90.215000000000003</v>
      </c>
      <c r="AM625">
        <v>85.52</v>
      </c>
      <c r="AN625">
        <v>90.62</v>
      </c>
      <c r="AO625">
        <v>96.745999999999995</v>
      </c>
      <c r="AP625">
        <v>100</v>
      </c>
      <c r="AQ625">
        <v>102.73099999999999</v>
      </c>
      <c r="AR625">
        <v>103.16</v>
      </c>
      <c r="AS625">
        <v>102.616</v>
      </c>
      <c r="AT625">
        <v>103.779</v>
      </c>
      <c r="AU625">
        <v>107.81100000000001</v>
      </c>
      <c r="AV625">
        <v>111.672</v>
      </c>
      <c r="AW625">
        <v>114.55500000000001</v>
      </c>
      <c r="AX625">
        <v>116.77500000000001</v>
      </c>
      <c r="AY625">
        <v>2014</v>
      </c>
    </row>
    <row r="626" spans="1:51" x14ac:dyDescent="0.25">
      <c r="A626">
        <v>142</v>
      </c>
      <c r="B626" t="s">
        <v>680</v>
      </c>
      <c r="C626" t="s">
        <v>298</v>
      </c>
      <c r="D626" t="s">
        <v>172</v>
      </c>
      <c r="E626" t="s">
        <v>299</v>
      </c>
      <c r="F626" t="s">
        <v>300</v>
      </c>
      <c r="G626" t="s">
        <v>282</v>
      </c>
      <c r="H626" t="s">
        <v>283</v>
      </c>
      <c r="I626" t="s">
        <v>682</v>
      </c>
      <c r="J626">
        <v>140.96700000000001</v>
      </c>
      <c r="K626">
        <v>159.49700000000001</v>
      </c>
      <c r="L626">
        <v>179.03200000000001</v>
      </c>
      <c r="M626">
        <v>197.28700000000001</v>
      </c>
      <c r="N626">
        <v>212.173</v>
      </c>
      <c r="O626">
        <v>231.916</v>
      </c>
      <c r="P626">
        <v>260.10399999999998</v>
      </c>
      <c r="Q626">
        <v>298.19</v>
      </c>
      <c r="R626">
        <v>324.39800000000002</v>
      </c>
      <c r="S626">
        <v>343.721</v>
      </c>
      <c r="T626">
        <v>370.36500000000001</v>
      </c>
      <c r="U626">
        <v>398.495</v>
      </c>
      <c r="V626">
        <v>421.08199999999999</v>
      </c>
      <c r="W626">
        <v>433.67700000000002</v>
      </c>
      <c r="X626">
        <v>446.928</v>
      </c>
      <c r="Y626">
        <v>479.60500000000002</v>
      </c>
      <c r="Z626">
        <v>500.69499999999999</v>
      </c>
      <c r="AA626">
        <v>524.072</v>
      </c>
      <c r="AB626">
        <v>561.452</v>
      </c>
      <c r="AC626">
        <v>593.57600000000002</v>
      </c>
      <c r="AD626">
        <v>629.45299999999997</v>
      </c>
      <c r="AE626">
        <v>679.07799999999997</v>
      </c>
      <c r="AF626">
        <v>714.16600000000005</v>
      </c>
      <c r="AG626">
        <v>762.74800000000005</v>
      </c>
      <c r="AH626">
        <v>786.94500000000005</v>
      </c>
      <c r="AI626">
        <v>815.52300000000002</v>
      </c>
      <c r="AJ626">
        <v>871.42</v>
      </c>
      <c r="AK626">
        <v>927.51400000000001</v>
      </c>
      <c r="AL626" s="21">
        <v>1014.692</v>
      </c>
      <c r="AM626" s="21">
        <v>1094.5050000000001</v>
      </c>
      <c r="AN626" s="21">
        <v>1142.23</v>
      </c>
      <c r="AO626" s="21">
        <v>1200.82</v>
      </c>
      <c r="AP626" s="21">
        <v>1252.47</v>
      </c>
      <c r="AQ626" s="21">
        <v>1329.8979999999999</v>
      </c>
      <c r="AR626" s="21">
        <v>1413.9929999999999</v>
      </c>
      <c r="AS626" s="21">
        <v>1513.6130000000001</v>
      </c>
      <c r="AT626" s="21">
        <v>1504.6320000000001</v>
      </c>
      <c r="AU626" s="21">
        <v>1587.0909999999999</v>
      </c>
      <c r="AV626" s="21">
        <v>1666.692</v>
      </c>
      <c r="AW626" s="21">
        <v>1745.4549999999999</v>
      </c>
      <c r="AX626" s="21">
        <v>1826.268</v>
      </c>
      <c r="AY626">
        <v>2014</v>
      </c>
    </row>
    <row r="627" spans="1:51" x14ac:dyDescent="0.25">
      <c r="A627">
        <v>449</v>
      </c>
      <c r="B627" t="s">
        <v>683</v>
      </c>
      <c r="C627" t="s">
        <v>279</v>
      </c>
      <c r="D627" t="s">
        <v>173</v>
      </c>
      <c r="E627" t="s">
        <v>280</v>
      </c>
      <c r="F627" t="s">
        <v>281</v>
      </c>
      <c r="G627" t="s">
        <v>282</v>
      </c>
      <c r="H627" t="s">
        <v>283</v>
      </c>
      <c r="I627" t="s">
        <v>684</v>
      </c>
      <c r="J627">
        <v>4.3559999999999999</v>
      </c>
      <c r="K627">
        <v>5.101</v>
      </c>
      <c r="L627">
        <v>5.6879999999999997</v>
      </c>
      <c r="M627">
        <v>6.5949999999999998</v>
      </c>
      <c r="N627">
        <v>7.5110000000000001</v>
      </c>
      <c r="O627">
        <v>8.6020000000000003</v>
      </c>
      <c r="P627">
        <v>8.7870000000000008</v>
      </c>
      <c r="Q627">
        <v>8.4359999999999999</v>
      </c>
      <c r="R627">
        <v>8.8789999999999996</v>
      </c>
      <c r="S627">
        <v>9.1430000000000007</v>
      </c>
      <c r="T627">
        <v>9.9090000000000007</v>
      </c>
      <c r="U627">
        <v>10.507999999999999</v>
      </c>
      <c r="V627">
        <v>11.401</v>
      </c>
      <c r="W627">
        <v>12.101000000000001</v>
      </c>
      <c r="X627">
        <v>12.567</v>
      </c>
      <c r="Y627">
        <v>13.173999999999999</v>
      </c>
      <c r="Z627">
        <v>13.554</v>
      </c>
      <c r="AA627">
        <v>14.391999999999999</v>
      </c>
      <c r="AB627">
        <v>14.781000000000001</v>
      </c>
      <c r="AC627">
        <v>14.83</v>
      </c>
      <c r="AD627">
        <v>15.801</v>
      </c>
      <c r="AE627">
        <v>16.509</v>
      </c>
      <c r="AF627">
        <v>16.327999999999999</v>
      </c>
      <c r="AG627">
        <v>15.891999999999999</v>
      </c>
      <c r="AH627">
        <v>16.097000000000001</v>
      </c>
      <c r="AI627">
        <v>16.498000000000001</v>
      </c>
      <c r="AJ627">
        <v>17.385000000000002</v>
      </c>
      <c r="AK627">
        <v>18.158999999999999</v>
      </c>
      <c r="AL627">
        <v>19.648</v>
      </c>
      <c r="AM627">
        <v>20.849</v>
      </c>
      <c r="AN627">
        <v>21.85</v>
      </c>
      <c r="AO627">
        <v>22.745000000000001</v>
      </c>
      <c r="AP627">
        <v>24.056000000000001</v>
      </c>
      <c r="AQ627">
        <v>25.184999999999999</v>
      </c>
      <c r="AR627">
        <v>25.927</v>
      </c>
      <c r="AS627">
        <v>27.058</v>
      </c>
      <c r="AT627">
        <v>27.829000000000001</v>
      </c>
      <c r="AU627">
        <v>28.390999999999998</v>
      </c>
      <c r="AV627">
        <v>28.78</v>
      </c>
      <c r="AW627">
        <v>29.126999999999999</v>
      </c>
      <c r="AX627">
        <v>29.405999999999999</v>
      </c>
      <c r="AY627">
        <v>2012</v>
      </c>
    </row>
    <row r="628" spans="1:51" x14ac:dyDescent="0.25">
      <c r="A628">
        <v>449</v>
      </c>
      <c r="B628" t="s">
        <v>683</v>
      </c>
      <c r="C628" t="s">
        <v>286</v>
      </c>
      <c r="D628" t="s">
        <v>173</v>
      </c>
      <c r="E628" t="s">
        <v>287</v>
      </c>
      <c r="F628" t="s">
        <v>288</v>
      </c>
      <c r="G628" t="s">
        <v>282</v>
      </c>
      <c r="H628" t="s">
        <v>283</v>
      </c>
      <c r="I628" t="s">
        <v>684</v>
      </c>
      <c r="J628">
        <v>2.117</v>
      </c>
      <c r="K628">
        <v>2.577</v>
      </c>
      <c r="L628">
        <v>2.7040000000000002</v>
      </c>
      <c r="M628">
        <v>2.835</v>
      </c>
      <c r="N628">
        <v>3.1240000000000001</v>
      </c>
      <c r="O628">
        <v>3.47</v>
      </c>
      <c r="P628">
        <v>3.0379999999999998</v>
      </c>
      <c r="Q628">
        <v>3.2069999999999999</v>
      </c>
      <c r="R628">
        <v>3.117</v>
      </c>
      <c r="S628">
        <v>3.4830000000000001</v>
      </c>
      <c r="T628">
        <v>4.343</v>
      </c>
      <c r="U628">
        <v>4.1980000000000004</v>
      </c>
      <c r="V628">
        <v>4.6059999999999999</v>
      </c>
      <c r="W628">
        <v>4.6120000000000001</v>
      </c>
      <c r="X628">
        <v>4.766</v>
      </c>
      <c r="Y628">
        <v>5.0990000000000002</v>
      </c>
      <c r="Z628">
        <v>5.657</v>
      </c>
      <c r="AA628">
        <v>5.8570000000000002</v>
      </c>
      <c r="AB628">
        <v>5.149</v>
      </c>
      <c r="AC628">
        <v>5.7679999999999998</v>
      </c>
      <c r="AD628">
        <v>7.2709999999999999</v>
      </c>
      <c r="AE628">
        <v>7.234</v>
      </c>
      <c r="AF628">
        <v>7.4820000000000002</v>
      </c>
      <c r="AG628">
        <v>8.0340000000000007</v>
      </c>
      <c r="AH628">
        <v>9.202</v>
      </c>
      <c r="AI628">
        <v>11.601000000000001</v>
      </c>
      <c r="AJ628">
        <v>13.896000000000001</v>
      </c>
      <c r="AK628">
        <v>15.673999999999999</v>
      </c>
      <c r="AL628">
        <v>22.782</v>
      </c>
      <c r="AM628">
        <v>17.960999999999999</v>
      </c>
      <c r="AN628">
        <v>21.85</v>
      </c>
      <c r="AO628">
        <v>26.033000000000001</v>
      </c>
      <c r="AP628">
        <v>29.004000000000001</v>
      </c>
      <c r="AQ628">
        <v>29.606999999999999</v>
      </c>
      <c r="AR628">
        <v>29.905999999999999</v>
      </c>
      <c r="AS628">
        <v>23.138999999999999</v>
      </c>
      <c r="AT628">
        <v>23.312999999999999</v>
      </c>
      <c r="AU628">
        <v>25.052</v>
      </c>
      <c r="AV628">
        <v>26.571999999999999</v>
      </c>
      <c r="AW628">
        <v>27.728000000000002</v>
      </c>
      <c r="AX628">
        <v>28.606999999999999</v>
      </c>
      <c r="AY628">
        <v>2012</v>
      </c>
    </row>
    <row r="629" spans="1:51" x14ac:dyDescent="0.25">
      <c r="A629">
        <v>449</v>
      </c>
      <c r="B629" t="s">
        <v>683</v>
      </c>
      <c r="C629" t="s">
        <v>289</v>
      </c>
      <c r="D629" t="s">
        <v>173</v>
      </c>
      <c r="E629" t="s">
        <v>287</v>
      </c>
      <c r="F629" t="s">
        <v>290</v>
      </c>
      <c r="G629" t="s">
        <v>291</v>
      </c>
      <c r="H629" t="s">
        <v>283</v>
      </c>
      <c r="I629" t="s">
        <v>292</v>
      </c>
      <c r="J629">
        <v>6.13</v>
      </c>
      <c r="K629">
        <v>7.4610000000000003</v>
      </c>
      <c r="L629">
        <v>7.8289999999999997</v>
      </c>
      <c r="M629">
        <v>8.2059999999999995</v>
      </c>
      <c r="N629">
        <v>9.0440000000000005</v>
      </c>
      <c r="O629">
        <v>10.047000000000001</v>
      </c>
      <c r="P629">
        <v>7.9539999999999997</v>
      </c>
      <c r="Q629">
        <v>8.3390000000000004</v>
      </c>
      <c r="R629">
        <v>8.1050000000000004</v>
      </c>
      <c r="S629">
        <v>9.0579999999999998</v>
      </c>
      <c r="T629">
        <v>11.294</v>
      </c>
      <c r="U629">
        <v>10.919</v>
      </c>
      <c r="V629">
        <v>11.98</v>
      </c>
      <c r="W629">
        <v>11.994</v>
      </c>
      <c r="X629">
        <v>12.397</v>
      </c>
      <c r="Y629">
        <v>13.260999999999999</v>
      </c>
      <c r="Z629">
        <v>14.712</v>
      </c>
      <c r="AA629">
        <v>15.231999999999999</v>
      </c>
      <c r="AB629">
        <v>13.391999999999999</v>
      </c>
      <c r="AC629">
        <v>15.002000000000001</v>
      </c>
      <c r="AD629">
        <v>18.91</v>
      </c>
      <c r="AE629">
        <v>18.815000000000001</v>
      </c>
      <c r="AF629">
        <v>19.459</v>
      </c>
      <c r="AG629">
        <v>20.896000000000001</v>
      </c>
      <c r="AH629">
        <v>23.931999999999999</v>
      </c>
      <c r="AI629">
        <v>30.170999999999999</v>
      </c>
      <c r="AJ629">
        <v>36.142000000000003</v>
      </c>
      <c r="AK629">
        <v>40.765000000000001</v>
      </c>
      <c r="AL629">
        <v>59.250999999999998</v>
      </c>
      <c r="AM629">
        <v>46.713999999999999</v>
      </c>
      <c r="AN629">
        <v>56.826999999999998</v>
      </c>
      <c r="AO629">
        <v>67.706000000000003</v>
      </c>
      <c r="AP629">
        <v>75.433000000000007</v>
      </c>
      <c r="AQ629">
        <v>77.001000000000005</v>
      </c>
      <c r="AR629">
        <v>77.778999999999996</v>
      </c>
      <c r="AS629">
        <v>60.179000000000002</v>
      </c>
      <c r="AT629">
        <v>60.631999999999998</v>
      </c>
      <c r="AU629">
        <v>65.155000000000001</v>
      </c>
      <c r="AV629">
        <v>69.106999999999999</v>
      </c>
      <c r="AW629">
        <v>72.114999999999995</v>
      </c>
      <c r="AX629">
        <v>74.402000000000001</v>
      </c>
      <c r="AY629">
        <v>2012</v>
      </c>
    </row>
    <row r="630" spans="1:51" x14ac:dyDescent="0.25">
      <c r="A630">
        <v>449</v>
      </c>
      <c r="B630" t="s">
        <v>683</v>
      </c>
      <c r="C630" t="s">
        <v>293</v>
      </c>
      <c r="D630" t="s">
        <v>173</v>
      </c>
      <c r="E630" t="s">
        <v>294</v>
      </c>
      <c r="F630" t="s">
        <v>295</v>
      </c>
      <c r="G630" t="s">
        <v>296</v>
      </c>
      <c r="I630" t="s">
        <v>297</v>
      </c>
      <c r="J630">
        <v>48.600999999999999</v>
      </c>
      <c r="K630">
        <v>50.521000000000001</v>
      </c>
      <c r="L630">
        <v>47.545999999999999</v>
      </c>
      <c r="M630">
        <v>42.982999999999997</v>
      </c>
      <c r="N630">
        <v>41.588000000000001</v>
      </c>
      <c r="O630">
        <v>40.341000000000001</v>
      </c>
      <c r="P630">
        <v>34.576000000000001</v>
      </c>
      <c r="Q630">
        <v>38.01</v>
      </c>
      <c r="R630">
        <v>35.101999999999997</v>
      </c>
      <c r="S630">
        <v>38.091999999999999</v>
      </c>
      <c r="T630">
        <v>43.823</v>
      </c>
      <c r="U630">
        <v>39.951999999999998</v>
      </c>
      <c r="V630">
        <v>40.405000000000001</v>
      </c>
      <c r="W630">
        <v>38.107999999999997</v>
      </c>
      <c r="X630">
        <v>37.93</v>
      </c>
      <c r="Y630">
        <v>38.704000000000001</v>
      </c>
      <c r="Z630">
        <v>41.734999999999999</v>
      </c>
      <c r="AA630">
        <v>40.695</v>
      </c>
      <c r="AB630">
        <v>34.838000000000001</v>
      </c>
      <c r="AC630">
        <v>38.896999999999998</v>
      </c>
      <c r="AD630">
        <v>46.015999999999998</v>
      </c>
      <c r="AE630">
        <v>43.820999999999998</v>
      </c>
      <c r="AF630">
        <v>45.825000000000003</v>
      </c>
      <c r="AG630">
        <v>50.555</v>
      </c>
      <c r="AH630">
        <v>57.164000000000001</v>
      </c>
      <c r="AI630">
        <v>70.316000000000003</v>
      </c>
      <c r="AJ630">
        <v>79.935000000000002</v>
      </c>
      <c r="AK630">
        <v>86.316999999999993</v>
      </c>
      <c r="AL630">
        <v>115.95099999999999</v>
      </c>
      <c r="AM630">
        <v>86.150999999999996</v>
      </c>
      <c r="AN630">
        <v>100</v>
      </c>
      <c r="AO630">
        <v>114.456</v>
      </c>
      <c r="AP630">
        <v>120.568</v>
      </c>
      <c r="AQ630">
        <v>117.55800000000001</v>
      </c>
      <c r="AR630">
        <v>115.34699999999999</v>
      </c>
      <c r="AS630">
        <v>85.513999999999996</v>
      </c>
      <c r="AT630">
        <v>83.772000000000006</v>
      </c>
      <c r="AU630">
        <v>88.24</v>
      </c>
      <c r="AV630">
        <v>92.328000000000003</v>
      </c>
      <c r="AW630">
        <v>95.197000000000003</v>
      </c>
      <c r="AX630">
        <v>97.284000000000006</v>
      </c>
      <c r="AY630">
        <v>2012</v>
      </c>
    </row>
    <row r="631" spans="1:51" x14ac:dyDescent="0.25">
      <c r="A631">
        <v>449</v>
      </c>
      <c r="B631" t="s">
        <v>683</v>
      </c>
      <c r="C631" t="s">
        <v>298</v>
      </c>
      <c r="D631" t="s">
        <v>173</v>
      </c>
      <c r="E631" t="s">
        <v>299</v>
      </c>
      <c r="F631" t="s">
        <v>300</v>
      </c>
      <c r="G631" t="s">
        <v>282</v>
      </c>
      <c r="H631" t="s">
        <v>283</v>
      </c>
      <c r="I631" t="s">
        <v>685</v>
      </c>
      <c r="J631" t="s">
        <v>285</v>
      </c>
      <c r="K631" t="s">
        <v>285</v>
      </c>
      <c r="L631" t="s">
        <v>285</v>
      </c>
      <c r="M631" t="s">
        <v>285</v>
      </c>
      <c r="N631" t="s">
        <v>285</v>
      </c>
      <c r="O631" t="s">
        <v>285</v>
      </c>
      <c r="P631" t="s">
        <v>285</v>
      </c>
      <c r="Q631" t="s">
        <v>285</v>
      </c>
      <c r="R631" t="s">
        <v>285</v>
      </c>
      <c r="S631" t="s">
        <v>285</v>
      </c>
      <c r="T631">
        <v>1.88</v>
      </c>
      <c r="U631">
        <v>1.8720000000000001</v>
      </c>
      <c r="V631">
        <v>2.2029999999999998</v>
      </c>
      <c r="W631">
        <v>2.206</v>
      </c>
      <c r="X631">
        <v>2.2629999999999999</v>
      </c>
      <c r="Y631">
        <v>2.327</v>
      </c>
      <c r="Z631">
        <v>2.2549999999999999</v>
      </c>
      <c r="AA631">
        <v>2.2400000000000002</v>
      </c>
      <c r="AB631">
        <v>2.2290000000000001</v>
      </c>
      <c r="AC631">
        <v>2.343</v>
      </c>
      <c r="AD631">
        <v>2.6720000000000002</v>
      </c>
      <c r="AE631">
        <v>2.8410000000000002</v>
      </c>
      <c r="AF631">
        <v>3.028</v>
      </c>
      <c r="AG631">
        <v>3.2290000000000001</v>
      </c>
      <c r="AH631">
        <v>3.718</v>
      </c>
      <c r="AI631">
        <v>4.181</v>
      </c>
      <c r="AJ631">
        <v>4.92</v>
      </c>
      <c r="AK631">
        <v>5.7060000000000004</v>
      </c>
      <c r="AL631">
        <v>6.867</v>
      </c>
      <c r="AM631">
        <v>7.1159999999999997</v>
      </c>
      <c r="AN631">
        <v>7.6429999999999998</v>
      </c>
      <c r="AO631">
        <v>10.279</v>
      </c>
      <c r="AP631">
        <v>12.983000000000001</v>
      </c>
      <c r="AQ631">
        <v>13.587999999999999</v>
      </c>
      <c r="AR631">
        <v>14.593999999999999</v>
      </c>
      <c r="AS631">
        <v>13.462999999999999</v>
      </c>
      <c r="AT631">
        <v>13.891999999999999</v>
      </c>
      <c r="AU631">
        <v>14.629</v>
      </c>
      <c r="AV631">
        <v>15.005000000000001</v>
      </c>
      <c r="AW631">
        <v>15.294</v>
      </c>
      <c r="AX631">
        <v>15.544</v>
      </c>
      <c r="AY631">
        <v>2013</v>
      </c>
    </row>
    <row r="632" spans="1:51" x14ac:dyDescent="0.25">
      <c r="A632">
        <v>564</v>
      </c>
      <c r="B632" t="s">
        <v>686</v>
      </c>
      <c r="C632" t="s">
        <v>279</v>
      </c>
      <c r="D632" t="s">
        <v>174</v>
      </c>
      <c r="E632" t="s">
        <v>280</v>
      </c>
      <c r="F632" t="s">
        <v>281</v>
      </c>
      <c r="G632" t="s">
        <v>282</v>
      </c>
      <c r="H632" t="s">
        <v>283</v>
      </c>
      <c r="I632" t="s">
        <v>687</v>
      </c>
      <c r="J632" s="21">
        <v>2014.1469999999999</v>
      </c>
      <c r="K632" s="21">
        <v>2151.73</v>
      </c>
      <c r="L632" s="21">
        <v>2292.3980000000001</v>
      </c>
      <c r="M632" s="21">
        <v>2447.7860000000001</v>
      </c>
      <c r="N632" s="21">
        <v>2571.7710000000002</v>
      </c>
      <c r="O632" s="21">
        <v>2767.0230000000001</v>
      </c>
      <c r="P632" s="21">
        <v>2919.2550000000001</v>
      </c>
      <c r="Q632" s="21">
        <v>3107.6149999999998</v>
      </c>
      <c r="R632" s="21">
        <v>3344.5720000000001</v>
      </c>
      <c r="S632" s="21">
        <v>3510.4630000000002</v>
      </c>
      <c r="T632" s="21">
        <v>3666.98</v>
      </c>
      <c r="U632" s="21">
        <v>3865.6120000000001</v>
      </c>
      <c r="V632" s="21">
        <v>4158.2240000000002</v>
      </c>
      <c r="W632" s="21">
        <v>4245.4160000000002</v>
      </c>
      <c r="X632" s="21">
        <v>4430.8789999999999</v>
      </c>
      <c r="Y632" s="21">
        <v>4655.1679999999997</v>
      </c>
      <c r="Z632" s="21">
        <v>4962.3670000000002</v>
      </c>
      <c r="AA632" s="21">
        <v>5046.8609999999999</v>
      </c>
      <c r="AB632" s="21">
        <v>5223.1940000000004</v>
      </c>
      <c r="AC632" s="21">
        <v>5441.7219999999998</v>
      </c>
      <c r="AD632" s="21">
        <v>5654.2879999999996</v>
      </c>
      <c r="AE632" s="21">
        <v>5765.6769999999997</v>
      </c>
      <c r="AF632" s="21">
        <v>5945.1009999999997</v>
      </c>
      <c r="AG632" s="21">
        <v>6226.0529999999999</v>
      </c>
      <c r="AH632" s="21">
        <v>6691.9279999999999</v>
      </c>
      <c r="AI632" s="21">
        <v>7291.4170000000004</v>
      </c>
      <c r="AJ632" s="21">
        <v>7715.777</v>
      </c>
      <c r="AK632" s="21">
        <v>8142.9690000000001</v>
      </c>
      <c r="AL632" s="21">
        <v>8549.1479999999992</v>
      </c>
      <c r="AM632" s="21">
        <v>8579.9869999999992</v>
      </c>
      <c r="AN632" s="21">
        <v>8801.3940000000002</v>
      </c>
      <c r="AO632" s="21">
        <v>9120.3359999999993</v>
      </c>
      <c r="AP632" s="21">
        <v>9470.2549999999992</v>
      </c>
      <c r="AQ632" s="21">
        <v>9816.2119999999995</v>
      </c>
      <c r="AR632" s="21">
        <v>10211.456</v>
      </c>
      <c r="AS632" s="21">
        <v>10644.335999999999</v>
      </c>
      <c r="AT632" s="21">
        <v>11123.331</v>
      </c>
      <c r="AU632" s="21">
        <v>11623.880999999999</v>
      </c>
      <c r="AV632" s="21">
        <v>12228.293</v>
      </c>
      <c r="AW632" s="21">
        <v>12864.447</v>
      </c>
      <c r="AX632" s="21">
        <v>13533.380999999999</v>
      </c>
      <c r="AY632">
        <v>2015</v>
      </c>
    </row>
    <row r="633" spans="1:51" x14ac:dyDescent="0.25">
      <c r="A633">
        <v>564</v>
      </c>
      <c r="B633" t="s">
        <v>686</v>
      </c>
      <c r="C633" t="s">
        <v>286</v>
      </c>
      <c r="D633" t="s">
        <v>174</v>
      </c>
      <c r="E633" t="s">
        <v>287</v>
      </c>
      <c r="F633" t="s">
        <v>288</v>
      </c>
      <c r="G633" t="s">
        <v>282</v>
      </c>
      <c r="H633" t="s">
        <v>283</v>
      </c>
      <c r="I633" t="s">
        <v>687</v>
      </c>
      <c r="J633">
        <v>283.45999999999998</v>
      </c>
      <c r="K633">
        <v>335.32299999999998</v>
      </c>
      <c r="L633">
        <v>390.72500000000002</v>
      </c>
      <c r="M633">
        <v>439.214</v>
      </c>
      <c r="N633">
        <v>506.00799999999998</v>
      </c>
      <c r="O633">
        <v>569.11400000000003</v>
      </c>
      <c r="P633">
        <v>620.19100000000003</v>
      </c>
      <c r="Q633">
        <v>690.03700000000003</v>
      </c>
      <c r="R633">
        <v>814.08</v>
      </c>
      <c r="S633">
        <v>926.68499999999995</v>
      </c>
      <c r="T633" s="21">
        <v>1037.9570000000001</v>
      </c>
      <c r="U633" s="21">
        <v>1236.0640000000001</v>
      </c>
      <c r="V633" s="21">
        <v>1465.2049999999999</v>
      </c>
      <c r="W633" s="21">
        <v>1620.62</v>
      </c>
      <c r="X633" s="21">
        <v>1897.884</v>
      </c>
      <c r="Y633" s="21">
        <v>2268.4609999999998</v>
      </c>
      <c r="Z633" s="21">
        <v>2577.5619999999999</v>
      </c>
      <c r="AA633" s="21">
        <v>2952.1759999999999</v>
      </c>
      <c r="AB633" s="21">
        <v>3255.3119999999999</v>
      </c>
      <c r="AC633" s="21">
        <v>3572.2809999999999</v>
      </c>
      <c r="AD633" s="21">
        <v>3826.1109999999999</v>
      </c>
      <c r="AE633" s="21">
        <v>4209.8729999999996</v>
      </c>
      <c r="AF633" s="21">
        <v>4452.6540000000005</v>
      </c>
      <c r="AG633" s="21">
        <v>4875.6480000000001</v>
      </c>
      <c r="AH633" s="21">
        <v>5640.58</v>
      </c>
      <c r="AI633" s="21">
        <v>6499.7820000000002</v>
      </c>
      <c r="AJ633" s="21">
        <v>8216.16</v>
      </c>
      <c r="AK633" s="21">
        <v>9239.7860000000001</v>
      </c>
      <c r="AL633" s="21">
        <v>10637.772000000001</v>
      </c>
      <c r="AM633" s="21">
        <v>13199.707</v>
      </c>
      <c r="AN633" s="21">
        <v>14866.995999999999</v>
      </c>
      <c r="AO633" s="21">
        <v>18276.439999999999</v>
      </c>
      <c r="AP633" s="21">
        <v>20046.5</v>
      </c>
      <c r="AQ633" s="21">
        <v>22378.994999999999</v>
      </c>
      <c r="AR633" s="21">
        <v>25068.059000000001</v>
      </c>
      <c r="AS633" s="21">
        <v>27383.722000000002</v>
      </c>
      <c r="AT633" s="21">
        <v>30169.982</v>
      </c>
      <c r="AU633" s="21">
        <v>33401.938999999998</v>
      </c>
      <c r="AV633" s="21">
        <v>37037.985000000001</v>
      </c>
      <c r="AW633" s="21">
        <v>41048.057000000001</v>
      </c>
      <c r="AX633" s="21">
        <v>45422.928</v>
      </c>
      <c r="AY633">
        <v>2015</v>
      </c>
    </row>
    <row r="634" spans="1:51" x14ac:dyDescent="0.25">
      <c r="A634">
        <v>564</v>
      </c>
      <c r="B634" t="s">
        <v>686</v>
      </c>
      <c r="C634" t="s">
        <v>289</v>
      </c>
      <c r="D634" t="s">
        <v>174</v>
      </c>
      <c r="E634" t="s">
        <v>287</v>
      </c>
      <c r="F634" t="s">
        <v>290</v>
      </c>
      <c r="G634" t="s">
        <v>291</v>
      </c>
      <c r="H634" t="s">
        <v>283</v>
      </c>
      <c r="I634" t="s">
        <v>292</v>
      </c>
      <c r="J634">
        <v>28.632000000000001</v>
      </c>
      <c r="K634">
        <v>30.838000000000001</v>
      </c>
      <c r="L634">
        <v>31.303000000000001</v>
      </c>
      <c r="M634">
        <v>32.338999999999999</v>
      </c>
      <c r="N634">
        <v>33.762</v>
      </c>
      <c r="O634">
        <v>34.941000000000003</v>
      </c>
      <c r="P634">
        <v>36.432000000000002</v>
      </c>
      <c r="Q634">
        <v>38.982999999999997</v>
      </c>
      <c r="R634">
        <v>42.241</v>
      </c>
      <c r="S634">
        <v>43.869</v>
      </c>
      <c r="T634">
        <v>48.572000000000003</v>
      </c>
      <c r="U634">
        <v>55.351999999999997</v>
      </c>
      <c r="V634">
        <v>59.253999999999998</v>
      </c>
      <c r="W634">
        <v>62.728999999999999</v>
      </c>
      <c r="X634">
        <v>63.581000000000003</v>
      </c>
      <c r="Y634">
        <v>73.741</v>
      </c>
      <c r="Z634">
        <v>77.429000000000002</v>
      </c>
      <c r="AA634">
        <v>76.498000000000005</v>
      </c>
      <c r="AB634">
        <v>75.965999999999994</v>
      </c>
      <c r="AC634">
        <v>76.863</v>
      </c>
      <c r="AD634">
        <v>73.986999999999995</v>
      </c>
      <c r="AE634">
        <v>72.927999999999997</v>
      </c>
      <c r="AF634">
        <v>72.144999999999996</v>
      </c>
      <c r="AG634">
        <v>83.048000000000002</v>
      </c>
      <c r="AH634">
        <v>97.966999999999999</v>
      </c>
      <c r="AI634">
        <v>110.1</v>
      </c>
      <c r="AJ634">
        <v>137.26599999999999</v>
      </c>
      <c r="AK634">
        <v>152.46</v>
      </c>
      <c r="AL634">
        <v>171.19499999999999</v>
      </c>
      <c r="AM634">
        <v>169.745</v>
      </c>
      <c r="AN634">
        <v>177.62200000000001</v>
      </c>
      <c r="AO634">
        <v>213.626</v>
      </c>
      <c r="AP634">
        <v>225.06</v>
      </c>
      <c r="AQ634">
        <v>231.61699999999999</v>
      </c>
      <c r="AR634">
        <v>246.84899999999999</v>
      </c>
      <c r="AS634">
        <v>270.96100000000001</v>
      </c>
      <c r="AT634" t="s">
        <v>285</v>
      </c>
      <c r="AU634" t="s">
        <v>285</v>
      </c>
      <c r="AV634" t="s">
        <v>285</v>
      </c>
      <c r="AW634" t="s">
        <v>285</v>
      </c>
      <c r="AX634" t="s">
        <v>285</v>
      </c>
      <c r="AY634">
        <v>2015</v>
      </c>
    </row>
    <row r="635" spans="1:51" x14ac:dyDescent="0.25">
      <c r="A635">
        <v>564</v>
      </c>
      <c r="B635" t="s">
        <v>686</v>
      </c>
      <c r="C635" t="s">
        <v>293</v>
      </c>
      <c r="D635" t="s">
        <v>174</v>
      </c>
      <c r="E635" t="s">
        <v>294</v>
      </c>
      <c r="F635" t="s">
        <v>295</v>
      </c>
      <c r="G635" t="s">
        <v>296</v>
      </c>
      <c r="I635" t="s">
        <v>297</v>
      </c>
      <c r="J635">
        <v>14.073</v>
      </c>
      <c r="K635">
        <v>15.584</v>
      </c>
      <c r="L635">
        <v>17.044</v>
      </c>
      <c r="M635">
        <v>17.943000000000001</v>
      </c>
      <c r="N635">
        <v>19.675000000000001</v>
      </c>
      <c r="O635">
        <v>20.568000000000001</v>
      </c>
      <c r="P635">
        <v>21.245000000000001</v>
      </c>
      <c r="Q635">
        <v>22.204999999999998</v>
      </c>
      <c r="R635">
        <v>24.34</v>
      </c>
      <c r="S635">
        <v>26.398</v>
      </c>
      <c r="T635">
        <v>28.305</v>
      </c>
      <c r="U635">
        <v>31.975999999999999</v>
      </c>
      <c r="V635">
        <v>35.235999999999997</v>
      </c>
      <c r="W635">
        <v>38.173000000000002</v>
      </c>
      <c r="X635">
        <v>42.832999999999998</v>
      </c>
      <c r="Y635">
        <v>48.73</v>
      </c>
      <c r="Z635">
        <v>51.942</v>
      </c>
      <c r="AA635">
        <v>58.494999999999997</v>
      </c>
      <c r="AB635">
        <v>62.323999999999998</v>
      </c>
      <c r="AC635">
        <v>65.646000000000001</v>
      </c>
      <c r="AD635">
        <v>67.667000000000002</v>
      </c>
      <c r="AE635">
        <v>73.016000000000005</v>
      </c>
      <c r="AF635">
        <v>74.896000000000001</v>
      </c>
      <c r="AG635">
        <v>78.31</v>
      </c>
      <c r="AH635">
        <v>84.289000000000001</v>
      </c>
      <c r="AI635">
        <v>89.143000000000001</v>
      </c>
      <c r="AJ635">
        <v>106.485</v>
      </c>
      <c r="AK635">
        <v>113.46899999999999</v>
      </c>
      <c r="AL635">
        <v>124.431</v>
      </c>
      <c r="AM635">
        <v>153.84299999999999</v>
      </c>
      <c r="AN635">
        <v>168.916</v>
      </c>
      <c r="AO635">
        <v>200.392</v>
      </c>
      <c r="AP635">
        <v>211.679</v>
      </c>
      <c r="AQ635">
        <v>227.98</v>
      </c>
      <c r="AR635">
        <v>245.49</v>
      </c>
      <c r="AS635">
        <v>257.26100000000002</v>
      </c>
      <c r="AT635">
        <v>271.23200000000003</v>
      </c>
      <c r="AU635">
        <v>287.35599999999999</v>
      </c>
      <c r="AV635">
        <v>302.88799999999998</v>
      </c>
      <c r="AW635">
        <v>319.08100000000002</v>
      </c>
      <c r="AX635">
        <v>335.63600000000002</v>
      </c>
      <c r="AY635">
        <v>2015</v>
      </c>
    </row>
    <row r="636" spans="1:51" x14ac:dyDescent="0.25">
      <c r="A636">
        <v>564</v>
      </c>
      <c r="B636" t="s">
        <v>686</v>
      </c>
      <c r="C636" t="s">
        <v>298</v>
      </c>
      <c r="D636" t="s">
        <v>174</v>
      </c>
      <c r="E636" t="s">
        <v>299</v>
      </c>
      <c r="F636" t="s">
        <v>300</v>
      </c>
      <c r="G636" t="s">
        <v>282</v>
      </c>
      <c r="H636" t="s">
        <v>283</v>
      </c>
      <c r="I636" t="s">
        <v>688</v>
      </c>
      <c r="J636" t="s">
        <v>285</v>
      </c>
      <c r="K636" t="s">
        <v>285</v>
      </c>
      <c r="L636" t="s">
        <v>285</v>
      </c>
      <c r="M636" t="s">
        <v>285</v>
      </c>
      <c r="N636" t="s">
        <v>285</v>
      </c>
      <c r="O636" t="s">
        <v>285</v>
      </c>
      <c r="P636" t="s">
        <v>285</v>
      </c>
      <c r="Q636" t="s">
        <v>285</v>
      </c>
      <c r="R636" t="s">
        <v>285</v>
      </c>
      <c r="S636" t="s">
        <v>285</v>
      </c>
      <c r="T636" t="s">
        <v>285</v>
      </c>
      <c r="U636" t="s">
        <v>285</v>
      </c>
      <c r="V636" t="s">
        <v>285</v>
      </c>
      <c r="W636">
        <v>361.99099999999999</v>
      </c>
      <c r="X636">
        <v>361.99099999999999</v>
      </c>
      <c r="Y636">
        <v>426.37299999999999</v>
      </c>
      <c r="Z636">
        <v>520.83699999999999</v>
      </c>
      <c r="AA636">
        <v>545.18700000000001</v>
      </c>
      <c r="AB636">
        <v>618.41899999999998</v>
      </c>
      <c r="AC636">
        <v>636.07500000000005</v>
      </c>
      <c r="AD636">
        <v>711.32899999999995</v>
      </c>
      <c r="AE636">
        <v>732.34500000000003</v>
      </c>
      <c r="AF636">
        <v>866.221</v>
      </c>
      <c r="AG636">
        <v>845.97799999999995</v>
      </c>
      <c r="AH636">
        <v>922.94600000000003</v>
      </c>
      <c r="AI636" s="21">
        <v>1116.539</v>
      </c>
      <c r="AJ636" s="21">
        <v>1401.818</v>
      </c>
      <c r="AK636" s="21">
        <v>1800.0029999999999</v>
      </c>
      <c r="AL636" s="21">
        <v>2280.9720000000002</v>
      </c>
      <c r="AM636" s="21">
        <v>2544.1999999999998</v>
      </c>
      <c r="AN636" s="21">
        <v>3023.5230000000001</v>
      </c>
      <c r="AO636" s="21">
        <v>3536.36</v>
      </c>
      <c r="AP636" s="21">
        <v>4341.2190000000001</v>
      </c>
      <c r="AQ636" s="21">
        <v>4884.7929999999997</v>
      </c>
      <c r="AR636" s="21">
        <v>5057.7449999999999</v>
      </c>
      <c r="AS636" s="21">
        <v>5425.8270000000002</v>
      </c>
      <c r="AT636" s="21">
        <v>5915.6139999999996</v>
      </c>
      <c r="AU636" s="21">
        <v>6538.2629999999999</v>
      </c>
      <c r="AV636" s="21">
        <v>7270.0410000000002</v>
      </c>
      <c r="AW636" s="21">
        <v>8252.1730000000007</v>
      </c>
      <c r="AX636" s="21">
        <v>9129.723</v>
      </c>
      <c r="AY636">
        <v>2015</v>
      </c>
    </row>
    <row r="637" spans="1:51" x14ac:dyDescent="0.25">
      <c r="A637">
        <v>565</v>
      </c>
      <c r="B637" t="s">
        <v>689</v>
      </c>
      <c r="C637" t="s">
        <v>279</v>
      </c>
      <c r="D637" t="s">
        <v>175</v>
      </c>
      <c r="E637" t="s">
        <v>280</v>
      </c>
      <c r="F637" t="s">
        <v>281</v>
      </c>
      <c r="G637" t="s">
        <v>282</v>
      </c>
      <c r="H637" t="s">
        <v>283</v>
      </c>
      <c r="I637" t="s">
        <v>690</v>
      </c>
      <c r="J637" t="s">
        <v>285</v>
      </c>
      <c r="K637" t="s">
        <v>285</v>
      </c>
      <c r="L637" t="s">
        <v>285</v>
      </c>
      <c r="M637" t="s">
        <v>285</v>
      </c>
      <c r="N637" t="s">
        <v>285</v>
      </c>
      <c r="O637" t="s">
        <v>285</v>
      </c>
      <c r="P637" t="s">
        <v>285</v>
      </c>
      <c r="Q637" t="s">
        <v>285</v>
      </c>
      <c r="R637" t="s">
        <v>285</v>
      </c>
      <c r="S637" t="s">
        <v>285</v>
      </c>
      <c r="T637" t="s">
        <v>285</v>
      </c>
      <c r="U637" t="s">
        <v>285</v>
      </c>
      <c r="V637" t="s">
        <v>285</v>
      </c>
      <c r="W637" t="s">
        <v>285</v>
      </c>
      <c r="X637" t="s">
        <v>285</v>
      </c>
      <c r="Y637" t="s">
        <v>285</v>
      </c>
      <c r="Z637" t="s">
        <v>285</v>
      </c>
      <c r="AA637" t="s">
        <v>285</v>
      </c>
      <c r="AB637" t="s">
        <v>285</v>
      </c>
      <c r="AC637" t="s">
        <v>285</v>
      </c>
      <c r="AD637">
        <v>0.17</v>
      </c>
      <c r="AE637">
        <v>0.17699999999999999</v>
      </c>
      <c r="AF637">
        <v>0.189</v>
      </c>
      <c r="AG637">
        <v>0.17699999999999999</v>
      </c>
      <c r="AH637">
        <v>0.191</v>
      </c>
      <c r="AI637">
        <v>0.19400000000000001</v>
      </c>
      <c r="AJ637">
        <v>0.188</v>
      </c>
      <c r="AK637">
        <v>0.188</v>
      </c>
      <c r="AL637">
        <v>0.17899999999999999</v>
      </c>
      <c r="AM637">
        <v>0.161</v>
      </c>
      <c r="AN637">
        <v>0.16700000000000001</v>
      </c>
      <c r="AO637">
        <v>0.17499999999999999</v>
      </c>
      <c r="AP637">
        <v>0.18</v>
      </c>
      <c r="AQ637">
        <v>0.17699999999999999</v>
      </c>
      <c r="AR637">
        <v>0.186</v>
      </c>
      <c r="AS637">
        <v>0.193</v>
      </c>
      <c r="AT637">
        <v>0.19800000000000001</v>
      </c>
      <c r="AU637">
        <v>0.20300000000000001</v>
      </c>
      <c r="AV637">
        <v>0.20799999999999999</v>
      </c>
      <c r="AW637">
        <v>0.21199999999999999</v>
      </c>
      <c r="AX637">
        <v>0.216</v>
      </c>
      <c r="AY637">
        <v>2014</v>
      </c>
    </row>
    <row r="638" spans="1:51" x14ac:dyDescent="0.25">
      <c r="A638">
        <v>565</v>
      </c>
      <c r="B638" t="s">
        <v>689</v>
      </c>
      <c r="C638" t="s">
        <v>286</v>
      </c>
      <c r="D638" t="s">
        <v>175</v>
      </c>
      <c r="E638" t="s">
        <v>287</v>
      </c>
      <c r="F638" t="s">
        <v>288</v>
      </c>
      <c r="G638" t="s">
        <v>282</v>
      </c>
      <c r="H638" t="s">
        <v>283</v>
      </c>
      <c r="I638" t="s">
        <v>690</v>
      </c>
      <c r="J638" t="s">
        <v>285</v>
      </c>
      <c r="K638" t="s">
        <v>285</v>
      </c>
      <c r="L638" t="s">
        <v>285</v>
      </c>
      <c r="M638" t="s">
        <v>285</v>
      </c>
      <c r="N638" t="s">
        <v>285</v>
      </c>
      <c r="O638" t="s">
        <v>285</v>
      </c>
      <c r="P638" t="s">
        <v>285</v>
      </c>
      <c r="Q638" t="s">
        <v>285</v>
      </c>
      <c r="R638" t="s">
        <v>285</v>
      </c>
      <c r="S638" t="s">
        <v>285</v>
      </c>
      <c r="T638" t="s">
        <v>285</v>
      </c>
      <c r="U638" t="s">
        <v>285</v>
      </c>
      <c r="V638" t="s">
        <v>285</v>
      </c>
      <c r="W638" t="s">
        <v>285</v>
      </c>
      <c r="X638" t="s">
        <v>285</v>
      </c>
      <c r="Y638" t="s">
        <v>285</v>
      </c>
      <c r="Z638" t="s">
        <v>285</v>
      </c>
      <c r="AA638" t="s">
        <v>285</v>
      </c>
      <c r="AB638" t="s">
        <v>285</v>
      </c>
      <c r="AC638" t="s">
        <v>285</v>
      </c>
      <c r="AD638">
        <v>0.14899999999999999</v>
      </c>
      <c r="AE638">
        <v>0.16</v>
      </c>
      <c r="AF638">
        <v>0.16300000000000001</v>
      </c>
      <c r="AG638">
        <v>0.16</v>
      </c>
      <c r="AH638">
        <v>0.17499999999999999</v>
      </c>
      <c r="AI638">
        <v>0.19400000000000001</v>
      </c>
      <c r="AJ638">
        <v>0.19500000000000001</v>
      </c>
      <c r="AK638">
        <v>0.19600000000000001</v>
      </c>
      <c r="AL638">
        <v>0.19700000000000001</v>
      </c>
      <c r="AM638">
        <v>0.186</v>
      </c>
      <c r="AN638">
        <v>0.184</v>
      </c>
      <c r="AO638">
        <v>0.20100000000000001</v>
      </c>
      <c r="AP638">
        <v>0.216</v>
      </c>
      <c r="AQ638">
        <v>0.22800000000000001</v>
      </c>
      <c r="AR638">
        <v>0.249</v>
      </c>
      <c r="AS638">
        <v>0.26100000000000001</v>
      </c>
      <c r="AT638">
        <v>0.27300000000000002</v>
      </c>
      <c r="AU638">
        <v>0.28499999999999998</v>
      </c>
      <c r="AV638">
        <v>0.29799999999999999</v>
      </c>
      <c r="AW638">
        <v>0.31</v>
      </c>
      <c r="AX638">
        <v>0.32300000000000001</v>
      </c>
      <c r="AY638">
        <v>2014</v>
      </c>
    </row>
    <row r="639" spans="1:51" x14ac:dyDescent="0.25">
      <c r="A639">
        <v>565</v>
      </c>
      <c r="B639" t="s">
        <v>689</v>
      </c>
      <c r="C639" t="s">
        <v>289</v>
      </c>
      <c r="D639" t="s">
        <v>175</v>
      </c>
      <c r="E639" t="s">
        <v>287</v>
      </c>
      <c r="F639" t="s">
        <v>290</v>
      </c>
      <c r="G639" t="s">
        <v>291</v>
      </c>
      <c r="H639" t="s">
        <v>283</v>
      </c>
      <c r="I639" t="s">
        <v>292</v>
      </c>
      <c r="J639" t="s">
        <v>285</v>
      </c>
      <c r="K639" t="s">
        <v>285</v>
      </c>
      <c r="L639" t="s">
        <v>285</v>
      </c>
      <c r="M639" t="s">
        <v>285</v>
      </c>
      <c r="N639" t="s">
        <v>285</v>
      </c>
      <c r="O639" t="s">
        <v>285</v>
      </c>
      <c r="P639" t="s">
        <v>285</v>
      </c>
      <c r="Q639" t="s">
        <v>285</v>
      </c>
      <c r="R639" t="s">
        <v>285</v>
      </c>
      <c r="S639" t="s">
        <v>285</v>
      </c>
      <c r="T639" t="s">
        <v>285</v>
      </c>
      <c r="U639" t="s">
        <v>285</v>
      </c>
      <c r="V639" t="s">
        <v>285</v>
      </c>
      <c r="W639" t="s">
        <v>285</v>
      </c>
      <c r="X639" t="s">
        <v>285</v>
      </c>
      <c r="Y639" t="s">
        <v>285</v>
      </c>
      <c r="Z639" t="s">
        <v>285</v>
      </c>
      <c r="AA639" t="s">
        <v>285</v>
      </c>
      <c r="AB639" t="s">
        <v>285</v>
      </c>
      <c r="AC639" t="s">
        <v>285</v>
      </c>
      <c r="AD639">
        <v>0.14899999999999999</v>
      </c>
      <c r="AE639">
        <v>0.16</v>
      </c>
      <c r="AF639">
        <v>0.16300000000000001</v>
      </c>
      <c r="AG639">
        <v>0.16</v>
      </c>
      <c r="AH639">
        <v>0.17499999999999999</v>
      </c>
      <c r="AI639">
        <v>0.19400000000000001</v>
      </c>
      <c r="AJ639">
        <v>0.19500000000000001</v>
      </c>
      <c r="AK639">
        <v>0.19600000000000001</v>
      </c>
      <c r="AL639">
        <v>0.19700000000000001</v>
      </c>
      <c r="AM639">
        <v>0.186</v>
      </c>
      <c r="AN639">
        <v>0.184</v>
      </c>
      <c r="AO639">
        <v>0.20100000000000001</v>
      </c>
      <c r="AP639">
        <v>0.216</v>
      </c>
      <c r="AQ639">
        <v>0.22800000000000001</v>
      </c>
      <c r="AR639">
        <v>0.249</v>
      </c>
      <c r="AS639">
        <v>0.26100000000000001</v>
      </c>
      <c r="AT639">
        <v>0.27300000000000002</v>
      </c>
      <c r="AU639">
        <v>0.28499999999999998</v>
      </c>
      <c r="AV639">
        <v>0.29799999999999999</v>
      </c>
      <c r="AW639">
        <v>0.31</v>
      </c>
      <c r="AX639">
        <v>0.32300000000000001</v>
      </c>
      <c r="AY639">
        <v>2014</v>
      </c>
    </row>
    <row r="640" spans="1:51" x14ac:dyDescent="0.25">
      <c r="A640">
        <v>565</v>
      </c>
      <c r="B640" t="s">
        <v>689</v>
      </c>
      <c r="C640" t="s">
        <v>293</v>
      </c>
      <c r="D640" t="s">
        <v>175</v>
      </c>
      <c r="E640" t="s">
        <v>294</v>
      </c>
      <c r="F640" t="s">
        <v>295</v>
      </c>
      <c r="G640" t="s">
        <v>296</v>
      </c>
      <c r="I640" t="s">
        <v>297</v>
      </c>
      <c r="J640" t="s">
        <v>285</v>
      </c>
      <c r="K640" t="s">
        <v>285</v>
      </c>
      <c r="L640" t="s">
        <v>285</v>
      </c>
      <c r="M640" t="s">
        <v>285</v>
      </c>
      <c r="N640" t="s">
        <v>285</v>
      </c>
      <c r="O640" t="s">
        <v>285</v>
      </c>
      <c r="P640" t="s">
        <v>285</v>
      </c>
      <c r="Q640" t="s">
        <v>285</v>
      </c>
      <c r="R640" t="s">
        <v>285</v>
      </c>
      <c r="S640" t="s">
        <v>285</v>
      </c>
      <c r="T640" t="s">
        <v>285</v>
      </c>
      <c r="U640" t="s">
        <v>285</v>
      </c>
      <c r="V640" t="s">
        <v>285</v>
      </c>
      <c r="W640" t="s">
        <v>285</v>
      </c>
      <c r="X640" t="s">
        <v>285</v>
      </c>
      <c r="Y640" t="s">
        <v>285</v>
      </c>
      <c r="Z640" t="s">
        <v>285</v>
      </c>
      <c r="AA640" t="s">
        <v>285</v>
      </c>
      <c r="AB640" t="s">
        <v>285</v>
      </c>
      <c r="AC640" t="s">
        <v>285</v>
      </c>
      <c r="AD640">
        <v>87.588999999999999</v>
      </c>
      <c r="AE640">
        <v>89.915000000000006</v>
      </c>
      <c r="AF640">
        <v>86.241</v>
      </c>
      <c r="AG640">
        <v>89.947999999999993</v>
      </c>
      <c r="AH640">
        <v>92</v>
      </c>
      <c r="AI640">
        <v>100</v>
      </c>
      <c r="AJ640">
        <v>103.282</v>
      </c>
      <c r="AK640">
        <v>103.818</v>
      </c>
      <c r="AL640">
        <v>110.01300000000001</v>
      </c>
      <c r="AM640">
        <v>115.697</v>
      </c>
      <c r="AN640">
        <v>110.20099999999999</v>
      </c>
      <c r="AO640">
        <v>115.042</v>
      </c>
      <c r="AP640">
        <v>119.676</v>
      </c>
      <c r="AQ640">
        <v>129.042</v>
      </c>
      <c r="AR640">
        <v>134.203</v>
      </c>
      <c r="AS640">
        <v>135.27699999999999</v>
      </c>
      <c r="AT640">
        <v>137.71199999999999</v>
      </c>
      <c r="AU640">
        <v>140.46600000000001</v>
      </c>
      <c r="AV640">
        <v>143.27600000000001</v>
      </c>
      <c r="AW640">
        <v>146.14099999999999</v>
      </c>
      <c r="AX640">
        <v>149.06399999999999</v>
      </c>
      <c r="AY640">
        <v>2014</v>
      </c>
    </row>
    <row r="641" spans="1:51" x14ac:dyDescent="0.25">
      <c r="A641">
        <v>565</v>
      </c>
      <c r="B641" t="s">
        <v>689</v>
      </c>
      <c r="C641" t="s">
        <v>298</v>
      </c>
      <c r="D641" t="s">
        <v>175</v>
      </c>
      <c r="E641" t="s">
        <v>299</v>
      </c>
      <c r="F641" t="s">
        <v>300</v>
      </c>
      <c r="G641" t="s">
        <v>282</v>
      </c>
      <c r="H641" t="s">
        <v>283</v>
      </c>
      <c r="I641" t="s">
        <v>691</v>
      </c>
      <c r="J641" t="s">
        <v>285</v>
      </c>
      <c r="K641" t="s">
        <v>285</v>
      </c>
      <c r="L641" t="s">
        <v>285</v>
      </c>
      <c r="M641" t="s">
        <v>285</v>
      </c>
      <c r="N641" t="s">
        <v>285</v>
      </c>
      <c r="O641" t="s">
        <v>285</v>
      </c>
      <c r="P641" t="s">
        <v>285</v>
      </c>
      <c r="Q641" t="s">
        <v>285</v>
      </c>
      <c r="R641" t="s">
        <v>285</v>
      </c>
      <c r="S641" t="s">
        <v>285</v>
      </c>
      <c r="T641" t="s">
        <v>285</v>
      </c>
      <c r="U641" t="s">
        <v>285</v>
      </c>
      <c r="V641" t="s">
        <v>285</v>
      </c>
      <c r="W641" t="s">
        <v>285</v>
      </c>
      <c r="X641" t="s">
        <v>285</v>
      </c>
      <c r="Y641" t="s">
        <v>285</v>
      </c>
      <c r="Z641" t="s">
        <v>285</v>
      </c>
      <c r="AA641" t="s">
        <v>285</v>
      </c>
      <c r="AB641" t="s">
        <v>285</v>
      </c>
      <c r="AC641" t="s">
        <v>285</v>
      </c>
      <c r="AD641">
        <v>8.5000000000000006E-2</v>
      </c>
      <c r="AE641">
        <v>0.08</v>
      </c>
      <c r="AF641">
        <v>0.08</v>
      </c>
      <c r="AG641">
        <v>7.3999999999999996E-2</v>
      </c>
      <c r="AH641">
        <v>8.2000000000000003E-2</v>
      </c>
      <c r="AI641">
        <v>7.5999999999999998E-2</v>
      </c>
      <c r="AJ641">
        <v>8.7999999999999995E-2</v>
      </c>
      <c r="AK641">
        <v>9.8000000000000004E-2</v>
      </c>
      <c r="AL641">
        <v>0.09</v>
      </c>
      <c r="AM641">
        <v>7.9000000000000001E-2</v>
      </c>
      <c r="AN641">
        <v>8.8999999999999996E-2</v>
      </c>
      <c r="AO641">
        <v>8.5999999999999993E-2</v>
      </c>
      <c r="AP641">
        <v>9.5000000000000001E-2</v>
      </c>
      <c r="AQ641">
        <v>9.1999999999999998E-2</v>
      </c>
      <c r="AR641">
        <v>9.8000000000000004E-2</v>
      </c>
      <c r="AS641">
        <v>0.109</v>
      </c>
      <c r="AT641">
        <v>0.122</v>
      </c>
      <c r="AU641">
        <v>0.128</v>
      </c>
      <c r="AV641">
        <v>0.13500000000000001</v>
      </c>
      <c r="AW641">
        <v>0.13400000000000001</v>
      </c>
      <c r="AX641">
        <v>0.13600000000000001</v>
      </c>
      <c r="AY641">
        <v>2014</v>
      </c>
    </row>
    <row r="642" spans="1:51" x14ac:dyDescent="0.25">
      <c r="A642">
        <v>283</v>
      </c>
      <c r="B642" t="s">
        <v>692</v>
      </c>
      <c r="C642" t="s">
        <v>279</v>
      </c>
      <c r="D642" t="s">
        <v>176</v>
      </c>
      <c r="E642" t="s">
        <v>280</v>
      </c>
      <c r="F642" t="s">
        <v>281</v>
      </c>
      <c r="G642" t="s">
        <v>282</v>
      </c>
      <c r="H642" t="s">
        <v>283</v>
      </c>
      <c r="I642" t="s">
        <v>693</v>
      </c>
      <c r="J642">
        <v>5.8010000000000002</v>
      </c>
      <c r="K642">
        <v>6.3360000000000003</v>
      </c>
      <c r="L642">
        <v>6.6740000000000004</v>
      </c>
      <c r="M642">
        <v>6.375</v>
      </c>
      <c r="N642">
        <v>6.5469999999999997</v>
      </c>
      <c r="O642">
        <v>6.8710000000000004</v>
      </c>
      <c r="P642">
        <v>7.1159999999999997</v>
      </c>
      <c r="Q642">
        <v>6.9870000000000001</v>
      </c>
      <c r="R642">
        <v>6.0519999999999996</v>
      </c>
      <c r="S642">
        <v>6.1470000000000002</v>
      </c>
      <c r="T642">
        <v>6.6449999999999996</v>
      </c>
      <c r="U642">
        <v>7.2709999999999999</v>
      </c>
      <c r="V642">
        <v>7.867</v>
      </c>
      <c r="W642">
        <v>8.2959999999999994</v>
      </c>
      <c r="X642">
        <v>8.5329999999999995</v>
      </c>
      <c r="Y642">
        <v>8.6820000000000004</v>
      </c>
      <c r="Z642">
        <v>9.3219999999999992</v>
      </c>
      <c r="AA642">
        <v>9.9239999999999995</v>
      </c>
      <c r="AB642">
        <v>10.653</v>
      </c>
      <c r="AC642">
        <v>11.07</v>
      </c>
      <c r="AD642">
        <v>11.371</v>
      </c>
      <c r="AE642">
        <v>11.436</v>
      </c>
      <c r="AF642">
        <v>11.691000000000001</v>
      </c>
      <c r="AG642">
        <v>12.183</v>
      </c>
      <c r="AH642">
        <v>13.099</v>
      </c>
      <c r="AI642">
        <v>14.041</v>
      </c>
      <c r="AJ642">
        <v>15.239000000000001</v>
      </c>
      <c r="AK642">
        <v>17.084</v>
      </c>
      <c r="AL642">
        <v>18.812999999999999</v>
      </c>
      <c r="AM642">
        <v>19.538</v>
      </c>
      <c r="AN642">
        <v>20.994</v>
      </c>
      <c r="AO642">
        <v>23.274999999999999</v>
      </c>
      <c r="AP642">
        <v>25.786999999999999</v>
      </c>
      <c r="AQ642">
        <v>27.946999999999999</v>
      </c>
      <c r="AR642">
        <v>29.677</v>
      </c>
      <c r="AS642">
        <v>31.46</v>
      </c>
      <c r="AT642">
        <v>33.442</v>
      </c>
      <c r="AU642">
        <v>35.651000000000003</v>
      </c>
      <c r="AV642">
        <v>38.148000000000003</v>
      </c>
      <c r="AW642">
        <v>40.549999999999997</v>
      </c>
      <c r="AX642">
        <v>42.98</v>
      </c>
      <c r="AY642">
        <v>2014</v>
      </c>
    </row>
    <row r="643" spans="1:51" x14ac:dyDescent="0.25">
      <c r="A643">
        <v>283</v>
      </c>
      <c r="B643" t="s">
        <v>692</v>
      </c>
      <c r="C643" t="s">
        <v>286</v>
      </c>
      <c r="D643" t="s">
        <v>176</v>
      </c>
      <c r="E643" t="s">
        <v>287</v>
      </c>
      <c r="F643" t="s">
        <v>288</v>
      </c>
      <c r="G643" t="s">
        <v>282</v>
      </c>
      <c r="H643" t="s">
        <v>283</v>
      </c>
      <c r="I643" t="s">
        <v>693</v>
      </c>
      <c r="J643">
        <v>3.81</v>
      </c>
      <c r="K643">
        <v>4.3129999999999997</v>
      </c>
      <c r="L643">
        <v>4.7649999999999997</v>
      </c>
      <c r="M643">
        <v>4.8920000000000003</v>
      </c>
      <c r="N643">
        <v>5.1059999999999999</v>
      </c>
      <c r="O643">
        <v>5.4020000000000001</v>
      </c>
      <c r="P643">
        <v>5.6139999999999999</v>
      </c>
      <c r="Q643">
        <v>5.6379999999999999</v>
      </c>
      <c r="R643">
        <v>4.875</v>
      </c>
      <c r="S643">
        <v>4.8879999999999999</v>
      </c>
      <c r="T643">
        <v>5.3129999999999997</v>
      </c>
      <c r="U643">
        <v>5.8419999999999996</v>
      </c>
      <c r="V643">
        <v>6.641</v>
      </c>
      <c r="W643">
        <v>7.2530000000000001</v>
      </c>
      <c r="X643">
        <v>7.734</v>
      </c>
      <c r="Y643">
        <v>7.9059999999999997</v>
      </c>
      <c r="Z643">
        <v>9.3219999999999992</v>
      </c>
      <c r="AA643">
        <v>10.084</v>
      </c>
      <c r="AB643">
        <v>10.933</v>
      </c>
      <c r="AC643">
        <v>11.456</v>
      </c>
      <c r="AD643">
        <v>11.621</v>
      </c>
      <c r="AE643">
        <v>11.808</v>
      </c>
      <c r="AF643">
        <v>12.272</v>
      </c>
      <c r="AG643">
        <v>12.933</v>
      </c>
      <c r="AH643">
        <v>14.179</v>
      </c>
      <c r="AI643">
        <v>15.465</v>
      </c>
      <c r="AJ643">
        <v>17.137</v>
      </c>
      <c r="AK643">
        <v>19.794</v>
      </c>
      <c r="AL643">
        <v>23.001999999999999</v>
      </c>
      <c r="AM643">
        <v>24.163</v>
      </c>
      <c r="AN643">
        <v>27.053000000000001</v>
      </c>
      <c r="AO643">
        <v>31.32</v>
      </c>
      <c r="AP643">
        <v>35.938000000000002</v>
      </c>
      <c r="AQ643">
        <v>40.389000000000003</v>
      </c>
      <c r="AR643">
        <v>43.777000000000001</v>
      </c>
      <c r="AS643">
        <v>47.472999999999999</v>
      </c>
      <c r="AT643">
        <v>51.524999999999999</v>
      </c>
      <c r="AU643">
        <v>56.026000000000003</v>
      </c>
      <c r="AV643">
        <v>61.149000000000001</v>
      </c>
      <c r="AW643">
        <v>66.299000000000007</v>
      </c>
      <c r="AX643">
        <v>71.679000000000002</v>
      </c>
      <c r="AY643">
        <v>2014</v>
      </c>
    </row>
    <row r="644" spans="1:51" x14ac:dyDescent="0.25">
      <c r="A644">
        <v>283</v>
      </c>
      <c r="B644" t="s">
        <v>692</v>
      </c>
      <c r="C644" t="s">
        <v>289</v>
      </c>
      <c r="D644" t="s">
        <v>176</v>
      </c>
      <c r="E644" t="s">
        <v>287</v>
      </c>
      <c r="F644" t="s">
        <v>290</v>
      </c>
      <c r="G644" t="s">
        <v>291</v>
      </c>
      <c r="H644" t="s">
        <v>283</v>
      </c>
      <c r="I644" t="s">
        <v>292</v>
      </c>
      <c r="J644">
        <v>3.81</v>
      </c>
      <c r="K644">
        <v>4.3129999999999997</v>
      </c>
      <c r="L644">
        <v>4.7649999999999997</v>
      </c>
      <c r="M644">
        <v>4.8920000000000003</v>
      </c>
      <c r="N644">
        <v>5.1059999999999999</v>
      </c>
      <c r="O644">
        <v>5.4020000000000001</v>
      </c>
      <c r="P644">
        <v>5.6139999999999999</v>
      </c>
      <c r="Q644">
        <v>5.6379999999999999</v>
      </c>
      <c r="R644">
        <v>4.875</v>
      </c>
      <c r="S644">
        <v>4.8879999999999999</v>
      </c>
      <c r="T644">
        <v>5.3129999999999997</v>
      </c>
      <c r="U644">
        <v>5.8419999999999996</v>
      </c>
      <c r="V644">
        <v>6.641</v>
      </c>
      <c r="W644">
        <v>7.2530000000000001</v>
      </c>
      <c r="X644">
        <v>7.734</v>
      </c>
      <c r="Y644">
        <v>7.9059999999999997</v>
      </c>
      <c r="Z644">
        <v>9.3219999999999992</v>
      </c>
      <c r="AA644">
        <v>10.084</v>
      </c>
      <c r="AB644">
        <v>10.933</v>
      </c>
      <c r="AC644">
        <v>11.456</v>
      </c>
      <c r="AD644">
        <v>11.621</v>
      </c>
      <c r="AE644">
        <v>11.808</v>
      </c>
      <c r="AF644">
        <v>12.272</v>
      </c>
      <c r="AG644">
        <v>12.933</v>
      </c>
      <c r="AH644">
        <v>14.179</v>
      </c>
      <c r="AI644">
        <v>15.465</v>
      </c>
      <c r="AJ644">
        <v>17.137</v>
      </c>
      <c r="AK644">
        <v>19.794</v>
      </c>
      <c r="AL644">
        <v>23.001999999999999</v>
      </c>
      <c r="AM644">
        <v>24.163</v>
      </c>
      <c r="AN644">
        <v>27.053000000000001</v>
      </c>
      <c r="AO644">
        <v>31.32</v>
      </c>
      <c r="AP644">
        <v>35.938000000000002</v>
      </c>
      <c r="AQ644">
        <v>40.389000000000003</v>
      </c>
      <c r="AR644">
        <v>43.777000000000001</v>
      </c>
      <c r="AS644">
        <v>47.472999999999999</v>
      </c>
      <c r="AT644">
        <v>51.524999999999999</v>
      </c>
      <c r="AU644">
        <v>56.026000000000003</v>
      </c>
      <c r="AV644">
        <v>61.149000000000001</v>
      </c>
      <c r="AW644">
        <v>66.299000000000007</v>
      </c>
      <c r="AX644">
        <v>71.679000000000002</v>
      </c>
      <c r="AY644">
        <v>2014</v>
      </c>
    </row>
    <row r="645" spans="1:51" x14ac:dyDescent="0.25">
      <c r="A645">
        <v>283</v>
      </c>
      <c r="B645" t="s">
        <v>692</v>
      </c>
      <c r="C645" t="s">
        <v>293</v>
      </c>
      <c r="D645" t="s">
        <v>176</v>
      </c>
      <c r="E645" t="s">
        <v>294</v>
      </c>
      <c r="F645" t="s">
        <v>295</v>
      </c>
      <c r="G645" t="s">
        <v>296</v>
      </c>
      <c r="I645" t="s">
        <v>297</v>
      </c>
      <c r="J645">
        <v>65.679000000000002</v>
      </c>
      <c r="K645">
        <v>68.072000000000003</v>
      </c>
      <c r="L645">
        <v>71.388000000000005</v>
      </c>
      <c r="M645">
        <v>76.741</v>
      </c>
      <c r="N645">
        <v>77.991</v>
      </c>
      <c r="O645">
        <v>78.622</v>
      </c>
      <c r="P645">
        <v>78.888000000000005</v>
      </c>
      <c r="Q645">
        <v>80.694000000000003</v>
      </c>
      <c r="R645">
        <v>80.537999999999997</v>
      </c>
      <c r="S645">
        <v>79.510999999999996</v>
      </c>
      <c r="T645">
        <v>79.959999999999994</v>
      </c>
      <c r="U645">
        <v>80.355000000000004</v>
      </c>
      <c r="V645">
        <v>84.421000000000006</v>
      </c>
      <c r="W645">
        <v>87.421999999999997</v>
      </c>
      <c r="X645">
        <v>90.638999999999996</v>
      </c>
      <c r="Y645">
        <v>91.061999999999998</v>
      </c>
      <c r="Z645">
        <v>100</v>
      </c>
      <c r="AA645">
        <v>101.608</v>
      </c>
      <c r="AB645">
        <v>102.624</v>
      </c>
      <c r="AC645">
        <v>103.48699999999999</v>
      </c>
      <c r="AD645">
        <v>102.19499999999999</v>
      </c>
      <c r="AE645">
        <v>103.247</v>
      </c>
      <c r="AF645">
        <v>104.97199999999999</v>
      </c>
      <c r="AG645">
        <v>106.16</v>
      </c>
      <c r="AH645">
        <v>108.246</v>
      </c>
      <c r="AI645">
        <v>110.13800000000001</v>
      </c>
      <c r="AJ645">
        <v>112.458</v>
      </c>
      <c r="AK645">
        <v>115.858</v>
      </c>
      <c r="AL645">
        <v>122.265</v>
      </c>
      <c r="AM645">
        <v>123.669</v>
      </c>
      <c r="AN645">
        <v>128.858</v>
      </c>
      <c r="AO645">
        <v>134.56899999999999</v>
      </c>
      <c r="AP645">
        <v>139.36500000000001</v>
      </c>
      <c r="AQ645">
        <v>144.52199999999999</v>
      </c>
      <c r="AR645">
        <v>147.50899999999999</v>
      </c>
      <c r="AS645">
        <v>150.90199999999999</v>
      </c>
      <c r="AT645">
        <v>154.071</v>
      </c>
      <c r="AU645">
        <v>157.15299999999999</v>
      </c>
      <c r="AV645">
        <v>160.29599999999999</v>
      </c>
      <c r="AW645">
        <v>163.50200000000001</v>
      </c>
      <c r="AX645">
        <v>166.77199999999999</v>
      </c>
      <c r="AY645">
        <v>2014</v>
      </c>
    </row>
    <row r="646" spans="1:51" x14ac:dyDescent="0.25">
      <c r="A646">
        <v>283</v>
      </c>
      <c r="B646" t="s">
        <v>692</v>
      </c>
      <c r="C646" t="s">
        <v>298</v>
      </c>
      <c r="D646" t="s">
        <v>176</v>
      </c>
      <c r="E646" t="s">
        <v>299</v>
      </c>
      <c r="F646" t="s">
        <v>300</v>
      </c>
      <c r="G646" t="s">
        <v>282</v>
      </c>
      <c r="H646" t="s">
        <v>283</v>
      </c>
      <c r="I646" t="s">
        <v>694</v>
      </c>
      <c r="J646">
        <v>1.4630000000000001</v>
      </c>
      <c r="K646">
        <v>1.6850000000000001</v>
      </c>
      <c r="L646">
        <v>2.101</v>
      </c>
      <c r="M646">
        <v>2.0089999999999999</v>
      </c>
      <c r="N646">
        <v>2.0680000000000001</v>
      </c>
      <c r="O646">
        <v>1.9710000000000001</v>
      </c>
      <c r="P646">
        <v>1.9950000000000001</v>
      </c>
      <c r="Q646">
        <v>2.0779999999999998</v>
      </c>
      <c r="R646">
        <v>1.8759999999999999</v>
      </c>
      <c r="S646">
        <v>1.9339999999999999</v>
      </c>
      <c r="T646">
        <v>2.0259999999999998</v>
      </c>
      <c r="U646">
        <v>1.1240000000000001</v>
      </c>
      <c r="V646">
        <v>1.696</v>
      </c>
      <c r="W646">
        <v>2.2570000000000001</v>
      </c>
      <c r="X646">
        <v>0.57699999999999996</v>
      </c>
      <c r="Y646">
        <v>1.1519999999999999</v>
      </c>
      <c r="Z646">
        <v>1.855</v>
      </c>
      <c r="AA646">
        <v>2.367</v>
      </c>
      <c r="AB646">
        <v>2.7669999999999999</v>
      </c>
      <c r="AC646">
        <v>2.92</v>
      </c>
      <c r="AD646">
        <v>2.9529999999999998</v>
      </c>
      <c r="AE646">
        <v>3.085</v>
      </c>
      <c r="AF646">
        <v>3.2120000000000002</v>
      </c>
      <c r="AG646">
        <v>3.4929999999999999</v>
      </c>
      <c r="AH646">
        <v>3.6880000000000002</v>
      </c>
      <c r="AI646">
        <v>3.8559999999999999</v>
      </c>
      <c r="AJ646">
        <v>4.1859999999999999</v>
      </c>
      <c r="AK646">
        <v>4.8179999999999996</v>
      </c>
      <c r="AL646">
        <v>5.9169999999999998</v>
      </c>
      <c r="AM646">
        <v>6.37</v>
      </c>
      <c r="AN646">
        <v>7.3220000000000001</v>
      </c>
      <c r="AO646">
        <v>8.4160000000000004</v>
      </c>
      <c r="AP646">
        <v>9.5630000000000006</v>
      </c>
      <c r="AQ646">
        <v>10.975</v>
      </c>
      <c r="AR646">
        <v>11.628</v>
      </c>
      <c r="AS646">
        <v>12.606999999999999</v>
      </c>
      <c r="AT646">
        <v>13.590999999999999</v>
      </c>
      <c r="AU646">
        <v>14.435</v>
      </c>
      <c r="AV646">
        <v>15.385999999999999</v>
      </c>
      <c r="AW646">
        <v>16.579000000000001</v>
      </c>
      <c r="AX646">
        <v>17.637</v>
      </c>
      <c r="AY646">
        <v>2014</v>
      </c>
    </row>
    <row r="647" spans="1:51" x14ac:dyDescent="0.25">
      <c r="A647">
        <v>853</v>
      </c>
      <c r="B647" t="s">
        <v>695</v>
      </c>
      <c r="C647" t="s">
        <v>279</v>
      </c>
      <c r="D647" t="s">
        <v>177</v>
      </c>
      <c r="E647" t="s">
        <v>280</v>
      </c>
      <c r="F647" t="s">
        <v>281</v>
      </c>
      <c r="G647" t="s">
        <v>282</v>
      </c>
      <c r="H647" t="s">
        <v>283</v>
      </c>
      <c r="I647" t="s">
        <v>696</v>
      </c>
      <c r="J647">
        <v>4.2839999999999998</v>
      </c>
      <c r="K647">
        <v>4.3330000000000002</v>
      </c>
      <c r="L647">
        <v>4.3689999999999998</v>
      </c>
      <c r="M647">
        <v>4.5190000000000001</v>
      </c>
      <c r="N647">
        <v>4.4749999999999996</v>
      </c>
      <c r="O647">
        <v>4.6349999999999998</v>
      </c>
      <c r="P647">
        <v>4.8970000000000002</v>
      </c>
      <c r="Q647">
        <v>5.032</v>
      </c>
      <c r="R647">
        <v>5.1790000000000003</v>
      </c>
      <c r="S647">
        <v>5.1050000000000004</v>
      </c>
      <c r="T647">
        <v>4.952</v>
      </c>
      <c r="U647">
        <v>5.4249999999999998</v>
      </c>
      <c r="V647">
        <v>6.1749999999999998</v>
      </c>
      <c r="W647">
        <v>7.2990000000000004</v>
      </c>
      <c r="X647">
        <v>7.7329999999999997</v>
      </c>
      <c r="Y647">
        <v>7.4669999999999996</v>
      </c>
      <c r="Z647">
        <v>7.96</v>
      </c>
      <c r="AA647">
        <v>7.4550000000000001</v>
      </c>
      <c r="AB647">
        <v>7.8040000000000003</v>
      </c>
      <c r="AC647">
        <v>7.9480000000000004</v>
      </c>
      <c r="AD647">
        <v>7.7530000000000001</v>
      </c>
      <c r="AE647">
        <v>7.75</v>
      </c>
      <c r="AF647">
        <v>7.9050000000000002</v>
      </c>
      <c r="AG647">
        <v>8.2520000000000007</v>
      </c>
      <c r="AH647">
        <v>8.2989999999999995</v>
      </c>
      <c r="AI647">
        <v>8.625</v>
      </c>
      <c r="AJ647">
        <v>8.8230000000000004</v>
      </c>
      <c r="AK647">
        <v>9.4540000000000006</v>
      </c>
      <c r="AL647">
        <v>10.079000000000001</v>
      </c>
      <c r="AM647">
        <v>10.698</v>
      </c>
      <c r="AN647">
        <v>11.519</v>
      </c>
      <c r="AO647">
        <v>12.747999999999999</v>
      </c>
      <c r="AP647">
        <v>13.779</v>
      </c>
      <c r="AQ647">
        <v>14.542</v>
      </c>
      <c r="AR647">
        <v>15.782999999999999</v>
      </c>
      <c r="AS647">
        <v>17.725000000000001</v>
      </c>
      <c r="AT647">
        <v>18.257999999999999</v>
      </c>
      <c r="AU647">
        <v>18.824999999999999</v>
      </c>
      <c r="AV647">
        <v>19.416</v>
      </c>
      <c r="AW647">
        <v>20.03</v>
      </c>
      <c r="AX647">
        <v>20.667999999999999</v>
      </c>
      <c r="AY647">
        <v>2013</v>
      </c>
    </row>
    <row r="648" spans="1:51" x14ac:dyDescent="0.25">
      <c r="A648">
        <v>853</v>
      </c>
      <c r="B648" t="s">
        <v>695</v>
      </c>
      <c r="C648" t="s">
        <v>286</v>
      </c>
      <c r="D648" t="s">
        <v>177</v>
      </c>
      <c r="E648" t="s">
        <v>287</v>
      </c>
      <c r="F648" t="s">
        <v>288</v>
      </c>
      <c r="G648" t="s">
        <v>282</v>
      </c>
      <c r="H648" t="s">
        <v>283</v>
      </c>
      <c r="I648" t="s">
        <v>696</v>
      </c>
      <c r="J648">
        <v>1.855</v>
      </c>
      <c r="K648">
        <v>1.8260000000000001</v>
      </c>
      <c r="L648">
        <v>1.9</v>
      </c>
      <c r="M648">
        <v>2.145</v>
      </c>
      <c r="N648">
        <v>2.1240000000000001</v>
      </c>
      <c r="O648">
        <v>2.2000000000000002</v>
      </c>
      <c r="P648">
        <v>2.3250000000000002</v>
      </c>
      <c r="Q648">
        <v>2.3889999999999998</v>
      </c>
      <c r="R648">
        <v>3.17</v>
      </c>
      <c r="S648">
        <v>3.0459999999999998</v>
      </c>
      <c r="T648">
        <v>3.0760000000000001</v>
      </c>
      <c r="U648">
        <v>3.6059999999999999</v>
      </c>
      <c r="V648">
        <v>4.2229999999999999</v>
      </c>
      <c r="W648">
        <v>4.867</v>
      </c>
      <c r="X648">
        <v>5.53</v>
      </c>
      <c r="Y648">
        <v>6.1950000000000003</v>
      </c>
      <c r="Z648">
        <v>6.7949999999999999</v>
      </c>
      <c r="AA648">
        <v>7.08</v>
      </c>
      <c r="AB648">
        <v>7.8040000000000003</v>
      </c>
      <c r="AC648">
        <v>8.8279999999999994</v>
      </c>
      <c r="AD648">
        <v>9.7360000000000007</v>
      </c>
      <c r="AE648">
        <v>10.396000000000001</v>
      </c>
      <c r="AF648">
        <v>11.872</v>
      </c>
      <c r="AG648">
        <v>13.242000000000001</v>
      </c>
      <c r="AH648">
        <v>13.459</v>
      </c>
      <c r="AI648">
        <v>15.093999999999999</v>
      </c>
      <c r="AJ648">
        <v>16.896999999999998</v>
      </c>
      <c r="AK648">
        <v>18.802</v>
      </c>
      <c r="AL648">
        <v>21.600999999999999</v>
      </c>
      <c r="AM648">
        <v>22.331</v>
      </c>
      <c r="AN648">
        <v>26.420999999999999</v>
      </c>
      <c r="AO648">
        <v>30.521999999999998</v>
      </c>
      <c r="AP648">
        <v>32.07</v>
      </c>
      <c r="AQ648">
        <v>34.594999999999999</v>
      </c>
      <c r="AR648">
        <v>41.667999999999999</v>
      </c>
      <c r="AS648">
        <v>47.018999999999998</v>
      </c>
      <c r="AT648">
        <v>49.85</v>
      </c>
      <c r="AU648">
        <v>53.628</v>
      </c>
      <c r="AV648">
        <v>57.707999999999998</v>
      </c>
      <c r="AW648">
        <v>62.100999999999999</v>
      </c>
      <c r="AX648">
        <v>66.703000000000003</v>
      </c>
      <c r="AY648">
        <v>2013</v>
      </c>
    </row>
    <row r="649" spans="1:51" x14ac:dyDescent="0.25">
      <c r="A649">
        <v>853</v>
      </c>
      <c r="B649" t="s">
        <v>695</v>
      </c>
      <c r="C649" t="s">
        <v>289</v>
      </c>
      <c r="D649" t="s">
        <v>177</v>
      </c>
      <c r="E649" t="s">
        <v>287</v>
      </c>
      <c r="F649" t="s">
        <v>290</v>
      </c>
      <c r="G649" t="s">
        <v>291</v>
      </c>
      <c r="H649" t="s">
        <v>283</v>
      </c>
      <c r="I649" t="s">
        <v>292</v>
      </c>
      <c r="J649">
        <v>2.7669999999999999</v>
      </c>
      <c r="K649">
        <v>2.7160000000000002</v>
      </c>
      <c r="L649">
        <v>2.5760000000000001</v>
      </c>
      <c r="M649">
        <v>2.5720000000000001</v>
      </c>
      <c r="N649">
        <v>2.3759999999999999</v>
      </c>
      <c r="O649">
        <v>2.2000000000000002</v>
      </c>
      <c r="P649">
        <v>2.3940000000000001</v>
      </c>
      <c r="Q649">
        <v>2.6309999999999998</v>
      </c>
      <c r="R649">
        <v>3.6560000000000001</v>
      </c>
      <c r="S649">
        <v>3.5459999999999998</v>
      </c>
      <c r="T649">
        <v>3.2210000000000001</v>
      </c>
      <c r="U649">
        <v>3.7890000000000001</v>
      </c>
      <c r="V649">
        <v>4.3780000000000001</v>
      </c>
      <c r="W649">
        <v>4.976</v>
      </c>
      <c r="X649">
        <v>5.468</v>
      </c>
      <c r="Y649">
        <v>4.84</v>
      </c>
      <c r="Z649">
        <v>5.1509999999999998</v>
      </c>
      <c r="AA649">
        <v>4.923</v>
      </c>
      <c r="AB649">
        <v>3.7629999999999999</v>
      </c>
      <c r="AC649">
        <v>3.4340000000000002</v>
      </c>
      <c r="AD649">
        <v>3.4990000000000001</v>
      </c>
      <c r="AE649">
        <v>3.0680000000000001</v>
      </c>
      <c r="AF649">
        <v>3.048</v>
      </c>
      <c r="AG649">
        <v>3.7160000000000002</v>
      </c>
      <c r="AH649">
        <v>4.1769999999999996</v>
      </c>
      <c r="AI649">
        <v>4.8659999999999997</v>
      </c>
      <c r="AJ649">
        <v>5.5279999999999996</v>
      </c>
      <c r="AK649">
        <v>6.3410000000000002</v>
      </c>
      <c r="AL649">
        <v>8</v>
      </c>
      <c r="AM649">
        <v>8.1050000000000004</v>
      </c>
      <c r="AN649">
        <v>9.7159999999999993</v>
      </c>
      <c r="AO649">
        <v>12.872999999999999</v>
      </c>
      <c r="AP649">
        <v>15.391</v>
      </c>
      <c r="AQ649">
        <v>15.413</v>
      </c>
      <c r="AR649">
        <v>16.809000000000001</v>
      </c>
      <c r="AS649">
        <v>17.995000000000001</v>
      </c>
      <c r="AT649">
        <v>18.190999999999999</v>
      </c>
      <c r="AU649">
        <v>18.923999999999999</v>
      </c>
      <c r="AV649">
        <v>19.858000000000001</v>
      </c>
      <c r="AW649">
        <v>21.042999999999999</v>
      </c>
      <c r="AX649">
        <v>22.366</v>
      </c>
      <c r="AY649">
        <v>2013</v>
      </c>
    </row>
    <row r="650" spans="1:51" x14ac:dyDescent="0.25">
      <c r="A650">
        <v>853</v>
      </c>
      <c r="B650" t="s">
        <v>695</v>
      </c>
      <c r="C650" t="s">
        <v>293</v>
      </c>
      <c r="D650" t="s">
        <v>177</v>
      </c>
      <c r="E650" t="s">
        <v>294</v>
      </c>
      <c r="F650" t="s">
        <v>295</v>
      </c>
      <c r="G650" t="s">
        <v>296</v>
      </c>
      <c r="I650" t="s">
        <v>297</v>
      </c>
      <c r="J650">
        <v>43.307000000000002</v>
      </c>
      <c r="K650">
        <v>42.140999999999998</v>
      </c>
      <c r="L650">
        <v>43.482999999999997</v>
      </c>
      <c r="M650">
        <v>47.472000000000001</v>
      </c>
      <c r="N650">
        <v>47.472000000000001</v>
      </c>
      <c r="O650">
        <v>47.472000000000001</v>
      </c>
      <c r="P650">
        <v>47.472000000000001</v>
      </c>
      <c r="Q650">
        <v>47.472000000000001</v>
      </c>
      <c r="R650">
        <v>61.210999999999999</v>
      </c>
      <c r="S650">
        <v>59.661999999999999</v>
      </c>
      <c r="T650">
        <v>62.12</v>
      </c>
      <c r="U650">
        <v>66.463999999999999</v>
      </c>
      <c r="V650">
        <v>68.388000000000005</v>
      </c>
      <c r="W650">
        <v>66.679000000000002</v>
      </c>
      <c r="X650">
        <v>71.513000000000005</v>
      </c>
      <c r="Y650">
        <v>82.962999999999994</v>
      </c>
      <c r="Z650">
        <v>85.366</v>
      </c>
      <c r="AA650">
        <v>94.97</v>
      </c>
      <c r="AB650">
        <v>100</v>
      </c>
      <c r="AC650">
        <v>111.069</v>
      </c>
      <c r="AD650">
        <v>125.57</v>
      </c>
      <c r="AE650">
        <v>134.149</v>
      </c>
      <c r="AF650">
        <v>150.17699999999999</v>
      </c>
      <c r="AG650">
        <v>160.46100000000001</v>
      </c>
      <c r="AH650">
        <v>162.17400000000001</v>
      </c>
      <c r="AI650">
        <v>175.00399999999999</v>
      </c>
      <c r="AJ650">
        <v>191.50700000000001</v>
      </c>
      <c r="AK650">
        <v>198.88399999999999</v>
      </c>
      <c r="AL650">
        <v>214.316</v>
      </c>
      <c r="AM650">
        <v>208.75</v>
      </c>
      <c r="AN650">
        <v>229.36699999999999</v>
      </c>
      <c r="AO650">
        <v>239.422</v>
      </c>
      <c r="AP650">
        <v>232.739</v>
      </c>
      <c r="AQ650">
        <v>237.90600000000001</v>
      </c>
      <c r="AR650">
        <v>263.99799999999999</v>
      </c>
      <c r="AS650">
        <v>265.27199999999999</v>
      </c>
      <c r="AT650">
        <v>273.03100000000001</v>
      </c>
      <c r="AU650">
        <v>284.87799999999999</v>
      </c>
      <c r="AV650">
        <v>297.21499999999997</v>
      </c>
      <c r="AW650">
        <v>310.04199999999997</v>
      </c>
      <c r="AX650">
        <v>322.733</v>
      </c>
      <c r="AY650">
        <v>2013</v>
      </c>
    </row>
    <row r="651" spans="1:51" x14ac:dyDescent="0.25">
      <c r="A651">
        <v>853</v>
      </c>
      <c r="B651" t="s">
        <v>695</v>
      </c>
      <c r="C651" t="s">
        <v>298</v>
      </c>
      <c r="D651" t="s">
        <v>177</v>
      </c>
      <c r="E651" t="s">
        <v>299</v>
      </c>
      <c r="F651" t="s">
        <v>300</v>
      </c>
      <c r="G651" t="s">
        <v>282</v>
      </c>
      <c r="H651" t="s">
        <v>283</v>
      </c>
      <c r="I651" t="s">
        <v>697</v>
      </c>
      <c r="J651" t="s">
        <v>285</v>
      </c>
      <c r="K651" t="s">
        <v>285</v>
      </c>
      <c r="L651" t="s">
        <v>285</v>
      </c>
      <c r="M651">
        <v>0.76</v>
      </c>
      <c r="N651">
        <v>0.79100000000000004</v>
      </c>
      <c r="O651">
        <v>0.83899999999999997</v>
      </c>
      <c r="P651">
        <v>0.91400000000000003</v>
      </c>
      <c r="Q651">
        <v>0.86899999999999999</v>
      </c>
      <c r="R651">
        <v>0.93600000000000005</v>
      </c>
      <c r="S651">
        <v>1.0489999999999999</v>
      </c>
      <c r="T651">
        <v>1.1639999999999999</v>
      </c>
      <c r="U651">
        <v>1.2450000000000001</v>
      </c>
      <c r="V651">
        <v>1.484</v>
      </c>
      <c r="W651">
        <v>1.7669999999999999</v>
      </c>
      <c r="X651">
        <v>1.645</v>
      </c>
      <c r="Y651">
        <v>1.633</v>
      </c>
      <c r="Z651">
        <v>1.84</v>
      </c>
      <c r="AA651">
        <v>2.2450000000000001</v>
      </c>
      <c r="AB651">
        <v>2.41</v>
      </c>
      <c r="AC651">
        <v>2.919</v>
      </c>
      <c r="AD651">
        <v>3.0710000000000002</v>
      </c>
      <c r="AE651">
        <v>3.4569999999999999</v>
      </c>
      <c r="AF651">
        <v>3.7130000000000001</v>
      </c>
      <c r="AG651">
        <v>3.8109999999999999</v>
      </c>
      <c r="AH651">
        <v>4.1059999999999999</v>
      </c>
      <c r="AI651">
        <v>4.8979999999999997</v>
      </c>
      <c r="AJ651">
        <v>5.1840000000000002</v>
      </c>
      <c r="AK651">
        <v>5.3250000000000002</v>
      </c>
      <c r="AL651">
        <v>6.4980000000000002</v>
      </c>
      <c r="AM651">
        <v>8.2379999999999995</v>
      </c>
      <c r="AN651">
        <v>7.4409999999999998</v>
      </c>
      <c r="AO651">
        <v>8.7639999999999993</v>
      </c>
      <c r="AP651">
        <v>10.382999999999999</v>
      </c>
      <c r="AQ651">
        <v>12.5</v>
      </c>
      <c r="AR651">
        <v>14.356999999999999</v>
      </c>
      <c r="AS651">
        <v>13.895</v>
      </c>
      <c r="AT651">
        <v>12.868</v>
      </c>
      <c r="AU651">
        <v>13.545</v>
      </c>
      <c r="AV651">
        <v>13.917</v>
      </c>
      <c r="AW651">
        <v>14.553000000000001</v>
      </c>
      <c r="AX651">
        <v>15.308</v>
      </c>
      <c r="AY651">
        <v>2013</v>
      </c>
    </row>
    <row r="652" spans="1:51" x14ac:dyDescent="0.25">
      <c r="A652">
        <v>288</v>
      </c>
      <c r="B652" t="s">
        <v>698</v>
      </c>
      <c r="C652" t="s">
        <v>279</v>
      </c>
      <c r="D652" t="s">
        <v>178</v>
      </c>
      <c r="E652" t="s">
        <v>280</v>
      </c>
      <c r="F652" t="s">
        <v>281</v>
      </c>
      <c r="G652" t="s">
        <v>282</v>
      </c>
      <c r="H652" t="s">
        <v>283</v>
      </c>
      <c r="I652" t="s">
        <v>699</v>
      </c>
      <c r="J652" s="21">
        <v>9499.9079999999994</v>
      </c>
      <c r="K652" s="21">
        <v>10371.093000000001</v>
      </c>
      <c r="L652" s="21">
        <v>10226.145</v>
      </c>
      <c r="M652" s="21">
        <v>9915.0030000000006</v>
      </c>
      <c r="N652" s="21">
        <v>10194.269</v>
      </c>
      <c r="O652" s="21">
        <v>10588.977000000001</v>
      </c>
      <c r="P652" s="21">
        <v>10616.787</v>
      </c>
      <c r="Q652" s="21">
        <v>11049.155000000001</v>
      </c>
      <c r="R652" s="21">
        <v>11698.96</v>
      </c>
      <c r="S652" s="21">
        <v>12379.487999999999</v>
      </c>
      <c r="T652" s="21">
        <v>12889.522999999999</v>
      </c>
      <c r="U652" s="21">
        <v>13339.367</v>
      </c>
      <c r="V652" s="21">
        <v>13565.66</v>
      </c>
      <c r="W652" s="21">
        <v>14235.31</v>
      </c>
      <c r="X652" s="21">
        <v>14992.332</v>
      </c>
      <c r="Y652" s="21">
        <v>16015.231</v>
      </c>
      <c r="Z652" s="21">
        <v>16267.277</v>
      </c>
      <c r="AA652" s="21">
        <v>16957.416000000001</v>
      </c>
      <c r="AB652" s="21">
        <v>16968.955000000002</v>
      </c>
      <c r="AC652" s="21">
        <v>16737.145</v>
      </c>
      <c r="AD652" s="21">
        <v>16349.825999999999</v>
      </c>
      <c r="AE652" s="21">
        <v>16213.457</v>
      </c>
      <c r="AF652" s="21">
        <v>16209.986999999999</v>
      </c>
      <c r="AG652" s="21">
        <v>16910.378000000001</v>
      </c>
      <c r="AH652" s="21">
        <v>17596.506000000001</v>
      </c>
      <c r="AI652" s="21">
        <v>17971.923999999999</v>
      </c>
      <c r="AJ652" s="21">
        <v>18835.856</v>
      </c>
      <c r="AK652" s="21">
        <v>19857.064999999999</v>
      </c>
      <c r="AL652" s="21">
        <v>21119.797999999999</v>
      </c>
      <c r="AM652" s="21">
        <v>20282.253000000001</v>
      </c>
      <c r="AN652" s="21">
        <v>22937.808000000001</v>
      </c>
      <c r="AO652" s="21">
        <v>23933.861000000001</v>
      </c>
      <c r="AP652" s="21">
        <v>23637.328000000001</v>
      </c>
      <c r="AQ652" s="21">
        <v>26999.644</v>
      </c>
      <c r="AR652" s="21">
        <v>28174.163</v>
      </c>
      <c r="AS652" s="21">
        <v>29023.838</v>
      </c>
      <c r="AT652" s="21">
        <v>30136.634999999998</v>
      </c>
      <c r="AU652" s="21">
        <v>31373.963</v>
      </c>
      <c r="AV652" s="21">
        <v>32676.521000000001</v>
      </c>
      <c r="AW652" s="21">
        <v>34002.152000000002</v>
      </c>
      <c r="AX652" s="21">
        <v>35382.521000000001</v>
      </c>
      <c r="AY652">
        <v>2014</v>
      </c>
    </row>
    <row r="653" spans="1:51" x14ac:dyDescent="0.25">
      <c r="A653">
        <v>288</v>
      </c>
      <c r="B653" t="s">
        <v>698</v>
      </c>
      <c r="C653" t="s">
        <v>286</v>
      </c>
      <c r="D653" t="s">
        <v>178</v>
      </c>
      <c r="E653" t="s">
        <v>287</v>
      </c>
      <c r="F653" t="s">
        <v>288</v>
      </c>
      <c r="G653" t="s">
        <v>282</v>
      </c>
      <c r="H653" t="s">
        <v>283</v>
      </c>
      <c r="I653" t="s">
        <v>699</v>
      </c>
      <c r="J653">
        <v>515.94600000000003</v>
      </c>
      <c r="K653">
        <v>657.65899999999999</v>
      </c>
      <c r="L653">
        <v>689.173</v>
      </c>
      <c r="M653">
        <v>764.66499999999996</v>
      </c>
      <c r="N653">
        <v>991.18200000000002</v>
      </c>
      <c r="O653" s="21">
        <v>1292.433</v>
      </c>
      <c r="P653" s="21">
        <v>1706.8230000000001</v>
      </c>
      <c r="Q653" s="21">
        <v>2318.902</v>
      </c>
      <c r="R653" s="21">
        <v>3071.2109999999998</v>
      </c>
      <c r="S653" s="21">
        <v>4273.2849999999999</v>
      </c>
      <c r="T653" s="21">
        <v>6031.16</v>
      </c>
      <c r="U653" s="21">
        <v>9255.6839999999993</v>
      </c>
      <c r="V653" s="21">
        <v>10738.282999999999</v>
      </c>
      <c r="W653" s="21">
        <v>12645.361000000001</v>
      </c>
      <c r="X653" s="21">
        <v>14992.331</v>
      </c>
      <c r="Y653" s="21">
        <v>17789.145</v>
      </c>
      <c r="Z653" s="21">
        <v>20132.862000000001</v>
      </c>
      <c r="AA653" s="21">
        <v>21702.866999999998</v>
      </c>
      <c r="AB653" s="21">
        <v>24605.393</v>
      </c>
      <c r="AC653" s="21">
        <v>26176.951000000001</v>
      </c>
      <c r="AD653" s="21">
        <v>28574.100999999999</v>
      </c>
      <c r="AE653" s="21">
        <v>31462.078000000001</v>
      </c>
      <c r="AF653" s="21">
        <v>36156.212</v>
      </c>
      <c r="AG653" s="21">
        <v>42324.22</v>
      </c>
      <c r="AH653" s="21">
        <v>47999.044000000002</v>
      </c>
      <c r="AI653" s="21">
        <v>53962.326999999997</v>
      </c>
      <c r="AJ653" s="21">
        <v>59996.504999999997</v>
      </c>
      <c r="AK653" s="21">
        <v>69426.262000000002</v>
      </c>
      <c r="AL653" s="21">
        <v>80734.751999999993</v>
      </c>
      <c r="AM653" s="21">
        <v>79117.171000000002</v>
      </c>
      <c r="AN653" s="21">
        <v>94934.255000000005</v>
      </c>
      <c r="AO653" s="21">
        <v>105203.21400000001</v>
      </c>
      <c r="AP653" s="21">
        <v>108832.26</v>
      </c>
      <c r="AQ653" s="21">
        <v>124853.056</v>
      </c>
      <c r="AR653" s="21">
        <v>138259.88500000001</v>
      </c>
      <c r="AS653" s="21">
        <v>146777.011</v>
      </c>
      <c r="AT653" s="21">
        <v>158413.579</v>
      </c>
      <c r="AU653" s="21">
        <v>171265.19500000001</v>
      </c>
      <c r="AV653" s="21">
        <v>185107.06899999999</v>
      </c>
      <c r="AW653" s="21">
        <v>199697.29800000001</v>
      </c>
      <c r="AX653" s="21">
        <v>215603.33199999999</v>
      </c>
      <c r="AY653">
        <v>2014</v>
      </c>
    </row>
    <row r="654" spans="1:51" x14ac:dyDescent="0.25">
      <c r="A654">
        <v>288</v>
      </c>
      <c r="B654" t="s">
        <v>698</v>
      </c>
      <c r="C654" t="s">
        <v>289</v>
      </c>
      <c r="D654" t="s">
        <v>178</v>
      </c>
      <c r="E654" t="s">
        <v>287</v>
      </c>
      <c r="F654" t="s">
        <v>290</v>
      </c>
      <c r="G654" t="s">
        <v>291</v>
      </c>
      <c r="H654" t="s">
        <v>283</v>
      </c>
      <c r="I654" t="s">
        <v>292</v>
      </c>
      <c r="J654">
        <v>4.0949999999999998</v>
      </c>
      <c r="K654">
        <v>5.22</v>
      </c>
      <c r="L654">
        <v>5.47</v>
      </c>
      <c r="M654">
        <v>6.069</v>
      </c>
      <c r="N654">
        <v>4.931</v>
      </c>
      <c r="O654">
        <v>4.2140000000000004</v>
      </c>
      <c r="P654">
        <v>5.032</v>
      </c>
      <c r="Q654">
        <v>4.2160000000000002</v>
      </c>
      <c r="R654">
        <v>5.5839999999999996</v>
      </c>
      <c r="S654">
        <v>4.0460000000000003</v>
      </c>
      <c r="T654">
        <v>4.9039999999999999</v>
      </c>
      <c r="U654">
        <v>6.984</v>
      </c>
      <c r="V654">
        <v>7.1580000000000004</v>
      </c>
      <c r="W654">
        <v>7.2489999999999997</v>
      </c>
      <c r="X654">
        <v>7.8710000000000004</v>
      </c>
      <c r="Y654">
        <v>9.0619999999999994</v>
      </c>
      <c r="Z654">
        <v>9.7880000000000003</v>
      </c>
      <c r="AA654">
        <v>9.9649999999999999</v>
      </c>
      <c r="AB654">
        <v>9.0250000000000004</v>
      </c>
      <c r="AC654">
        <v>8.3930000000000007</v>
      </c>
      <c r="AD654">
        <v>8.1959999999999997</v>
      </c>
      <c r="AE654">
        <v>7.6630000000000003</v>
      </c>
      <c r="AF654">
        <v>6.3250000000000002</v>
      </c>
      <c r="AG654">
        <v>6.5880000000000001</v>
      </c>
      <c r="AH654">
        <v>8.0030000000000001</v>
      </c>
      <c r="AI654">
        <v>8.74</v>
      </c>
      <c r="AJ654">
        <v>10.646000000000001</v>
      </c>
      <c r="AK654">
        <v>13.795</v>
      </c>
      <c r="AL654">
        <v>18.503</v>
      </c>
      <c r="AM654">
        <v>15.933999999999999</v>
      </c>
      <c r="AN654">
        <v>20.673999999999999</v>
      </c>
      <c r="AO654">
        <v>23.343</v>
      </c>
      <c r="AP654">
        <v>24.937000000000001</v>
      </c>
      <c r="AQ654">
        <v>28.334</v>
      </c>
      <c r="AR654">
        <v>30.22</v>
      </c>
      <c r="AS654">
        <v>29.065000000000001</v>
      </c>
      <c r="AT654">
        <v>30.094000000000001</v>
      </c>
      <c r="AU654">
        <v>31.440999999999999</v>
      </c>
      <c r="AV654">
        <v>32.840000000000003</v>
      </c>
      <c r="AW654">
        <v>34.237000000000002</v>
      </c>
      <c r="AX654">
        <v>35.722000000000001</v>
      </c>
      <c r="AY654">
        <v>2014</v>
      </c>
    </row>
    <row r="655" spans="1:51" x14ac:dyDescent="0.25">
      <c r="A655">
        <v>288</v>
      </c>
      <c r="B655" t="s">
        <v>698</v>
      </c>
      <c r="C655" t="s">
        <v>293</v>
      </c>
      <c r="D655" t="s">
        <v>178</v>
      </c>
      <c r="E655" t="s">
        <v>294</v>
      </c>
      <c r="F655" t="s">
        <v>295</v>
      </c>
      <c r="G655" t="s">
        <v>296</v>
      </c>
      <c r="I655" t="s">
        <v>297</v>
      </c>
      <c r="J655">
        <v>5.431</v>
      </c>
      <c r="K655">
        <v>6.3410000000000002</v>
      </c>
      <c r="L655">
        <v>6.7389999999999999</v>
      </c>
      <c r="M655">
        <v>7.7119999999999997</v>
      </c>
      <c r="N655">
        <v>9.7230000000000008</v>
      </c>
      <c r="O655">
        <v>12.205</v>
      </c>
      <c r="P655">
        <v>16.077000000000002</v>
      </c>
      <c r="Q655">
        <v>20.986999999999998</v>
      </c>
      <c r="R655">
        <v>26.251999999999999</v>
      </c>
      <c r="S655">
        <v>34.518999999999998</v>
      </c>
      <c r="T655">
        <v>46.790999999999997</v>
      </c>
      <c r="U655">
        <v>69.385999999999996</v>
      </c>
      <c r="V655">
        <v>79.158000000000001</v>
      </c>
      <c r="W655">
        <v>88.831000000000003</v>
      </c>
      <c r="X655">
        <v>100</v>
      </c>
      <c r="Y655">
        <v>111.07599999999999</v>
      </c>
      <c r="Z655">
        <v>123.76300000000001</v>
      </c>
      <c r="AA655">
        <v>127.985</v>
      </c>
      <c r="AB655">
        <v>145.00200000000001</v>
      </c>
      <c r="AC655">
        <v>156.4</v>
      </c>
      <c r="AD655">
        <v>174.767</v>
      </c>
      <c r="AE655">
        <v>194.04900000000001</v>
      </c>
      <c r="AF655">
        <v>223.04900000000001</v>
      </c>
      <c r="AG655">
        <v>250.285</v>
      </c>
      <c r="AH655">
        <v>272.77600000000001</v>
      </c>
      <c r="AI655">
        <v>300.25900000000001</v>
      </c>
      <c r="AJ655">
        <v>318.52300000000002</v>
      </c>
      <c r="AK655">
        <v>349.63</v>
      </c>
      <c r="AL655">
        <v>382.27</v>
      </c>
      <c r="AM655">
        <v>390.08100000000002</v>
      </c>
      <c r="AN655">
        <v>413.87700000000001</v>
      </c>
      <c r="AO655">
        <v>439.55799999999999</v>
      </c>
      <c r="AP655">
        <v>460.42500000000001</v>
      </c>
      <c r="AQ655">
        <v>462.42500000000001</v>
      </c>
      <c r="AR655">
        <v>490.733</v>
      </c>
      <c r="AS655">
        <v>505.71199999999999</v>
      </c>
      <c r="AT655">
        <v>525.65099999999995</v>
      </c>
      <c r="AU655">
        <v>545.88300000000004</v>
      </c>
      <c r="AV655">
        <v>566.48299999999995</v>
      </c>
      <c r="AW655">
        <v>587.30799999999999</v>
      </c>
      <c r="AX655">
        <v>609.35</v>
      </c>
      <c r="AY655">
        <v>2014</v>
      </c>
    </row>
    <row r="656" spans="1:51" x14ac:dyDescent="0.25">
      <c r="A656">
        <v>288</v>
      </c>
      <c r="B656" t="s">
        <v>698</v>
      </c>
      <c r="C656" t="s">
        <v>298</v>
      </c>
      <c r="D656" t="s">
        <v>178</v>
      </c>
      <c r="E656" t="s">
        <v>299</v>
      </c>
      <c r="F656" t="s">
        <v>300</v>
      </c>
      <c r="G656" t="s">
        <v>282</v>
      </c>
      <c r="H656" t="s">
        <v>283</v>
      </c>
      <c r="I656" t="s">
        <v>700</v>
      </c>
      <c r="J656">
        <v>195.74799999999999</v>
      </c>
      <c r="K656">
        <v>285.28100000000001</v>
      </c>
      <c r="L656">
        <v>295.94900000000001</v>
      </c>
      <c r="M656">
        <v>325.70800000000003</v>
      </c>
      <c r="N656">
        <v>420.96499999999997</v>
      </c>
      <c r="O656">
        <v>480.14800000000002</v>
      </c>
      <c r="P656">
        <v>515.70399999999995</v>
      </c>
      <c r="Q656">
        <v>768.38400000000001</v>
      </c>
      <c r="R656">
        <v>977.73299999999995</v>
      </c>
      <c r="S656" s="21">
        <v>1650.5429999999999</v>
      </c>
      <c r="T656" s="21">
        <v>2074.7959999999998</v>
      </c>
      <c r="U656" s="21">
        <v>2511.4839999999999</v>
      </c>
      <c r="V656" s="21">
        <v>2865.163</v>
      </c>
      <c r="W656" s="21">
        <v>3007.8290000000002</v>
      </c>
      <c r="X656" s="21">
        <v>3401.8220000000001</v>
      </c>
      <c r="Y656" s="21">
        <v>4264.5749999999998</v>
      </c>
      <c r="Z656" s="21">
        <v>4879.6059999999998</v>
      </c>
      <c r="AA656" s="21">
        <v>5765.4309999999996</v>
      </c>
      <c r="AB656" s="21">
        <v>6042.9719999999998</v>
      </c>
      <c r="AC656" s="21">
        <v>5330.6369999999997</v>
      </c>
      <c r="AD656" s="21">
        <v>6057.8710000000001</v>
      </c>
      <c r="AE656" s="21">
        <v>6726.9740000000002</v>
      </c>
      <c r="AF656" s="21">
        <v>7450.2389999999996</v>
      </c>
      <c r="AG656" s="21">
        <v>8012.201</v>
      </c>
      <c r="AH656" s="21">
        <v>9052.7510000000002</v>
      </c>
      <c r="AI656" s="21">
        <v>9839.6830000000009</v>
      </c>
      <c r="AJ656" s="21">
        <v>11572.683000000001</v>
      </c>
      <c r="AK656" s="21">
        <v>12735.83</v>
      </c>
      <c r="AL656" s="21">
        <v>13773.857</v>
      </c>
      <c r="AM656" s="21">
        <v>16885.028999999999</v>
      </c>
      <c r="AN656" s="21">
        <v>19104.625</v>
      </c>
      <c r="AO656" s="21">
        <v>22472.929</v>
      </c>
      <c r="AP656" s="21">
        <v>27554.672999999999</v>
      </c>
      <c r="AQ656" s="21">
        <v>29434.768</v>
      </c>
      <c r="AR656" s="21">
        <v>32121.965</v>
      </c>
      <c r="AS656" s="21">
        <v>35366.822999999997</v>
      </c>
      <c r="AT656" s="21">
        <v>38045.995999999999</v>
      </c>
      <c r="AU656" s="21">
        <v>41670.847999999998</v>
      </c>
      <c r="AV656" s="21">
        <v>45388.13</v>
      </c>
      <c r="AW656" s="21">
        <v>49737.019</v>
      </c>
      <c r="AX656" s="21">
        <v>54192.85</v>
      </c>
      <c r="AY656">
        <v>2014</v>
      </c>
    </row>
    <row r="657" spans="1:51" x14ac:dyDescent="0.25">
      <c r="A657">
        <v>293</v>
      </c>
      <c r="B657" t="s">
        <v>701</v>
      </c>
      <c r="C657" t="s">
        <v>279</v>
      </c>
      <c r="D657" t="s">
        <v>179</v>
      </c>
      <c r="E657" t="s">
        <v>280</v>
      </c>
      <c r="F657" t="s">
        <v>281</v>
      </c>
      <c r="G657" t="s">
        <v>282</v>
      </c>
      <c r="H657" t="s">
        <v>283</v>
      </c>
      <c r="I657" t="s">
        <v>702</v>
      </c>
      <c r="J657">
        <v>166.846</v>
      </c>
      <c r="K657">
        <v>175.958</v>
      </c>
      <c r="L657">
        <v>175.387</v>
      </c>
      <c r="M657">
        <v>159.02500000000001</v>
      </c>
      <c r="N657">
        <v>165.06899999999999</v>
      </c>
      <c r="O657">
        <v>168.517</v>
      </c>
      <c r="P657">
        <v>188.91800000000001</v>
      </c>
      <c r="Q657">
        <v>203.53700000000001</v>
      </c>
      <c r="R657">
        <v>184.36</v>
      </c>
      <c r="S657">
        <v>159.61600000000001</v>
      </c>
      <c r="T657">
        <v>151.49199999999999</v>
      </c>
      <c r="U657">
        <v>154.85400000000001</v>
      </c>
      <c r="V657">
        <v>154.01499999999999</v>
      </c>
      <c r="W657">
        <v>162.095</v>
      </c>
      <c r="X657">
        <v>182.04499999999999</v>
      </c>
      <c r="Y657">
        <v>195.535</v>
      </c>
      <c r="Z657">
        <v>201.00899999999999</v>
      </c>
      <c r="AA657">
        <v>214.029</v>
      </c>
      <c r="AB657">
        <v>213.18899999999999</v>
      </c>
      <c r="AC657">
        <v>216.375</v>
      </c>
      <c r="AD657">
        <v>222.20699999999999</v>
      </c>
      <c r="AE657">
        <v>223.577</v>
      </c>
      <c r="AF657">
        <v>235.774</v>
      </c>
      <c r="AG657">
        <v>245.59399999999999</v>
      </c>
      <c r="AH657">
        <v>257.77300000000002</v>
      </c>
      <c r="AI657">
        <v>273.97199999999998</v>
      </c>
      <c r="AJ657">
        <v>294.59800000000001</v>
      </c>
      <c r="AK657">
        <v>319.69299999999998</v>
      </c>
      <c r="AL657">
        <v>348.92399999999998</v>
      </c>
      <c r="AM657">
        <v>352.58499999999998</v>
      </c>
      <c r="AN657">
        <v>382.38200000000001</v>
      </c>
      <c r="AO657">
        <v>407.05099999999999</v>
      </c>
      <c r="AP657">
        <v>431.27300000000002</v>
      </c>
      <c r="AQ657">
        <v>456.161</v>
      </c>
      <c r="AR657">
        <v>466.88099999999997</v>
      </c>
      <c r="AS657">
        <v>478.08699999999999</v>
      </c>
      <c r="AT657">
        <v>493.84399999999999</v>
      </c>
      <c r="AU657">
        <v>521.21900000000005</v>
      </c>
      <c r="AV657">
        <v>548.322</v>
      </c>
      <c r="AW657">
        <v>571.97699999999998</v>
      </c>
      <c r="AX657">
        <v>594.899</v>
      </c>
      <c r="AY657">
        <v>2014</v>
      </c>
    </row>
    <row r="658" spans="1:51" x14ac:dyDescent="0.25">
      <c r="A658">
        <v>293</v>
      </c>
      <c r="B658" t="s">
        <v>701</v>
      </c>
      <c r="C658" t="s">
        <v>286</v>
      </c>
      <c r="D658" t="s">
        <v>179</v>
      </c>
      <c r="E658" t="s">
        <v>287</v>
      </c>
      <c r="F658" t="s">
        <v>288</v>
      </c>
      <c r="G658" t="s">
        <v>282</v>
      </c>
      <c r="H658" t="s">
        <v>283</v>
      </c>
      <c r="I658" t="s">
        <v>702</v>
      </c>
      <c r="J658" t="s">
        <v>310</v>
      </c>
      <c r="K658" t="s">
        <v>310</v>
      </c>
      <c r="L658" t="s">
        <v>310</v>
      </c>
      <c r="M658" t="s">
        <v>310</v>
      </c>
      <c r="N658" t="s">
        <v>310</v>
      </c>
      <c r="O658" t="s">
        <v>310</v>
      </c>
      <c r="P658" t="s">
        <v>310</v>
      </c>
      <c r="Q658">
        <v>1E-3</v>
      </c>
      <c r="R658">
        <v>4.0000000000000001E-3</v>
      </c>
      <c r="S658">
        <v>0.108</v>
      </c>
      <c r="T658">
        <v>5.3209999999999997</v>
      </c>
      <c r="U658">
        <v>26.256</v>
      </c>
      <c r="V658">
        <v>43.988999999999997</v>
      </c>
      <c r="W658">
        <v>68.078000000000003</v>
      </c>
      <c r="X658">
        <v>95.965999999999994</v>
      </c>
      <c r="Y658">
        <v>117.279</v>
      </c>
      <c r="Z658">
        <v>132.47</v>
      </c>
      <c r="AA658">
        <v>151.40600000000001</v>
      </c>
      <c r="AB658">
        <v>159.751</v>
      </c>
      <c r="AC658">
        <v>166.96700000000001</v>
      </c>
      <c r="AD658">
        <v>177.91800000000001</v>
      </c>
      <c r="AE658">
        <v>180.99199999999999</v>
      </c>
      <c r="AF658">
        <v>191.49100000000001</v>
      </c>
      <c r="AG658">
        <v>205.37899999999999</v>
      </c>
      <c r="AH658">
        <v>227.68299999999999</v>
      </c>
      <c r="AI658">
        <v>247.084</v>
      </c>
      <c r="AJ658">
        <v>287.71499999999997</v>
      </c>
      <c r="AK658">
        <v>319.69299999999998</v>
      </c>
      <c r="AL658">
        <v>355.709</v>
      </c>
      <c r="AM658">
        <v>365.05500000000001</v>
      </c>
      <c r="AN658">
        <v>419.69299999999998</v>
      </c>
      <c r="AO658">
        <v>469.85399999999998</v>
      </c>
      <c r="AP658">
        <v>508.32499999999999</v>
      </c>
      <c r="AQ658">
        <v>545.553</v>
      </c>
      <c r="AR658">
        <v>575.24900000000002</v>
      </c>
      <c r="AS658">
        <v>602.70100000000002</v>
      </c>
      <c r="AT658">
        <v>631.31399999999996</v>
      </c>
      <c r="AU658">
        <v>677.56600000000003</v>
      </c>
      <c r="AV658">
        <v>727.72900000000004</v>
      </c>
      <c r="AW658">
        <v>774.59799999999996</v>
      </c>
      <c r="AX658">
        <v>822.81799999999998</v>
      </c>
      <c r="AY658">
        <v>2014</v>
      </c>
    </row>
    <row r="659" spans="1:51" x14ac:dyDescent="0.25">
      <c r="A659">
        <v>293</v>
      </c>
      <c r="B659" t="s">
        <v>701</v>
      </c>
      <c r="C659" t="s">
        <v>289</v>
      </c>
      <c r="D659" t="s">
        <v>179</v>
      </c>
      <c r="E659" t="s">
        <v>287</v>
      </c>
      <c r="F659" t="s">
        <v>290</v>
      </c>
      <c r="G659" t="s">
        <v>291</v>
      </c>
      <c r="H659" t="s">
        <v>283</v>
      </c>
      <c r="I659" t="s">
        <v>292</v>
      </c>
      <c r="J659">
        <v>20.186</v>
      </c>
      <c r="K659">
        <v>24.393999999999998</v>
      </c>
      <c r="L659">
        <v>24.254000000000001</v>
      </c>
      <c r="M659">
        <v>18.859000000000002</v>
      </c>
      <c r="N659">
        <v>19.439</v>
      </c>
      <c r="O659">
        <v>16.82</v>
      </c>
      <c r="P659">
        <v>25.236000000000001</v>
      </c>
      <c r="Q659">
        <v>41.673000000000002</v>
      </c>
      <c r="R659">
        <v>32.970999999999997</v>
      </c>
      <c r="S659">
        <v>40.692</v>
      </c>
      <c r="T659">
        <v>28.32</v>
      </c>
      <c r="U659">
        <v>33.988</v>
      </c>
      <c r="V659">
        <v>35.375999999999998</v>
      </c>
      <c r="W659">
        <v>34.329000000000001</v>
      </c>
      <c r="X659">
        <v>43.792000000000002</v>
      </c>
      <c r="Y659">
        <v>52.139000000000003</v>
      </c>
      <c r="Z659">
        <v>54.09</v>
      </c>
      <c r="AA659">
        <v>56.911000000000001</v>
      </c>
      <c r="AB659">
        <v>54.6</v>
      </c>
      <c r="AC659">
        <v>49.378</v>
      </c>
      <c r="AD659">
        <v>51.005000000000003</v>
      </c>
      <c r="AE659">
        <v>51.613</v>
      </c>
      <c r="AF659">
        <v>54.451000000000001</v>
      </c>
      <c r="AG659">
        <v>59.045000000000002</v>
      </c>
      <c r="AH659">
        <v>66.709999999999994</v>
      </c>
      <c r="AI659">
        <v>74.97</v>
      </c>
      <c r="AJ659">
        <v>87.887</v>
      </c>
      <c r="AK659">
        <v>102.187</v>
      </c>
      <c r="AL659">
        <v>121.61</v>
      </c>
      <c r="AM659">
        <v>121.229</v>
      </c>
      <c r="AN659">
        <v>148.56200000000001</v>
      </c>
      <c r="AO659">
        <v>170.595</v>
      </c>
      <c r="AP659">
        <v>192.733</v>
      </c>
      <c r="AQ659">
        <v>201.87899999999999</v>
      </c>
      <c r="AR659">
        <v>202.642</v>
      </c>
      <c r="AS659">
        <v>179.911</v>
      </c>
      <c r="AT659">
        <v>180.375</v>
      </c>
      <c r="AU659">
        <v>193.59</v>
      </c>
      <c r="AV659">
        <v>207.923</v>
      </c>
      <c r="AW659">
        <v>221.31399999999999</v>
      </c>
      <c r="AX659">
        <v>235.09100000000001</v>
      </c>
      <c r="AY659">
        <v>2014</v>
      </c>
    </row>
    <row r="660" spans="1:51" x14ac:dyDescent="0.25">
      <c r="A660">
        <v>293</v>
      </c>
      <c r="B660" t="s">
        <v>701</v>
      </c>
      <c r="C660" t="s">
        <v>293</v>
      </c>
      <c r="D660" t="s">
        <v>179</v>
      </c>
      <c r="E660" t="s">
        <v>294</v>
      </c>
      <c r="F660" t="s">
        <v>295</v>
      </c>
      <c r="G660" t="s">
        <v>296</v>
      </c>
      <c r="I660" t="s">
        <v>297</v>
      </c>
      <c r="J660" t="s">
        <v>310</v>
      </c>
      <c r="K660" t="s">
        <v>310</v>
      </c>
      <c r="L660" t="s">
        <v>310</v>
      </c>
      <c r="M660" t="s">
        <v>310</v>
      </c>
      <c r="N660" t="s">
        <v>310</v>
      </c>
      <c r="O660" t="s">
        <v>310</v>
      </c>
      <c r="P660" t="s">
        <v>310</v>
      </c>
      <c r="Q660" t="s">
        <v>310</v>
      </c>
      <c r="R660">
        <v>2E-3</v>
      </c>
      <c r="S660">
        <v>6.8000000000000005E-2</v>
      </c>
      <c r="T660">
        <v>3.512</v>
      </c>
      <c r="U660">
        <v>16.954999999999998</v>
      </c>
      <c r="V660">
        <v>28.562000000000001</v>
      </c>
      <c r="W660">
        <v>41.999000000000002</v>
      </c>
      <c r="X660">
        <v>52.716000000000001</v>
      </c>
      <c r="Y660">
        <v>59.978999999999999</v>
      </c>
      <c r="Z660">
        <v>65.903000000000006</v>
      </c>
      <c r="AA660">
        <v>70.741</v>
      </c>
      <c r="AB660">
        <v>74.933999999999997</v>
      </c>
      <c r="AC660">
        <v>77.165999999999997</v>
      </c>
      <c r="AD660">
        <v>80.069000000000003</v>
      </c>
      <c r="AE660">
        <v>80.953000000000003</v>
      </c>
      <c r="AF660">
        <v>81.218000000000004</v>
      </c>
      <c r="AG660">
        <v>83.625</v>
      </c>
      <c r="AH660">
        <v>88.326999999999998</v>
      </c>
      <c r="AI660">
        <v>90.186000000000007</v>
      </c>
      <c r="AJ660">
        <v>97.664000000000001</v>
      </c>
      <c r="AK660">
        <v>100</v>
      </c>
      <c r="AL660">
        <v>101.94499999999999</v>
      </c>
      <c r="AM660">
        <v>103.53700000000001</v>
      </c>
      <c r="AN660">
        <v>109.758</v>
      </c>
      <c r="AO660">
        <v>115.429</v>
      </c>
      <c r="AP660">
        <v>117.866</v>
      </c>
      <c r="AQ660">
        <v>119.59699999999999</v>
      </c>
      <c r="AR660">
        <v>123.211</v>
      </c>
      <c r="AS660">
        <v>126.065</v>
      </c>
      <c r="AT660">
        <v>127.837</v>
      </c>
      <c r="AU660">
        <v>129.99600000000001</v>
      </c>
      <c r="AV660">
        <v>132.71899999999999</v>
      </c>
      <c r="AW660">
        <v>135.42500000000001</v>
      </c>
      <c r="AX660">
        <v>138.31200000000001</v>
      </c>
      <c r="AY660">
        <v>2014</v>
      </c>
    </row>
    <row r="661" spans="1:51" x14ac:dyDescent="0.25">
      <c r="A661">
        <v>293</v>
      </c>
      <c r="B661" t="s">
        <v>701</v>
      </c>
      <c r="C661" t="s">
        <v>298</v>
      </c>
      <c r="D661" t="s">
        <v>179</v>
      </c>
      <c r="E661" t="s">
        <v>299</v>
      </c>
      <c r="F661" t="s">
        <v>300</v>
      </c>
      <c r="G661" t="s">
        <v>282</v>
      </c>
      <c r="H661" t="s">
        <v>283</v>
      </c>
      <c r="I661" t="s">
        <v>703</v>
      </c>
      <c r="J661" t="s">
        <v>285</v>
      </c>
      <c r="K661" t="s">
        <v>285</v>
      </c>
      <c r="L661" t="s">
        <v>285</v>
      </c>
      <c r="M661" t="s">
        <v>285</v>
      </c>
      <c r="N661" t="s">
        <v>285</v>
      </c>
      <c r="O661" t="s">
        <v>285</v>
      </c>
      <c r="P661" t="s">
        <v>285</v>
      </c>
      <c r="Q661" t="s">
        <v>285</v>
      </c>
      <c r="R661" t="s">
        <v>285</v>
      </c>
      <c r="S661" t="s">
        <v>285</v>
      </c>
      <c r="T661" t="s">
        <v>285</v>
      </c>
      <c r="U661" t="s">
        <v>285</v>
      </c>
      <c r="V661" t="s">
        <v>285</v>
      </c>
      <c r="W661" t="s">
        <v>285</v>
      </c>
      <c r="X661" t="s">
        <v>285</v>
      </c>
      <c r="Y661" t="s">
        <v>285</v>
      </c>
      <c r="Z661" t="s">
        <v>285</v>
      </c>
      <c r="AA661" t="s">
        <v>285</v>
      </c>
      <c r="AB661" t="s">
        <v>285</v>
      </c>
      <c r="AC661" t="s">
        <v>285</v>
      </c>
      <c r="AD661">
        <v>38.223999999999997</v>
      </c>
      <c r="AE661">
        <v>37.466000000000001</v>
      </c>
      <c r="AF661">
        <v>37.281999999999996</v>
      </c>
      <c r="AG661">
        <v>40.953000000000003</v>
      </c>
      <c r="AH661">
        <v>44.140999999999998</v>
      </c>
      <c r="AI661">
        <v>49.856999999999999</v>
      </c>
      <c r="AJ661">
        <v>54.863999999999997</v>
      </c>
      <c r="AK661">
        <v>59.441000000000003</v>
      </c>
      <c r="AL661">
        <v>69.593999999999994</v>
      </c>
      <c r="AM661">
        <v>78.290999999999997</v>
      </c>
      <c r="AN661">
        <v>88.159000000000006</v>
      </c>
      <c r="AO661">
        <v>92.968999999999994</v>
      </c>
      <c r="AP661">
        <v>103.285</v>
      </c>
      <c r="AQ661">
        <v>117.845</v>
      </c>
      <c r="AR661">
        <v>129.69399999999999</v>
      </c>
      <c r="AS661">
        <v>135.92400000000001</v>
      </c>
      <c r="AT661">
        <v>143.69900000000001</v>
      </c>
      <c r="AU661">
        <v>151.541</v>
      </c>
      <c r="AV661">
        <v>159.51300000000001</v>
      </c>
      <c r="AW661">
        <v>167.608</v>
      </c>
      <c r="AX661">
        <v>176.976</v>
      </c>
      <c r="AY661">
        <v>2014</v>
      </c>
    </row>
    <row r="662" spans="1:51" x14ac:dyDescent="0.25">
      <c r="A662">
        <v>566</v>
      </c>
      <c r="B662" t="s">
        <v>704</v>
      </c>
      <c r="C662" t="s">
        <v>279</v>
      </c>
      <c r="D662" t="s">
        <v>180</v>
      </c>
      <c r="E662" t="s">
        <v>280</v>
      </c>
      <c r="F662" t="s">
        <v>281</v>
      </c>
      <c r="G662" t="s">
        <v>282</v>
      </c>
      <c r="H662" t="s">
        <v>283</v>
      </c>
      <c r="I662" t="s">
        <v>705</v>
      </c>
      <c r="J662" s="21">
        <v>2284.502</v>
      </c>
      <c r="K662" s="21">
        <v>2362.7060000000001</v>
      </c>
      <c r="L662" s="21">
        <v>2448.2199999999998</v>
      </c>
      <c r="M662" s="21">
        <v>2494.1149999999998</v>
      </c>
      <c r="N662" s="21">
        <v>2311.4540000000002</v>
      </c>
      <c r="O662" s="21">
        <v>2142.5650000000001</v>
      </c>
      <c r="P662" s="21">
        <v>2215.7719999999999</v>
      </c>
      <c r="Q662" s="21">
        <v>2311.308</v>
      </c>
      <c r="R662" s="21">
        <v>2467.38</v>
      </c>
      <c r="S662" s="21">
        <v>2620.489</v>
      </c>
      <c r="T662" s="21">
        <v>2700.0720000000001</v>
      </c>
      <c r="U662" s="21">
        <v>2684.4569999999999</v>
      </c>
      <c r="V662" s="21">
        <v>2693.52</v>
      </c>
      <c r="W662" s="21">
        <v>2750.5230000000001</v>
      </c>
      <c r="X662" s="21">
        <v>2871.2060000000001</v>
      </c>
      <c r="Y662" s="21">
        <v>3005.5410000000002</v>
      </c>
      <c r="Z662" s="21">
        <v>3181.2429999999999</v>
      </c>
      <c r="AA662" s="21">
        <v>3346.2</v>
      </c>
      <c r="AB662" s="21">
        <v>3326.902</v>
      </c>
      <c r="AC662" s="21">
        <v>3429.4349999999999</v>
      </c>
      <c r="AD662" s="21">
        <v>3580.7139999999999</v>
      </c>
      <c r="AE662" s="21">
        <v>3684.3389999999999</v>
      </c>
      <c r="AF662" s="21">
        <v>3818.6660000000002</v>
      </c>
      <c r="AG662" s="21">
        <v>4008.4690000000001</v>
      </c>
      <c r="AH662" s="21">
        <v>4276.9409999999998</v>
      </c>
      <c r="AI662" s="21">
        <v>4481.2809999999999</v>
      </c>
      <c r="AJ662" s="21">
        <v>4716.2309999999998</v>
      </c>
      <c r="AK662" s="21">
        <v>5028.2879999999996</v>
      </c>
      <c r="AL662" s="21">
        <v>5237.1009999999997</v>
      </c>
      <c r="AM662" s="21">
        <v>5297.24</v>
      </c>
      <c r="AN662" s="21">
        <v>5701.54</v>
      </c>
      <c r="AO662" s="21">
        <v>5910.2030000000004</v>
      </c>
      <c r="AP662" s="21">
        <v>6305.2290000000003</v>
      </c>
      <c r="AQ662" s="21">
        <v>6750.0789999999997</v>
      </c>
      <c r="AR662" s="21">
        <v>7164.0159999999996</v>
      </c>
      <c r="AS662" s="21">
        <v>7593.9949999999999</v>
      </c>
      <c r="AT662" s="21">
        <v>8072.4260000000004</v>
      </c>
      <c r="AU662" s="21">
        <v>8597.9750000000004</v>
      </c>
      <c r="AV662" s="21">
        <v>9157.4390000000003</v>
      </c>
      <c r="AW662" s="21">
        <v>9753.5509999999995</v>
      </c>
      <c r="AX662" s="21">
        <v>10388.671</v>
      </c>
      <c r="AY662">
        <v>2014</v>
      </c>
    </row>
    <row r="663" spans="1:51" x14ac:dyDescent="0.25">
      <c r="A663">
        <v>566</v>
      </c>
      <c r="B663" t="s">
        <v>704</v>
      </c>
      <c r="C663" t="s">
        <v>286</v>
      </c>
      <c r="D663" t="s">
        <v>180</v>
      </c>
      <c r="E663" t="s">
        <v>287</v>
      </c>
      <c r="F663" t="s">
        <v>288</v>
      </c>
      <c r="G663" t="s">
        <v>282</v>
      </c>
      <c r="H663" t="s">
        <v>283</v>
      </c>
      <c r="I663" t="s">
        <v>705</v>
      </c>
      <c r="J663">
        <v>270.74799999999999</v>
      </c>
      <c r="K663">
        <v>312.78699999999998</v>
      </c>
      <c r="L663">
        <v>352.30900000000003</v>
      </c>
      <c r="M663">
        <v>409.95800000000003</v>
      </c>
      <c r="N663">
        <v>582.57600000000002</v>
      </c>
      <c r="O663">
        <v>635.22799999999995</v>
      </c>
      <c r="P663">
        <v>676.33100000000002</v>
      </c>
      <c r="Q663">
        <v>758.39099999999996</v>
      </c>
      <c r="R663">
        <v>887.70399999999995</v>
      </c>
      <c r="S663" s="21">
        <v>1027.952</v>
      </c>
      <c r="T663" s="21">
        <v>1193.529</v>
      </c>
      <c r="U663" s="21">
        <v>1382.7380000000001</v>
      </c>
      <c r="V663" s="21">
        <v>1497.463</v>
      </c>
      <c r="W663" s="21">
        <v>1633.6289999999999</v>
      </c>
      <c r="X663" s="21">
        <v>1875.69</v>
      </c>
      <c r="Y663" s="21">
        <v>2111.7040000000002</v>
      </c>
      <c r="Z663" s="21">
        <v>2406.3879999999999</v>
      </c>
      <c r="AA663" s="21">
        <v>2688.7190000000001</v>
      </c>
      <c r="AB663" s="21">
        <v>2952.7620000000002</v>
      </c>
      <c r="AC663" s="21">
        <v>3244.1970000000001</v>
      </c>
      <c r="AD663" s="21">
        <v>3580.712</v>
      </c>
      <c r="AE663" s="21">
        <v>3888.8009999999999</v>
      </c>
      <c r="AF663" s="21">
        <v>4198.348</v>
      </c>
      <c r="AG663" s="21">
        <v>4548.1009999999997</v>
      </c>
      <c r="AH663" s="21">
        <v>5120.4359999999997</v>
      </c>
      <c r="AI663" s="21">
        <v>5677.75</v>
      </c>
      <c r="AJ663" s="21">
        <v>6271.1570000000002</v>
      </c>
      <c r="AK663" s="21">
        <v>6892.7209999999995</v>
      </c>
      <c r="AL663" s="21">
        <v>7720.9049999999997</v>
      </c>
      <c r="AM663" s="21">
        <v>8026.1440000000002</v>
      </c>
      <c r="AN663" s="21">
        <v>9003.4789999999994</v>
      </c>
      <c r="AO663" s="21">
        <v>9708.3340000000007</v>
      </c>
      <c r="AP663" s="21">
        <v>10561.085999999999</v>
      </c>
      <c r="AQ663" s="21">
        <v>11542.285</v>
      </c>
      <c r="AR663" s="21">
        <v>12642.736000000001</v>
      </c>
      <c r="AS663" s="21">
        <v>13528.995999999999</v>
      </c>
      <c r="AT663" s="21">
        <v>14860.428</v>
      </c>
      <c r="AU663" s="21">
        <v>16375.525</v>
      </c>
      <c r="AV663" s="21">
        <v>18051.428</v>
      </c>
      <c r="AW663" s="21">
        <v>19897.326000000001</v>
      </c>
      <c r="AX663" s="21">
        <v>21938.591</v>
      </c>
      <c r="AY663">
        <v>2014</v>
      </c>
    </row>
    <row r="664" spans="1:51" x14ac:dyDescent="0.25">
      <c r="A664">
        <v>566</v>
      </c>
      <c r="B664" t="s">
        <v>704</v>
      </c>
      <c r="C664" t="s">
        <v>289</v>
      </c>
      <c r="D664" t="s">
        <v>180</v>
      </c>
      <c r="E664" t="s">
        <v>287</v>
      </c>
      <c r="F664" t="s">
        <v>290</v>
      </c>
      <c r="G664" t="s">
        <v>291</v>
      </c>
      <c r="H664" t="s">
        <v>283</v>
      </c>
      <c r="I664" t="s">
        <v>292</v>
      </c>
      <c r="J664">
        <v>36.045000000000002</v>
      </c>
      <c r="K664">
        <v>39.594999999999999</v>
      </c>
      <c r="L664">
        <v>41.253999999999998</v>
      </c>
      <c r="M664">
        <v>36.890999999999998</v>
      </c>
      <c r="N664">
        <v>34.856999999999999</v>
      </c>
      <c r="O664">
        <v>33.994999999999997</v>
      </c>
      <c r="P664">
        <v>33.173999999999999</v>
      </c>
      <c r="Q664">
        <v>36.871000000000002</v>
      </c>
      <c r="R664">
        <v>42.082000000000001</v>
      </c>
      <c r="S664">
        <v>47.290999999999997</v>
      </c>
      <c r="T664">
        <v>49.094999999999999</v>
      </c>
      <c r="U664">
        <v>50.32</v>
      </c>
      <c r="V664">
        <v>58.695</v>
      </c>
      <c r="W664">
        <v>60.237000000000002</v>
      </c>
      <c r="X664">
        <v>71.003</v>
      </c>
      <c r="Y664">
        <v>82.120999999999995</v>
      </c>
      <c r="Z664">
        <v>91.792000000000002</v>
      </c>
      <c r="AA664">
        <v>91.233999999999995</v>
      </c>
      <c r="AB664">
        <v>72.206999999999994</v>
      </c>
      <c r="AC664">
        <v>82.995000000000005</v>
      </c>
      <c r="AD664">
        <v>81.022999999999996</v>
      </c>
      <c r="AE664">
        <v>76.262</v>
      </c>
      <c r="AF664">
        <v>81.358000000000004</v>
      </c>
      <c r="AG664">
        <v>83.908000000000001</v>
      </c>
      <c r="AH664">
        <v>91.370999999999995</v>
      </c>
      <c r="AI664">
        <v>103.074</v>
      </c>
      <c r="AJ664">
        <v>122.211</v>
      </c>
      <c r="AK664">
        <v>149.36000000000001</v>
      </c>
      <c r="AL664">
        <v>173.60300000000001</v>
      </c>
      <c r="AM664">
        <v>168.48500000000001</v>
      </c>
      <c r="AN664">
        <v>199.59100000000001</v>
      </c>
      <c r="AO664">
        <v>224.143</v>
      </c>
      <c r="AP664">
        <v>250.09200000000001</v>
      </c>
      <c r="AQ664">
        <v>271.928</v>
      </c>
      <c r="AR664">
        <v>284.61799999999999</v>
      </c>
      <c r="AS664">
        <v>299.31400000000002</v>
      </c>
      <c r="AT664">
        <v>330.23200000000003</v>
      </c>
      <c r="AU664">
        <v>366.75299999999999</v>
      </c>
      <c r="AV664">
        <v>407.94200000000001</v>
      </c>
      <c r="AW664">
        <v>454.79599999999999</v>
      </c>
      <c r="AX664">
        <v>507.25099999999998</v>
      </c>
      <c r="AY664">
        <v>2014</v>
      </c>
    </row>
    <row r="665" spans="1:51" x14ac:dyDescent="0.25">
      <c r="A665">
        <v>566</v>
      </c>
      <c r="B665" t="s">
        <v>704</v>
      </c>
      <c r="C665" t="s">
        <v>293</v>
      </c>
      <c r="D665" t="s">
        <v>180</v>
      </c>
      <c r="E665" t="s">
        <v>294</v>
      </c>
      <c r="F665" t="s">
        <v>295</v>
      </c>
      <c r="G665" t="s">
        <v>296</v>
      </c>
      <c r="I665" t="s">
        <v>297</v>
      </c>
      <c r="J665">
        <v>11.852</v>
      </c>
      <c r="K665">
        <v>13.239000000000001</v>
      </c>
      <c r="L665">
        <v>14.39</v>
      </c>
      <c r="M665">
        <v>16.437000000000001</v>
      </c>
      <c r="N665">
        <v>25.204000000000001</v>
      </c>
      <c r="O665">
        <v>29.648</v>
      </c>
      <c r="P665">
        <v>30.523</v>
      </c>
      <c r="Q665">
        <v>32.811999999999998</v>
      </c>
      <c r="R665">
        <v>35.978000000000002</v>
      </c>
      <c r="S665">
        <v>39.226999999999997</v>
      </c>
      <c r="T665">
        <v>44.204000000000001</v>
      </c>
      <c r="U665">
        <v>51.509</v>
      </c>
      <c r="V665">
        <v>55.594999999999999</v>
      </c>
      <c r="W665">
        <v>59.393000000000001</v>
      </c>
      <c r="X665">
        <v>65.328000000000003</v>
      </c>
      <c r="Y665">
        <v>70.260000000000005</v>
      </c>
      <c r="Z665">
        <v>75.643000000000001</v>
      </c>
      <c r="AA665">
        <v>80.350999999999999</v>
      </c>
      <c r="AB665">
        <v>88.754000000000005</v>
      </c>
      <c r="AC665">
        <v>94.599000000000004</v>
      </c>
      <c r="AD665">
        <v>100</v>
      </c>
      <c r="AE665">
        <v>105.54900000000001</v>
      </c>
      <c r="AF665">
        <v>109.943</v>
      </c>
      <c r="AG665">
        <v>113.462</v>
      </c>
      <c r="AH665">
        <v>119.72199999999999</v>
      </c>
      <c r="AI665">
        <v>126.699</v>
      </c>
      <c r="AJ665">
        <v>132.97</v>
      </c>
      <c r="AK665">
        <v>137.07900000000001</v>
      </c>
      <c r="AL665">
        <v>147.42699999999999</v>
      </c>
      <c r="AM665">
        <v>151.51599999999999</v>
      </c>
      <c r="AN665">
        <v>157.91300000000001</v>
      </c>
      <c r="AO665">
        <v>164.26400000000001</v>
      </c>
      <c r="AP665">
        <v>167.49700000000001</v>
      </c>
      <c r="AQ665">
        <v>170.995</v>
      </c>
      <c r="AR665">
        <v>176.476</v>
      </c>
      <c r="AS665">
        <v>178.154</v>
      </c>
      <c r="AT665">
        <v>184.089</v>
      </c>
      <c r="AU665">
        <v>190.458</v>
      </c>
      <c r="AV665">
        <v>197.12299999999999</v>
      </c>
      <c r="AW665">
        <v>204.001</v>
      </c>
      <c r="AX665">
        <v>211.178</v>
      </c>
      <c r="AY665">
        <v>2014</v>
      </c>
    </row>
    <row r="666" spans="1:51" x14ac:dyDescent="0.25">
      <c r="A666">
        <v>566</v>
      </c>
      <c r="B666" t="s">
        <v>704</v>
      </c>
      <c r="C666" t="s">
        <v>298</v>
      </c>
      <c r="D666" t="s">
        <v>180</v>
      </c>
      <c r="E666" t="s">
        <v>299</v>
      </c>
      <c r="F666" t="s">
        <v>300</v>
      </c>
      <c r="G666" t="s">
        <v>282</v>
      </c>
      <c r="H666" t="s">
        <v>283</v>
      </c>
      <c r="I666" t="s">
        <v>706</v>
      </c>
      <c r="J666" t="s">
        <v>285</v>
      </c>
      <c r="K666" t="s">
        <v>285</v>
      </c>
      <c r="L666" t="s">
        <v>285</v>
      </c>
      <c r="M666" t="s">
        <v>285</v>
      </c>
      <c r="N666" t="s">
        <v>285</v>
      </c>
      <c r="O666" t="s">
        <v>285</v>
      </c>
      <c r="P666" t="s">
        <v>285</v>
      </c>
      <c r="Q666" t="s">
        <v>285</v>
      </c>
      <c r="R666" t="s">
        <v>285</v>
      </c>
      <c r="S666">
        <v>166.279</v>
      </c>
      <c r="T666">
        <v>230.971</v>
      </c>
      <c r="U666">
        <v>256.73500000000001</v>
      </c>
      <c r="V666">
        <v>283.96899999999999</v>
      </c>
      <c r="W666">
        <v>295.94900000000001</v>
      </c>
      <c r="X666">
        <v>380.39800000000002</v>
      </c>
      <c r="Y666">
        <v>415.78399999999999</v>
      </c>
      <c r="Z666">
        <v>486.84500000000003</v>
      </c>
      <c r="AA666">
        <v>562.63499999999999</v>
      </c>
      <c r="AB666">
        <v>619.50800000000004</v>
      </c>
      <c r="AC666">
        <v>694.59400000000005</v>
      </c>
      <c r="AD666">
        <v>769.43100000000004</v>
      </c>
      <c r="AE666">
        <v>845.78899999999999</v>
      </c>
      <c r="AF666">
        <v>894.36599999999999</v>
      </c>
      <c r="AG666">
        <v>962.96299999999997</v>
      </c>
      <c r="AH666" s="21">
        <v>1031.2339999999999</v>
      </c>
      <c r="AI666" s="21">
        <v>1108.9559999999999</v>
      </c>
      <c r="AJ666" s="21">
        <v>1197.566</v>
      </c>
      <c r="AK666" s="21">
        <v>1308.915</v>
      </c>
      <c r="AL666" s="21">
        <v>1439.71</v>
      </c>
      <c r="AM666" s="21">
        <v>1611.742</v>
      </c>
      <c r="AN666" s="21">
        <v>1724.6320000000001</v>
      </c>
      <c r="AO666" s="21">
        <v>1747.2919999999999</v>
      </c>
      <c r="AP666" s="21">
        <v>1997.7829999999999</v>
      </c>
      <c r="AQ666" s="21">
        <v>2152.2190000000001</v>
      </c>
      <c r="AR666" s="21">
        <v>2329.2579999999998</v>
      </c>
      <c r="AS666" s="21">
        <v>2661.5419999999999</v>
      </c>
      <c r="AT666" s="21">
        <v>3023.9769999999999</v>
      </c>
      <c r="AU666" s="21">
        <v>3351.96</v>
      </c>
      <c r="AV666" s="21">
        <v>3724.7089999999998</v>
      </c>
      <c r="AW666" s="21">
        <v>4133.0129999999999</v>
      </c>
      <c r="AX666" s="21">
        <v>4574.692</v>
      </c>
      <c r="AY666">
        <v>2014</v>
      </c>
    </row>
    <row r="667" spans="1:51" x14ac:dyDescent="0.25">
      <c r="A667">
        <v>964</v>
      </c>
      <c r="B667" t="s">
        <v>707</v>
      </c>
      <c r="C667" t="s">
        <v>279</v>
      </c>
      <c r="D667" t="s">
        <v>181</v>
      </c>
      <c r="E667" t="s">
        <v>280</v>
      </c>
      <c r="F667" t="s">
        <v>281</v>
      </c>
      <c r="G667" t="s">
        <v>282</v>
      </c>
      <c r="H667" t="s">
        <v>283</v>
      </c>
      <c r="I667" t="s">
        <v>708</v>
      </c>
      <c r="J667">
        <v>691.30600000000004</v>
      </c>
      <c r="K667">
        <v>622.17499999999995</v>
      </c>
      <c r="L667">
        <v>592.02300000000002</v>
      </c>
      <c r="M667">
        <v>625.17600000000004</v>
      </c>
      <c r="N667">
        <v>622.88800000000003</v>
      </c>
      <c r="O667">
        <v>646.94200000000001</v>
      </c>
      <c r="P667">
        <v>669.54899999999998</v>
      </c>
      <c r="Q667">
        <v>684.95899999999995</v>
      </c>
      <c r="R667">
        <v>707.46199999999999</v>
      </c>
      <c r="S667">
        <v>734.43100000000004</v>
      </c>
      <c r="T667">
        <v>681.76599999999996</v>
      </c>
      <c r="U667">
        <v>634.005</v>
      </c>
      <c r="V667">
        <v>646.89300000000003</v>
      </c>
      <c r="W667">
        <v>674.62800000000004</v>
      </c>
      <c r="X667">
        <v>709.97199999999998</v>
      </c>
      <c r="Y667">
        <v>757.73699999999997</v>
      </c>
      <c r="Z667">
        <v>805.01300000000003</v>
      </c>
      <c r="AA667">
        <v>862.05899999999997</v>
      </c>
      <c r="AB667">
        <v>905.00400000000002</v>
      </c>
      <c r="AC667">
        <v>945.94899999999996</v>
      </c>
      <c r="AD667">
        <v>986.24400000000003</v>
      </c>
      <c r="AE667">
        <v>998.13099999999997</v>
      </c>
      <c r="AF667" s="21">
        <v>1012.539</v>
      </c>
      <c r="AG667" s="21">
        <v>1048.6099999999999</v>
      </c>
      <c r="AH667" s="21">
        <v>1102.463</v>
      </c>
      <c r="AI667" s="21">
        <v>1141.567</v>
      </c>
      <c r="AJ667" s="21">
        <v>1212.261</v>
      </c>
      <c r="AK667" s="21">
        <v>1299.5640000000001</v>
      </c>
      <c r="AL667" s="21">
        <v>1350.5119999999999</v>
      </c>
      <c r="AM667" s="21">
        <v>1386.087</v>
      </c>
      <c r="AN667" s="21">
        <v>1437.357</v>
      </c>
      <c r="AO667" s="21">
        <v>1505.8009999999999</v>
      </c>
      <c r="AP667" s="21">
        <v>1532.319</v>
      </c>
      <c r="AQ667" s="21">
        <v>1558.8040000000001</v>
      </c>
      <c r="AR667" s="21">
        <v>1612.4939999999999</v>
      </c>
      <c r="AS667" s="21">
        <v>1669.3779999999999</v>
      </c>
      <c r="AT667" s="21">
        <v>1727.8489999999999</v>
      </c>
      <c r="AU667" s="21">
        <v>1789.7739999999999</v>
      </c>
      <c r="AV667" s="21">
        <v>1853.4749999999999</v>
      </c>
      <c r="AW667" s="21">
        <v>1919.6020000000001</v>
      </c>
      <c r="AX667" s="21">
        <v>1988.616</v>
      </c>
      <c r="AY667">
        <v>2014</v>
      </c>
    </row>
    <row r="668" spans="1:51" x14ac:dyDescent="0.25">
      <c r="A668">
        <v>964</v>
      </c>
      <c r="B668" t="s">
        <v>707</v>
      </c>
      <c r="C668" t="s">
        <v>286</v>
      </c>
      <c r="D668" t="s">
        <v>181</v>
      </c>
      <c r="E668" t="s">
        <v>287</v>
      </c>
      <c r="F668" t="s">
        <v>288</v>
      </c>
      <c r="G668" t="s">
        <v>282</v>
      </c>
      <c r="H668" t="s">
        <v>283</v>
      </c>
      <c r="I668" t="s">
        <v>708</v>
      </c>
      <c r="J668">
        <v>0.25</v>
      </c>
      <c r="K668">
        <v>0.27400000000000002</v>
      </c>
      <c r="L668">
        <v>0.55300000000000005</v>
      </c>
      <c r="M668">
        <v>0.69</v>
      </c>
      <c r="N668">
        <v>0.85499999999999998</v>
      </c>
      <c r="O668">
        <v>1.0409999999999999</v>
      </c>
      <c r="P668">
        <v>1.2909999999999999</v>
      </c>
      <c r="Q668">
        <v>1.6890000000000001</v>
      </c>
      <c r="R668">
        <v>2.9540000000000002</v>
      </c>
      <c r="S668">
        <v>9.6259999999999994</v>
      </c>
      <c r="T668">
        <v>58.98</v>
      </c>
      <c r="U668">
        <v>85.141999999999996</v>
      </c>
      <c r="V668">
        <v>120.925</v>
      </c>
      <c r="W668">
        <v>163.96899999999999</v>
      </c>
      <c r="X668">
        <v>235.64</v>
      </c>
      <c r="Y668">
        <v>337.22199999999998</v>
      </c>
      <c r="Z668">
        <v>422.43599999999998</v>
      </c>
      <c r="AA668">
        <v>515.35299999999995</v>
      </c>
      <c r="AB668">
        <v>600.90200000000004</v>
      </c>
      <c r="AC668">
        <v>665.68899999999996</v>
      </c>
      <c r="AD668">
        <v>744.37800000000004</v>
      </c>
      <c r="AE668">
        <v>779.56399999999996</v>
      </c>
      <c r="AF668">
        <v>810.61699999999996</v>
      </c>
      <c r="AG668">
        <v>845.93</v>
      </c>
      <c r="AH668">
        <v>927.30600000000004</v>
      </c>
      <c r="AI668">
        <v>984.91899999999998</v>
      </c>
      <c r="AJ668" s="21">
        <v>1065.2090000000001</v>
      </c>
      <c r="AK668" s="21">
        <v>1186.7729999999999</v>
      </c>
      <c r="AL668" s="21">
        <v>1277.3219999999999</v>
      </c>
      <c r="AM668" s="21">
        <v>1361.85</v>
      </c>
      <c r="AN668" s="21">
        <v>1437.357</v>
      </c>
      <c r="AO668" s="21">
        <v>1553.5820000000001</v>
      </c>
      <c r="AP668" s="21">
        <v>1615.894</v>
      </c>
      <c r="AQ668" s="21">
        <v>1662.6780000000001</v>
      </c>
      <c r="AR668" s="21">
        <v>1728.6769999999999</v>
      </c>
      <c r="AS668" s="21">
        <v>1789.6690000000001</v>
      </c>
      <c r="AT668" s="21">
        <v>1881.42</v>
      </c>
      <c r="AU668" s="21">
        <v>1978.184</v>
      </c>
      <c r="AV668" s="21">
        <v>2091.4499999999998</v>
      </c>
      <c r="AW668" s="21">
        <v>2216.8739999999998</v>
      </c>
      <c r="AX668" s="21">
        <v>2350.643</v>
      </c>
      <c r="AY668">
        <v>2014</v>
      </c>
    </row>
    <row r="669" spans="1:51" x14ac:dyDescent="0.25">
      <c r="A669">
        <v>964</v>
      </c>
      <c r="B669" t="s">
        <v>707</v>
      </c>
      <c r="C669" t="s">
        <v>289</v>
      </c>
      <c r="D669" t="s">
        <v>181</v>
      </c>
      <c r="E669" t="s">
        <v>287</v>
      </c>
      <c r="F669" t="s">
        <v>290</v>
      </c>
      <c r="G669" t="s">
        <v>291</v>
      </c>
      <c r="H669" t="s">
        <v>283</v>
      </c>
      <c r="I669" t="s">
        <v>292</v>
      </c>
      <c r="J669">
        <v>56.619</v>
      </c>
      <c r="K669">
        <v>53.646999999999998</v>
      </c>
      <c r="L669">
        <v>65.186999999999998</v>
      </c>
      <c r="M669">
        <v>75.406000000000006</v>
      </c>
      <c r="N669">
        <v>75.507000000000005</v>
      </c>
      <c r="O669">
        <v>70.775000000000006</v>
      </c>
      <c r="P669">
        <v>73.677000000000007</v>
      </c>
      <c r="Q669">
        <v>63.713999999999999</v>
      </c>
      <c r="R669">
        <v>68.611999999999995</v>
      </c>
      <c r="S669">
        <v>66.894999999999996</v>
      </c>
      <c r="T669">
        <v>62.084000000000003</v>
      </c>
      <c r="U669">
        <v>80.450999999999993</v>
      </c>
      <c r="V669">
        <v>88.712999999999994</v>
      </c>
      <c r="W669">
        <v>90.366</v>
      </c>
      <c r="X669">
        <v>103.68300000000001</v>
      </c>
      <c r="Y669">
        <v>139.089</v>
      </c>
      <c r="Z669">
        <v>156.684</v>
      </c>
      <c r="AA669">
        <v>157.18299999999999</v>
      </c>
      <c r="AB669">
        <v>172.05</v>
      </c>
      <c r="AC669">
        <v>167.79900000000001</v>
      </c>
      <c r="AD669">
        <v>171.27600000000001</v>
      </c>
      <c r="AE669">
        <v>190.43</v>
      </c>
      <c r="AF669">
        <v>198.679</v>
      </c>
      <c r="AG669">
        <v>217.51400000000001</v>
      </c>
      <c r="AH669">
        <v>253.709</v>
      </c>
      <c r="AI669">
        <v>304.43</v>
      </c>
      <c r="AJ669">
        <v>343.25200000000001</v>
      </c>
      <c r="AK669">
        <v>429.15199999999999</v>
      </c>
      <c r="AL669">
        <v>530.02300000000002</v>
      </c>
      <c r="AM669">
        <v>436.80900000000003</v>
      </c>
      <c r="AN669">
        <v>476.524</v>
      </c>
      <c r="AO669">
        <v>524.10500000000002</v>
      </c>
      <c r="AP669">
        <v>496.69299999999998</v>
      </c>
      <c r="AQ669">
        <v>526.23900000000003</v>
      </c>
      <c r="AR669">
        <v>547.89400000000001</v>
      </c>
      <c r="AS669">
        <v>481.23500000000001</v>
      </c>
      <c r="AT669">
        <v>508.85700000000003</v>
      </c>
      <c r="AU669">
        <v>540.18600000000004</v>
      </c>
      <c r="AV669">
        <v>577.05499999999995</v>
      </c>
      <c r="AW669">
        <v>617.51300000000003</v>
      </c>
      <c r="AX669">
        <v>663.51900000000001</v>
      </c>
      <c r="AY669">
        <v>2014</v>
      </c>
    </row>
    <row r="670" spans="1:51" x14ac:dyDescent="0.25">
      <c r="A670">
        <v>964</v>
      </c>
      <c r="B670" t="s">
        <v>707</v>
      </c>
      <c r="C670" t="s">
        <v>293</v>
      </c>
      <c r="D670" t="s">
        <v>181</v>
      </c>
      <c r="E670" t="s">
        <v>294</v>
      </c>
      <c r="F670" t="s">
        <v>295</v>
      </c>
      <c r="G670" t="s">
        <v>296</v>
      </c>
      <c r="I670" t="s">
        <v>297</v>
      </c>
      <c r="J670">
        <v>3.5999999999999997E-2</v>
      </c>
      <c r="K670">
        <v>4.3999999999999997E-2</v>
      </c>
      <c r="L670">
        <v>9.2999999999999999E-2</v>
      </c>
      <c r="M670">
        <v>0.11</v>
      </c>
      <c r="N670">
        <v>0.13700000000000001</v>
      </c>
      <c r="O670">
        <v>0.161</v>
      </c>
      <c r="P670">
        <v>0.193</v>
      </c>
      <c r="Q670">
        <v>0.247</v>
      </c>
      <c r="R670">
        <v>0.41799999999999998</v>
      </c>
      <c r="S670">
        <v>1.3109999999999999</v>
      </c>
      <c r="T670">
        <v>8.6509999999999998</v>
      </c>
      <c r="U670">
        <v>13.429</v>
      </c>
      <c r="V670">
        <v>18.693000000000001</v>
      </c>
      <c r="W670">
        <v>24.305</v>
      </c>
      <c r="X670">
        <v>33.19</v>
      </c>
      <c r="Y670">
        <v>44.503999999999998</v>
      </c>
      <c r="Z670">
        <v>52.475999999999999</v>
      </c>
      <c r="AA670">
        <v>59.781999999999996</v>
      </c>
      <c r="AB670">
        <v>66.397999999999996</v>
      </c>
      <c r="AC670">
        <v>70.373000000000005</v>
      </c>
      <c r="AD670">
        <v>75.475999999999999</v>
      </c>
      <c r="AE670">
        <v>78.102000000000004</v>
      </c>
      <c r="AF670">
        <v>80.058000000000007</v>
      </c>
      <c r="AG670">
        <v>80.671999999999997</v>
      </c>
      <c r="AH670">
        <v>84.111999999999995</v>
      </c>
      <c r="AI670">
        <v>86.278000000000006</v>
      </c>
      <c r="AJ670">
        <v>87.87</v>
      </c>
      <c r="AK670">
        <v>91.320999999999998</v>
      </c>
      <c r="AL670">
        <v>94.581000000000003</v>
      </c>
      <c r="AM670">
        <v>98.251000000000005</v>
      </c>
      <c r="AN670">
        <v>100</v>
      </c>
      <c r="AO670">
        <v>103.173</v>
      </c>
      <c r="AP670">
        <v>105.45399999999999</v>
      </c>
      <c r="AQ670">
        <v>106.664</v>
      </c>
      <c r="AR670">
        <v>107.205</v>
      </c>
      <c r="AS670">
        <v>107.206</v>
      </c>
      <c r="AT670">
        <v>108.88800000000001</v>
      </c>
      <c r="AU670">
        <v>110.527</v>
      </c>
      <c r="AV670">
        <v>112.839</v>
      </c>
      <c r="AW670">
        <v>115.486</v>
      </c>
      <c r="AX670">
        <v>118.205</v>
      </c>
      <c r="AY670">
        <v>2014</v>
      </c>
    </row>
    <row r="671" spans="1:51" x14ac:dyDescent="0.25">
      <c r="A671">
        <v>964</v>
      </c>
      <c r="B671" t="s">
        <v>707</v>
      </c>
      <c r="C671" t="s">
        <v>298</v>
      </c>
      <c r="D671" t="s">
        <v>181</v>
      </c>
      <c r="E671" t="s">
        <v>299</v>
      </c>
      <c r="F671" t="s">
        <v>300</v>
      </c>
      <c r="G671" t="s">
        <v>282</v>
      </c>
      <c r="H671" t="s">
        <v>283</v>
      </c>
      <c r="I671" t="s">
        <v>709</v>
      </c>
      <c r="J671" t="s">
        <v>285</v>
      </c>
      <c r="K671" t="s">
        <v>285</v>
      </c>
      <c r="L671" t="s">
        <v>285</v>
      </c>
      <c r="M671" t="s">
        <v>285</v>
      </c>
      <c r="N671" t="s">
        <v>285</v>
      </c>
      <c r="O671" t="s">
        <v>285</v>
      </c>
      <c r="P671" t="s">
        <v>285</v>
      </c>
      <c r="Q671" t="s">
        <v>285</v>
      </c>
      <c r="R671" t="s">
        <v>285</v>
      </c>
      <c r="S671" t="s">
        <v>285</v>
      </c>
      <c r="T671" t="s">
        <v>285</v>
      </c>
      <c r="U671" t="s">
        <v>285</v>
      </c>
      <c r="V671" t="s">
        <v>285</v>
      </c>
      <c r="W671" t="s">
        <v>285</v>
      </c>
      <c r="X671" t="s">
        <v>285</v>
      </c>
      <c r="Y671">
        <v>160.905</v>
      </c>
      <c r="Z671">
        <v>215.46899999999999</v>
      </c>
      <c r="AA671">
        <v>238.86600000000001</v>
      </c>
      <c r="AB671">
        <v>266.01299999999998</v>
      </c>
      <c r="AC671">
        <v>284.36900000000003</v>
      </c>
      <c r="AD671">
        <v>305.79700000000003</v>
      </c>
      <c r="AE671">
        <v>341.47399999999999</v>
      </c>
      <c r="AF671">
        <v>357.858</v>
      </c>
      <c r="AG671">
        <v>376.69799999999998</v>
      </c>
      <c r="AH671">
        <v>394.07</v>
      </c>
      <c r="AI671">
        <v>441.01</v>
      </c>
      <c r="AJ671">
        <v>481.13499999999999</v>
      </c>
      <c r="AK671">
        <v>513.779</v>
      </c>
      <c r="AL671">
        <v>566.10299999999995</v>
      </c>
      <c r="AM671">
        <v>614.59</v>
      </c>
      <c r="AN671">
        <v>659.41600000000005</v>
      </c>
      <c r="AO671">
        <v>682.64099999999996</v>
      </c>
      <c r="AP671">
        <v>693.077</v>
      </c>
      <c r="AQ671">
        <v>701.61599999999999</v>
      </c>
      <c r="AR671">
        <v>722.87800000000004</v>
      </c>
      <c r="AS671">
        <v>748.32899999999995</v>
      </c>
      <c r="AT671">
        <v>778.30600000000004</v>
      </c>
      <c r="AU671">
        <v>815.98599999999999</v>
      </c>
      <c r="AV671">
        <v>857.78200000000004</v>
      </c>
      <c r="AW671">
        <v>906.82299999999998</v>
      </c>
      <c r="AX671">
        <v>962.88499999999999</v>
      </c>
      <c r="AY671">
        <v>2014</v>
      </c>
    </row>
    <row r="672" spans="1:51" x14ac:dyDescent="0.25">
      <c r="A672">
        <v>182</v>
      </c>
      <c r="B672" t="s">
        <v>710</v>
      </c>
      <c r="C672" t="s">
        <v>279</v>
      </c>
      <c r="D672" t="s">
        <v>182</v>
      </c>
      <c r="E672" t="s">
        <v>280</v>
      </c>
      <c r="F672" t="s">
        <v>281</v>
      </c>
      <c r="G672" t="s">
        <v>282</v>
      </c>
      <c r="H672" t="s">
        <v>283</v>
      </c>
      <c r="I672" t="s">
        <v>711</v>
      </c>
      <c r="J672">
        <v>85.796999999999997</v>
      </c>
      <c r="K672">
        <v>88.82</v>
      </c>
      <c r="L672">
        <v>90.741</v>
      </c>
      <c r="M672">
        <v>91.623000000000005</v>
      </c>
      <c r="N672">
        <v>90.668000000000006</v>
      </c>
      <c r="O672">
        <v>92.152000000000001</v>
      </c>
      <c r="P672">
        <v>95.210999999999999</v>
      </c>
      <c r="Q672">
        <v>102.47799999999999</v>
      </c>
      <c r="R672">
        <v>107.95</v>
      </c>
      <c r="S672">
        <v>115.127</v>
      </c>
      <c r="T672">
        <v>124.176</v>
      </c>
      <c r="U672">
        <v>128.36000000000001</v>
      </c>
      <c r="V672">
        <v>132.37799999999999</v>
      </c>
      <c r="W672">
        <v>131.46799999999999</v>
      </c>
      <c r="X672">
        <v>133.42599999999999</v>
      </c>
      <c r="Y672">
        <v>136.505</v>
      </c>
      <c r="Z672">
        <v>141.27799999999999</v>
      </c>
      <c r="AA672">
        <v>147.53100000000001</v>
      </c>
      <c r="AB672">
        <v>154.6</v>
      </c>
      <c r="AC672">
        <v>160.61199999999999</v>
      </c>
      <c r="AD672">
        <v>166.69499999999999</v>
      </c>
      <c r="AE672">
        <v>169.934</v>
      </c>
      <c r="AF672">
        <v>171.24100000000001</v>
      </c>
      <c r="AG672">
        <v>169.64099999999999</v>
      </c>
      <c r="AH672">
        <v>172.714</v>
      </c>
      <c r="AI672">
        <v>174.03800000000001</v>
      </c>
      <c r="AJ672">
        <v>176.74100000000001</v>
      </c>
      <c r="AK672">
        <v>181.14599999999999</v>
      </c>
      <c r="AL672">
        <v>181.50700000000001</v>
      </c>
      <c r="AM672">
        <v>176.101</v>
      </c>
      <c r="AN672">
        <v>179.44499999999999</v>
      </c>
      <c r="AO672">
        <v>176.167</v>
      </c>
      <c r="AP672">
        <v>169.07</v>
      </c>
      <c r="AQ672">
        <v>166.357</v>
      </c>
      <c r="AR672">
        <v>167.84100000000001</v>
      </c>
      <c r="AS672">
        <v>170.46100000000001</v>
      </c>
      <c r="AT672">
        <v>173.09299999999999</v>
      </c>
      <c r="AU672">
        <v>175.51599999999999</v>
      </c>
      <c r="AV672">
        <v>177.71</v>
      </c>
      <c r="AW672">
        <v>179.77099999999999</v>
      </c>
      <c r="AX672">
        <v>181.84</v>
      </c>
      <c r="AY672">
        <v>2014</v>
      </c>
    </row>
    <row r="673" spans="1:51" x14ac:dyDescent="0.25">
      <c r="A673">
        <v>182</v>
      </c>
      <c r="B673" t="s">
        <v>710</v>
      </c>
      <c r="C673" t="s">
        <v>286</v>
      </c>
      <c r="D673" t="s">
        <v>182</v>
      </c>
      <c r="E673" t="s">
        <v>287</v>
      </c>
      <c r="F673" t="s">
        <v>288</v>
      </c>
      <c r="G673" t="s">
        <v>282</v>
      </c>
      <c r="H673" t="s">
        <v>283</v>
      </c>
      <c r="I673" t="s">
        <v>711</v>
      </c>
      <c r="J673">
        <v>8.1379999999999999</v>
      </c>
      <c r="K673">
        <v>9.9250000000000007</v>
      </c>
      <c r="L673">
        <v>12.000999999999999</v>
      </c>
      <c r="M673">
        <v>15.333</v>
      </c>
      <c r="N673">
        <v>18.829000000000001</v>
      </c>
      <c r="O673">
        <v>23.114000000000001</v>
      </c>
      <c r="P673">
        <v>28.248000000000001</v>
      </c>
      <c r="Q673">
        <v>33.283000000000001</v>
      </c>
      <c r="R673">
        <v>39.728999999999999</v>
      </c>
      <c r="S673">
        <v>46.936</v>
      </c>
      <c r="T673">
        <v>56.356000000000002</v>
      </c>
      <c r="U673">
        <v>64.622</v>
      </c>
      <c r="V673">
        <v>72.652000000000001</v>
      </c>
      <c r="W673">
        <v>75.98</v>
      </c>
      <c r="X673">
        <v>82.379000000000005</v>
      </c>
      <c r="Y673">
        <v>89.037000000000006</v>
      </c>
      <c r="Z673">
        <v>94.350999999999999</v>
      </c>
      <c r="AA673">
        <v>102.357</v>
      </c>
      <c r="AB673">
        <v>111.38500000000001</v>
      </c>
      <c r="AC673">
        <v>119.639</v>
      </c>
      <c r="AD673">
        <v>128.46600000000001</v>
      </c>
      <c r="AE673">
        <v>135.828</v>
      </c>
      <c r="AF673">
        <v>142.631</v>
      </c>
      <c r="AG673">
        <v>146.15799999999999</v>
      </c>
      <c r="AH673">
        <v>152.37200000000001</v>
      </c>
      <c r="AI673">
        <v>158.65299999999999</v>
      </c>
      <c r="AJ673">
        <v>166.249</v>
      </c>
      <c r="AK673">
        <v>175.46799999999999</v>
      </c>
      <c r="AL673">
        <v>178.87299999999999</v>
      </c>
      <c r="AM673">
        <v>175.44800000000001</v>
      </c>
      <c r="AN673">
        <v>179.93</v>
      </c>
      <c r="AO673">
        <v>176.167</v>
      </c>
      <c r="AP673">
        <v>168.398</v>
      </c>
      <c r="AQ673">
        <v>169.39500000000001</v>
      </c>
      <c r="AR673">
        <v>173.04400000000001</v>
      </c>
      <c r="AS673">
        <v>177.524</v>
      </c>
      <c r="AT673">
        <v>182.654</v>
      </c>
      <c r="AU673">
        <v>187.578</v>
      </c>
      <c r="AV673">
        <v>192.55</v>
      </c>
      <c r="AW673">
        <v>197.64699999999999</v>
      </c>
      <c r="AX673">
        <v>203.09</v>
      </c>
      <c r="AY673">
        <v>2014</v>
      </c>
    </row>
    <row r="674" spans="1:51" x14ac:dyDescent="0.25">
      <c r="A674">
        <v>182</v>
      </c>
      <c r="B674" t="s">
        <v>710</v>
      </c>
      <c r="C674" t="s">
        <v>289</v>
      </c>
      <c r="D674" t="s">
        <v>182</v>
      </c>
      <c r="E674" t="s">
        <v>287</v>
      </c>
      <c r="F674" t="s">
        <v>290</v>
      </c>
      <c r="G674" t="s">
        <v>291</v>
      </c>
      <c r="H674" t="s">
        <v>283</v>
      </c>
      <c r="I674" t="s">
        <v>292</v>
      </c>
      <c r="J674">
        <v>32.610999999999997</v>
      </c>
      <c r="K674">
        <v>32.479999999999997</v>
      </c>
      <c r="L674">
        <v>30.681000000000001</v>
      </c>
      <c r="M674">
        <v>28.27</v>
      </c>
      <c r="N674">
        <v>25.954000000000001</v>
      </c>
      <c r="O674">
        <v>27.233000000000001</v>
      </c>
      <c r="P674">
        <v>37.872999999999998</v>
      </c>
      <c r="Q674">
        <v>47.390999999999998</v>
      </c>
      <c r="R674">
        <v>55.44</v>
      </c>
      <c r="S674">
        <v>59.811999999999998</v>
      </c>
      <c r="T674">
        <v>79.447000000000003</v>
      </c>
      <c r="U674">
        <v>89.912999999999997</v>
      </c>
      <c r="V674">
        <v>108.13</v>
      </c>
      <c r="W674">
        <v>95.149000000000001</v>
      </c>
      <c r="X674">
        <v>99.701999999999998</v>
      </c>
      <c r="Y674">
        <v>118.223</v>
      </c>
      <c r="Z674">
        <v>122.65900000000001</v>
      </c>
      <c r="AA674">
        <v>117.248</v>
      </c>
      <c r="AB674">
        <v>124.16800000000001</v>
      </c>
      <c r="AC674">
        <v>127.633</v>
      </c>
      <c r="AD674">
        <v>118.706</v>
      </c>
      <c r="AE674">
        <v>121.65</v>
      </c>
      <c r="AF674">
        <v>134.70400000000001</v>
      </c>
      <c r="AG674">
        <v>165.28</v>
      </c>
      <c r="AH674">
        <v>189.44399999999999</v>
      </c>
      <c r="AI674">
        <v>197.642</v>
      </c>
      <c r="AJ674">
        <v>208.75</v>
      </c>
      <c r="AK674">
        <v>240.50200000000001</v>
      </c>
      <c r="AL674">
        <v>263.24900000000002</v>
      </c>
      <c r="AM674">
        <v>244.364</v>
      </c>
      <c r="AN674">
        <v>238.74799999999999</v>
      </c>
      <c r="AO674">
        <v>245.119</v>
      </c>
      <c r="AP674">
        <v>216.488</v>
      </c>
      <c r="AQ674">
        <v>224.983</v>
      </c>
      <c r="AR674">
        <v>229.94800000000001</v>
      </c>
      <c r="AS674">
        <v>197.51</v>
      </c>
      <c r="AT674">
        <v>204.18600000000001</v>
      </c>
      <c r="AU674">
        <v>212.01499999999999</v>
      </c>
      <c r="AV674">
        <v>219.857</v>
      </c>
      <c r="AW674">
        <v>227.453</v>
      </c>
      <c r="AX674">
        <v>237.17099999999999</v>
      </c>
      <c r="AY674">
        <v>2014</v>
      </c>
    </row>
    <row r="675" spans="1:51" x14ac:dyDescent="0.25">
      <c r="A675">
        <v>182</v>
      </c>
      <c r="B675" t="s">
        <v>710</v>
      </c>
      <c r="C675" t="s">
        <v>293</v>
      </c>
      <c r="D675" t="s">
        <v>182</v>
      </c>
      <c r="E675" t="s">
        <v>294</v>
      </c>
      <c r="F675" t="s">
        <v>295</v>
      </c>
      <c r="G675" t="s">
        <v>296</v>
      </c>
      <c r="I675" t="s">
        <v>297</v>
      </c>
      <c r="J675">
        <v>9.4849999999999994</v>
      </c>
      <c r="K675">
        <v>11.173999999999999</v>
      </c>
      <c r="L675">
        <v>13.225</v>
      </c>
      <c r="M675">
        <v>16.734999999999999</v>
      </c>
      <c r="N675">
        <v>20.766999999999999</v>
      </c>
      <c r="O675">
        <v>25.082999999999998</v>
      </c>
      <c r="P675">
        <v>29.669</v>
      </c>
      <c r="Q675">
        <v>32.478000000000002</v>
      </c>
      <c r="R675">
        <v>36.802999999999997</v>
      </c>
      <c r="S675">
        <v>40.768999999999998</v>
      </c>
      <c r="T675">
        <v>45.384</v>
      </c>
      <c r="U675">
        <v>50.344000000000001</v>
      </c>
      <c r="V675">
        <v>54.881999999999998</v>
      </c>
      <c r="W675">
        <v>57.793999999999997</v>
      </c>
      <c r="X675">
        <v>61.741999999999997</v>
      </c>
      <c r="Y675">
        <v>65.227000000000004</v>
      </c>
      <c r="Z675">
        <v>66.784000000000006</v>
      </c>
      <c r="AA675">
        <v>69.38</v>
      </c>
      <c r="AB675">
        <v>72.046999999999997</v>
      </c>
      <c r="AC675">
        <v>74.489999999999995</v>
      </c>
      <c r="AD675">
        <v>77.066999999999993</v>
      </c>
      <c r="AE675">
        <v>79.930000000000007</v>
      </c>
      <c r="AF675">
        <v>83.293000000000006</v>
      </c>
      <c r="AG675">
        <v>86.158000000000001</v>
      </c>
      <c r="AH675">
        <v>88.221999999999994</v>
      </c>
      <c r="AI675">
        <v>91.16</v>
      </c>
      <c r="AJ675">
        <v>94.063000000000002</v>
      </c>
      <c r="AK675">
        <v>96.866</v>
      </c>
      <c r="AL675">
        <v>98.549000000000007</v>
      </c>
      <c r="AM675">
        <v>99.629000000000005</v>
      </c>
      <c r="AN675">
        <v>100.27</v>
      </c>
      <c r="AO675">
        <v>100</v>
      </c>
      <c r="AP675">
        <v>99.602000000000004</v>
      </c>
      <c r="AQ675">
        <v>101.82599999999999</v>
      </c>
      <c r="AR675">
        <v>103.1</v>
      </c>
      <c r="AS675">
        <v>104.14400000000001</v>
      </c>
      <c r="AT675">
        <v>105.524</v>
      </c>
      <c r="AU675">
        <v>106.872</v>
      </c>
      <c r="AV675">
        <v>108.351</v>
      </c>
      <c r="AW675">
        <v>109.944</v>
      </c>
      <c r="AX675">
        <v>111.68600000000001</v>
      </c>
      <c r="AY675">
        <v>2014</v>
      </c>
    </row>
    <row r="676" spans="1:51" x14ac:dyDescent="0.25">
      <c r="A676">
        <v>182</v>
      </c>
      <c r="B676" t="s">
        <v>710</v>
      </c>
      <c r="C676" t="s">
        <v>298</v>
      </c>
      <c r="D676" t="s">
        <v>182</v>
      </c>
      <c r="E676" t="s">
        <v>299</v>
      </c>
      <c r="F676" t="s">
        <v>300</v>
      </c>
      <c r="G676" t="s">
        <v>282</v>
      </c>
      <c r="H676" t="s">
        <v>283</v>
      </c>
      <c r="I676" t="s">
        <v>712</v>
      </c>
      <c r="J676" t="s">
        <v>285</v>
      </c>
      <c r="K676" t="s">
        <v>285</v>
      </c>
      <c r="L676" t="s">
        <v>285</v>
      </c>
      <c r="M676" t="s">
        <v>285</v>
      </c>
      <c r="N676" t="s">
        <v>285</v>
      </c>
      <c r="O676" t="s">
        <v>285</v>
      </c>
      <c r="P676">
        <v>14.833</v>
      </c>
      <c r="Q676">
        <v>15.233000000000001</v>
      </c>
      <c r="R676">
        <v>16.768000000000001</v>
      </c>
      <c r="S676">
        <v>19.47</v>
      </c>
      <c r="T676">
        <v>23.78</v>
      </c>
      <c r="U676">
        <v>29.709</v>
      </c>
      <c r="V676">
        <v>35.057000000000002</v>
      </c>
      <c r="W676">
        <v>35.341000000000001</v>
      </c>
      <c r="X676">
        <v>35.252000000000002</v>
      </c>
      <c r="Y676">
        <v>37.951000000000001</v>
      </c>
      <c r="Z676">
        <v>40.712000000000003</v>
      </c>
      <c r="AA676">
        <v>43.448999999999998</v>
      </c>
      <c r="AB676">
        <v>47.56</v>
      </c>
      <c r="AC676">
        <v>50.91</v>
      </c>
      <c r="AD676">
        <v>54.783000000000001</v>
      </c>
      <c r="AE676">
        <v>59.917999999999999</v>
      </c>
      <c r="AF676">
        <v>62.356000000000002</v>
      </c>
      <c r="AG676">
        <v>66.242999999999995</v>
      </c>
      <c r="AH676">
        <v>70.188999999999993</v>
      </c>
      <c r="AI676">
        <v>74.054000000000002</v>
      </c>
      <c r="AJ676">
        <v>71.328000000000003</v>
      </c>
      <c r="AK676">
        <v>78.06</v>
      </c>
      <c r="AL676">
        <v>81.093000000000004</v>
      </c>
      <c r="AM676">
        <v>88.116</v>
      </c>
      <c r="AN676">
        <v>93.236999999999995</v>
      </c>
      <c r="AO676">
        <v>88.048000000000002</v>
      </c>
      <c r="AP676">
        <v>81.611000000000004</v>
      </c>
      <c r="AQ676">
        <v>84.817999999999998</v>
      </c>
      <c r="AR676">
        <v>84.728999999999999</v>
      </c>
      <c r="AS676">
        <v>85.018000000000001</v>
      </c>
      <c r="AT676">
        <v>86.81</v>
      </c>
      <c r="AU676">
        <v>88.653000000000006</v>
      </c>
      <c r="AV676">
        <v>90.72</v>
      </c>
      <c r="AW676">
        <v>92.903000000000006</v>
      </c>
      <c r="AX676">
        <v>95.308999999999997</v>
      </c>
      <c r="AY676">
        <v>2014</v>
      </c>
    </row>
    <row r="677" spans="1:51" x14ac:dyDescent="0.25">
      <c r="A677">
        <v>453</v>
      </c>
      <c r="B677" t="s">
        <v>713</v>
      </c>
      <c r="C677" t="s">
        <v>279</v>
      </c>
      <c r="D677" t="s">
        <v>183</v>
      </c>
      <c r="E677" t="s">
        <v>280</v>
      </c>
      <c r="F677" t="s">
        <v>281</v>
      </c>
      <c r="G677" t="s">
        <v>282</v>
      </c>
      <c r="H677" t="s">
        <v>283</v>
      </c>
      <c r="I677" t="s">
        <v>714</v>
      </c>
      <c r="J677">
        <v>107.581</v>
      </c>
      <c r="K677">
        <v>103.39100000000001</v>
      </c>
      <c r="L677">
        <v>94.903000000000006</v>
      </c>
      <c r="M677">
        <v>89.844999999999999</v>
      </c>
      <c r="N677">
        <v>104.21</v>
      </c>
      <c r="O677">
        <v>90.631</v>
      </c>
      <c r="P677">
        <v>93.99</v>
      </c>
      <c r="Q677">
        <v>94.835999999999999</v>
      </c>
      <c r="R677">
        <v>99.293000000000006</v>
      </c>
      <c r="S677">
        <v>104.55500000000001</v>
      </c>
      <c r="T677">
        <v>89.244</v>
      </c>
      <c r="U677">
        <v>87.760999999999996</v>
      </c>
      <c r="V677">
        <v>97.703999999999994</v>
      </c>
      <c r="W677">
        <v>96.41</v>
      </c>
      <c r="X677">
        <v>97.777000000000001</v>
      </c>
      <c r="Y677">
        <v>100.123</v>
      </c>
      <c r="Z677">
        <v>104.503</v>
      </c>
      <c r="AA677">
        <v>135.86600000000001</v>
      </c>
      <c r="AB677">
        <v>151.108</v>
      </c>
      <c r="AC677">
        <v>157.58199999999999</v>
      </c>
      <c r="AD677">
        <v>170.233</v>
      </c>
      <c r="AE677">
        <v>176.869</v>
      </c>
      <c r="AF677">
        <v>189.572</v>
      </c>
      <c r="AG677">
        <v>196.624</v>
      </c>
      <c r="AH677">
        <v>234.41300000000001</v>
      </c>
      <c r="AI677">
        <v>251.977</v>
      </c>
      <c r="AJ677">
        <v>317.92</v>
      </c>
      <c r="AK677">
        <v>375.1</v>
      </c>
      <c r="AL677">
        <v>441.35599999999999</v>
      </c>
      <c r="AM677">
        <v>494.12700000000001</v>
      </c>
      <c r="AN677">
        <v>590.93799999999999</v>
      </c>
      <c r="AO677">
        <v>669.97699999999998</v>
      </c>
      <c r="AP677">
        <v>702.66899999999998</v>
      </c>
      <c r="AQ677">
        <v>734.86300000000006</v>
      </c>
      <c r="AR677">
        <v>764.09699999999998</v>
      </c>
      <c r="AS677">
        <v>799.98500000000001</v>
      </c>
      <c r="AT677">
        <v>839.55700000000002</v>
      </c>
      <c r="AU677">
        <v>874.56399999999996</v>
      </c>
      <c r="AV677">
        <v>906.40499999999997</v>
      </c>
      <c r="AW677">
        <v>936.25099999999998</v>
      </c>
      <c r="AX677">
        <v>962.28099999999995</v>
      </c>
      <c r="AY677">
        <v>2014</v>
      </c>
    </row>
    <row r="678" spans="1:51" x14ac:dyDescent="0.25">
      <c r="A678">
        <v>453</v>
      </c>
      <c r="B678" t="s">
        <v>713</v>
      </c>
      <c r="C678" t="s">
        <v>286</v>
      </c>
      <c r="D678" t="s">
        <v>183</v>
      </c>
      <c r="E678" t="s">
        <v>287</v>
      </c>
      <c r="F678" t="s">
        <v>288</v>
      </c>
      <c r="G678" t="s">
        <v>282</v>
      </c>
      <c r="H678" t="s">
        <v>283</v>
      </c>
      <c r="I678" t="s">
        <v>714</v>
      </c>
      <c r="J678">
        <v>28.631</v>
      </c>
      <c r="K678">
        <v>31.527000000000001</v>
      </c>
      <c r="L678">
        <v>27.652000000000001</v>
      </c>
      <c r="M678">
        <v>23.542000000000002</v>
      </c>
      <c r="N678">
        <v>24.404</v>
      </c>
      <c r="O678">
        <v>22.829000000000001</v>
      </c>
      <c r="P678">
        <v>18.018000000000001</v>
      </c>
      <c r="Q678">
        <v>18.986999999999998</v>
      </c>
      <c r="R678">
        <v>18.213999999999999</v>
      </c>
      <c r="S678">
        <v>19.248000000000001</v>
      </c>
      <c r="T678">
        <v>26.792000000000002</v>
      </c>
      <c r="U678">
        <v>25.056000000000001</v>
      </c>
      <c r="V678">
        <v>27.832000000000001</v>
      </c>
      <c r="W678">
        <v>26.05</v>
      </c>
      <c r="X678">
        <v>26.843</v>
      </c>
      <c r="Y678">
        <v>29.622</v>
      </c>
      <c r="Z678">
        <v>32.975999999999999</v>
      </c>
      <c r="AA678">
        <v>41.124000000000002</v>
      </c>
      <c r="AB678">
        <v>37.33</v>
      </c>
      <c r="AC678">
        <v>45.110999999999997</v>
      </c>
      <c r="AD678">
        <v>64.646000000000001</v>
      </c>
      <c r="AE678">
        <v>63.84</v>
      </c>
      <c r="AF678">
        <v>70.483999999999995</v>
      </c>
      <c r="AG678">
        <v>85.662999999999997</v>
      </c>
      <c r="AH678">
        <v>115.512</v>
      </c>
      <c r="AI678">
        <v>162.09100000000001</v>
      </c>
      <c r="AJ678">
        <v>221.61099999999999</v>
      </c>
      <c r="AK678">
        <v>290.15199999999999</v>
      </c>
      <c r="AL678">
        <v>419.58300000000003</v>
      </c>
      <c r="AM678">
        <v>355.98599999999999</v>
      </c>
      <c r="AN678">
        <v>455.44499999999999</v>
      </c>
      <c r="AO678">
        <v>618.08900000000006</v>
      </c>
      <c r="AP678">
        <v>692.65499999999997</v>
      </c>
      <c r="AQ678">
        <v>734.86300000000006</v>
      </c>
      <c r="AR678">
        <v>764.79700000000003</v>
      </c>
      <c r="AS678">
        <v>699.16</v>
      </c>
      <c r="AT678">
        <v>699.65700000000004</v>
      </c>
      <c r="AU678">
        <v>772.12</v>
      </c>
      <c r="AV678">
        <v>846.91499999999996</v>
      </c>
      <c r="AW678">
        <v>914.11</v>
      </c>
      <c r="AX678">
        <v>973.75300000000004</v>
      </c>
      <c r="AY678">
        <v>2014</v>
      </c>
    </row>
    <row r="679" spans="1:51" x14ac:dyDescent="0.25">
      <c r="A679">
        <v>453</v>
      </c>
      <c r="B679" t="s">
        <v>713</v>
      </c>
      <c r="C679" t="s">
        <v>289</v>
      </c>
      <c r="D679" t="s">
        <v>183</v>
      </c>
      <c r="E679" t="s">
        <v>287</v>
      </c>
      <c r="F679" t="s">
        <v>290</v>
      </c>
      <c r="G679" t="s">
        <v>291</v>
      </c>
      <c r="H679" t="s">
        <v>283</v>
      </c>
      <c r="I679" t="s">
        <v>292</v>
      </c>
      <c r="J679">
        <v>7.8289999999999997</v>
      </c>
      <c r="K679">
        <v>8.6609999999999996</v>
      </c>
      <c r="L679">
        <v>7.5970000000000004</v>
      </c>
      <c r="M679">
        <v>6.468</v>
      </c>
      <c r="N679">
        <v>6.7039999999999997</v>
      </c>
      <c r="O679">
        <v>6.2720000000000002</v>
      </c>
      <c r="P679">
        <v>4.95</v>
      </c>
      <c r="Q679">
        <v>5.2160000000000002</v>
      </c>
      <c r="R679">
        <v>5.0039999999999996</v>
      </c>
      <c r="S679">
        <v>5.2880000000000003</v>
      </c>
      <c r="T679">
        <v>7.36</v>
      </c>
      <c r="U679">
        <v>6.8840000000000003</v>
      </c>
      <c r="V679">
        <v>7.6459999999999999</v>
      </c>
      <c r="W679">
        <v>7.157</v>
      </c>
      <c r="X679">
        <v>7.3739999999999997</v>
      </c>
      <c r="Y679">
        <v>8.1379999999999999</v>
      </c>
      <c r="Z679">
        <v>9.0589999999999993</v>
      </c>
      <c r="AA679">
        <v>11.298</v>
      </c>
      <c r="AB679">
        <v>10.255000000000001</v>
      </c>
      <c r="AC679">
        <v>12.393000000000001</v>
      </c>
      <c r="AD679">
        <v>17.760000000000002</v>
      </c>
      <c r="AE679">
        <v>17.538</v>
      </c>
      <c r="AF679">
        <v>19.364000000000001</v>
      </c>
      <c r="AG679">
        <v>23.533999999999999</v>
      </c>
      <c r="AH679">
        <v>31.734000000000002</v>
      </c>
      <c r="AI679">
        <v>44.53</v>
      </c>
      <c r="AJ679">
        <v>60.881999999999998</v>
      </c>
      <c r="AK679">
        <v>79.712000000000003</v>
      </c>
      <c r="AL679">
        <v>115.27</v>
      </c>
      <c r="AM679">
        <v>97.798000000000002</v>
      </c>
      <c r="AN679">
        <v>125.122</v>
      </c>
      <c r="AO679">
        <v>169.80500000000001</v>
      </c>
      <c r="AP679">
        <v>190.29</v>
      </c>
      <c r="AQ679">
        <v>201.88499999999999</v>
      </c>
      <c r="AR679">
        <v>210.10900000000001</v>
      </c>
      <c r="AS679">
        <v>192.077</v>
      </c>
      <c r="AT679">
        <v>192.214</v>
      </c>
      <c r="AU679">
        <v>212.12100000000001</v>
      </c>
      <c r="AV679">
        <v>232.66900000000001</v>
      </c>
      <c r="AW679">
        <v>251.12899999999999</v>
      </c>
      <c r="AX679">
        <v>267.51499999999999</v>
      </c>
      <c r="AY679">
        <v>2014</v>
      </c>
    </row>
    <row r="680" spans="1:51" x14ac:dyDescent="0.25">
      <c r="A680">
        <v>453</v>
      </c>
      <c r="B680" t="s">
        <v>713</v>
      </c>
      <c r="C680" t="s">
        <v>293</v>
      </c>
      <c r="D680" t="s">
        <v>183</v>
      </c>
      <c r="E680" t="s">
        <v>294</v>
      </c>
      <c r="F680" t="s">
        <v>295</v>
      </c>
      <c r="G680" t="s">
        <v>296</v>
      </c>
      <c r="I680" t="s">
        <v>297</v>
      </c>
      <c r="J680">
        <v>26.614000000000001</v>
      </c>
      <c r="K680">
        <v>30.492999999999999</v>
      </c>
      <c r="L680">
        <v>29.137</v>
      </c>
      <c r="M680">
        <v>26.202999999999999</v>
      </c>
      <c r="N680">
        <v>23.417999999999999</v>
      </c>
      <c r="O680">
        <v>25.189</v>
      </c>
      <c r="P680">
        <v>19.170000000000002</v>
      </c>
      <c r="Q680">
        <v>20.021000000000001</v>
      </c>
      <c r="R680">
        <v>18.344000000000001</v>
      </c>
      <c r="S680">
        <v>18.408999999999999</v>
      </c>
      <c r="T680">
        <v>30.021000000000001</v>
      </c>
      <c r="U680">
        <v>28.55</v>
      </c>
      <c r="V680">
        <v>28.486000000000001</v>
      </c>
      <c r="W680">
        <v>27.02</v>
      </c>
      <c r="X680">
        <v>27.452999999999999</v>
      </c>
      <c r="Y680">
        <v>29.585999999999999</v>
      </c>
      <c r="Z680">
        <v>31.555</v>
      </c>
      <c r="AA680">
        <v>30.268000000000001</v>
      </c>
      <c r="AB680">
        <v>24.704000000000001</v>
      </c>
      <c r="AC680">
        <v>28.626999999999999</v>
      </c>
      <c r="AD680">
        <v>37.975000000000001</v>
      </c>
      <c r="AE680">
        <v>36.094999999999999</v>
      </c>
      <c r="AF680">
        <v>37.180999999999997</v>
      </c>
      <c r="AG680">
        <v>43.567</v>
      </c>
      <c r="AH680">
        <v>49.277000000000001</v>
      </c>
      <c r="AI680">
        <v>64.328000000000003</v>
      </c>
      <c r="AJ680">
        <v>69.706999999999994</v>
      </c>
      <c r="AK680">
        <v>77.352999999999994</v>
      </c>
      <c r="AL680">
        <v>95.066999999999993</v>
      </c>
      <c r="AM680">
        <v>72.043000000000006</v>
      </c>
      <c r="AN680">
        <v>77.072000000000003</v>
      </c>
      <c r="AO680">
        <v>92.254999999999995</v>
      </c>
      <c r="AP680">
        <v>98.575000000000003</v>
      </c>
      <c r="AQ680">
        <v>100</v>
      </c>
      <c r="AR680">
        <v>100.092</v>
      </c>
      <c r="AS680">
        <v>87.397000000000006</v>
      </c>
      <c r="AT680">
        <v>83.335999999999999</v>
      </c>
      <c r="AU680">
        <v>88.286000000000001</v>
      </c>
      <c r="AV680">
        <v>93.436999999999998</v>
      </c>
      <c r="AW680">
        <v>97.635000000000005</v>
      </c>
      <c r="AX680">
        <v>101.19199999999999</v>
      </c>
      <c r="AY680">
        <v>2014</v>
      </c>
    </row>
    <row r="681" spans="1:51" x14ac:dyDescent="0.25">
      <c r="A681">
        <v>453</v>
      </c>
      <c r="B681" t="s">
        <v>713</v>
      </c>
      <c r="C681" t="s">
        <v>298</v>
      </c>
      <c r="D681" t="s">
        <v>183</v>
      </c>
      <c r="E681" t="s">
        <v>299</v>
      </c>
      <c r="F681" t="s">
        <v>300</v>
      </c>
      <c r="G681" t="s">
        <v>282</v>
      </c>
      <c r="H681" t="s">
        <v>283</v>
      </c>
      <c r="I681" t="s">
        <v>715</v>
      </c>
      <c r="J681" t="s">
        <v>285</v>
      </c>
      <c r="K681" t="s">
        <v>285</v>
      </c>
      <c r="L681" t="s">
        <v>285</v>
      </c>
      <c r="M681" t="s">
        <v>285</v>
      </c>
      <c r="N681" t="s">
        <v>285</v>
      </c>
      <c r="O681" t="s">
        <v>285</v>
      </c>
      <c r="P681" t="s">
        <v>285</v>
      </c>
      <c r="Q681" t="s">
        <v>285</v>
      </c>
      <c r="R681" t="s">
        <v>285</v>
      </c>
      <c r="S681" t="s">
        <v>285</v>
      </c>
      <c r="T681">
        <v>11.398999999999999</v>
      </c>
      <c r="U681">
        <v>11.776999999999999</v>
      </c>
      <c r="V681">
        <v>12.866</v>
      </c>
      <c r="W681">
        <v>13.401999999999999</v>
      </c>
      <c r="X681">
        <v>12.781000000000001</v>
      </c>
      <c r="Y681">
        <v>13.135</v>
      </c>
      <c r="Z681">
        <v>16.396000000000001</v>
      </c>
      <c r="AA681">
        <v>17.605</v>
      </c>
      <c r="AB681">
        <v>16.834</v>
      </c>
      <c r="AC681">
        <v>17.55</v>
      </c>
      <c r="AD681">
        <v>20.292999999999999</v>
      </c>
      <c r="AE681">
        <v>20.504000000000001</v>
      </c>
      <c r="AF681">
        <v>22.798999999999999</v>
      </c>
      <c r="AG681">
        <v>25.212</v>
      </c>
      <c r="AH681">
        <v>36.103000000000002</v>
      </c>
      <c r="AI681">
        <v>50.768000000000001</v>
      </c>
      <c r="AJ681">
        <v>67.147000000000006</v>
      </c>
      <c r="AK681">
        <v>86.248999999999995</v>
      </c>
      <c r="AL681">
        <v>99.957999999999998</v>
      </c>
      <c r="AM681">
        <v>122.626</v>
      </c>
      <c r="AN681">
        <v>143.79499999999999</v>
      </c>
      <c r="AO681">
        <v>181.37200000000001</v>
      </c>
      <c r="AP681">
        <v>217.036</v>
      </c>
      <c r="AQ681">
        <v>234.27099999999999</v>
      </c>
      <c r="AR681">
        <v>244.75899999999999</v>
      </c>
      <c r="AS681">
        <v>249.88800000000001</v>
      </c>
      <c r="AT681">
        <v>255.239</v>
      </c>
      <c r="AU681">
        <v>263.98</v>
      </c>
      <c r="AV681">
        <v>273.40300000000002</v>
      </c>
      <c r="AW681">
        <v>284.42500000000001</v>
      </c>
      <c r="AX681">
        <v>296.33100000000002</v>
      </c>
      <c r="AY681">
        <v>2014</v>
      </c>
    </row>
    <row r="682" spans="1:51" x14ac:dyDescent="0.25">
      <c r="A682">
        <v>968</v>
      </c>
      <c r="B682" t="s">
        <v>716</v>
      </c>
      <c r="C682" t="s">
        <v>279</v>
      </c>
      <c r="D682" t="s">
        <v>184</v>
      </c>
      <c r="E682" t="s">
        <v>280</v>
      </c>
      <c r="F682" t="s">
        <v>281</v>
      </c>
      <c r="G682" t="s">
        <v>282</v>
      </c>
      <c r="H682" t="s">
        <v>283</v>
      </c>
      <c r="I682" t="s">
        <v>717</v>
      </c>
      <c r="J682">
        <v>386.04300000000001</v>
      </c>
      <c r="K682">
        <v>386.42899999999997</v>
      </c>
      <c r="L682">
        <v>401.49900000000002</v>
      </c>
      <c r="M682">
        <v>425.589</v>
      </c>
      <c r="N682">
        <v>451.125</v>
      </c>
      <c r="O682">
        <v>450.67399999999998</v>
      </c>
      <c r="P682">
        <v>461.49</v>
      </c>
      <c r="Q682">
        <v>465.18200000000002</v>
      </c>
      <c r="R682">
        <v>462.85599999999999</v>
      </c>
      <c r="S682">
        <v>436.01</v>
      </c>
      <c r="T682">
        <v>411.53899999999999</v>
      </c>
      <c r="U682">
        <v>358.34</v>
      </c>
      <c r="V682">
        <v>326.92700000000002</v>
      </c>
      <c r="W682">
        <v>331.92099999999999</v>
      </c>
      <c r="X682">
        <v>344.97199999999998</v>
      </c>
      <c r="Y682">
        <v>369.59699999999998</v>
      </c>
      <c r="Z682">
        <v>384.18900000000002</v>
      </c>
      <c r="AA682">
        <v>360.93400000000003</v>
      </c>
      <c r="AB682">
        <v>343.54599999999999</v>
      </c>
      <c r="AC682">
        <v>339.59500000000003</v>
      </c>
      <c r="AD682">
        <v>349.51400000000001</v>
      </c>
      <c r="AE682">
        <v>369.05900000000003</v>
      </c>
      <c r="AF682">
        <v>388.19099999999997</v>
      </c>
      <c r="AG682">
        <v>409.63600000000002</v>
      </c>
      <c r="AH682">
        <v>443.87599999999998</v>
      </c>
      <c r="AI682">
        <v>462.39400000000001</v>
      </c>
      <c r="AJ682">
        <v>499.64299999999997</v>
      </c>
      <c r="AK682">
        <v>533.93700000000001</v>
      </c>
      <c r="AL682">
        <v>579.10199999999998</v>
      </c>
      <c r="AM682">
        <v>538.178</v>
      </c>
      <c r="AN682">
        <v>533.88099999999997</v>
      </c>
      <c r="AO682">
        <v>539.52</v>
      </c>
      <c r="AP682">
        <v>542.97900000000004</v>
      </c>
      <c r="AQ682">
        <v>561.38499999999999</v>
      </c>
      <c r="AR682">
        <v>577.10400000000004</v>
      </c>
      <c r="AS682">
        <v>596.52499999999998</v>
      </c>
      <c r="AT682">
        <v>619.54700000000003</v>
      </c>
      <c r="AU682">
        <v>640.61800000000005</v>
      </c>
      <c r="AV682">
        <v>660.86699999999996</v>
      </c>
      <c r="AW682">
        <v>682.05499999999995</v>
      </c>
      <c r="AX682">
        <v>704.74</v>
      </c>
      <c r="AY682">
        <v>2014</v>
      </c>
    </row>
    <row r="683" spans="1:51" x14ac:dyDescent="0.25">
      <c r="A683">
        <v>968</v>
      </c>
      <c r="B683" t="s">
        <v>716</v>
      </c>
      <c r="C683" t="s">
        <v>286</v>
      </c>
      <c r="D683" t="s">
        <v>184</v>
      </c>
      <c r="E683" t="s">
        <v>287</v>
      </c>
      <c r="F683" t="s">
        <v>288</v>
      </c>
      <c r="G683" t="s">
        <v>282</v>
      </c>
      <c r="H683" t="s">
        <v>283</v>
      </c>
      <c r="I683" t="s">
        <v>717</v>
      </c>
      <c r="J683">
        <v>8.3000000000000004E-2</v>
      </c>
      <c r="K683">
        <v>8.4000000000000005E-2</v>
      </c>
      <c r="L683">
        <v>8.4000000000000005E-2</v>
      </c>
      <c r="M683">
        <v>8.4000000000000005E-2</v>
      </c>
      <c r="N683">
        <v>8.4000000000000005E-2</v>
      </c>
      <c r="O683">
        <v>8.3000000000000004E-2</v>
      </c>
      <c r="P683">
        <v>8.5000000000000006E-2</v>
      </c>
      <c r="Q683">
        <v>8.5999999999999993E-2</v>
      </c>
      <c r="R683">
        <v>8.6999999999999994E-2</v>
      </c>
      <c r="S683">
        <v>8.1000000000000003E-2</v>
      </c>
      <c r="T683">
        <v>8.6999999999999994E-2</v>
      </c>
      <c r="U683">
        <v>0.224</v>
      </c>
      <c r="V683">
        <v>0.61299999999999999</v>
      </c>
      <c r="W683">
        <v>2.0369999999999999</v>
      </c>
      <c r="X683">
        <v>5.0599999999999996</v>
      </c>
      <c r="Y683">
        <v>7.3330000000000002</v>
      </c>
      <c r="Z683">
        <v>11.073</v>
      </c>
      <c r="AA683">
        <v>25.713000000000001</v>
      </c>
      <c r="AB683">
        <v>38.000999999999998</v>
      </c>
      <c r="AC683">
        <v>55.478999999999999</v>
      </c>
      <c r="AD683">
        <v>81.275000000000006</v>
      </c>
      <c r="AE683">
        <v>118.327</v>
      </c>
      <c r="AF683">
        <v>152.63</v>
      </c>
      <c r="AG683">
        <v>198.761</v>
      </c>
      <c r="AH683">
        <v>248.74799999999999</v>
      </c>
      <c r="AI683">
        <v>290.48899999999998</v>
      </c>
      <c r="AJ683">
        <v>347.00400000000002</v>
      </c>
      <c r="AK683">
        <v>418.25799999999998</v>
      </c>
      <c r="AL683">
        <v>524.38900000000001</v>
      </c>
      <c r="AM683">
        <v>510.52300000000002</v>
      </c>
      <c r="AN683">
        <v>533.88099999999997</v>
      </c>
      <c r="AO683">
        <v>565.09699999999998</v>
      </c>
      <c r="AP683">
        <v>596.68200000000002</v>
      </c>
      <c r="AQ683">
        <v>637.58299999999997</v>
      </c>
      <c r="AR683">
        <v>666.63699999999994</v>
      </c>
      <c r="AS683">
        <v>698.85400000000004</v>
      </c>
      <c r="AT683">
        <v>731.42100000000005</v>
      </c>
      <c r="AU683">
        <v>775.22699999999998</v>
      </c>
      <c r="AV683">
        <v>822.23199999999997</v>
      </c>
      <c r="AW683">
        <v>869.35500000000002</v>
      </c>
      <c r="AX683">
        <v>922.08199999999999</v>
      </c>
      <c r="AY683">
        <v>2014</v>
      </c>
    </row>
    <row r="684" spans="1:51" x14ac:dyDescent="0.25">
      <c r="A684">
        <v>968</v>
      </c>
      <c r="B684" t="s">
        <v>716</v>
      </c>
      <c r="C684" t="s">
        <v>289</v>
      </c>
      <c r="D684" t="s">
        <v>184</v>
      </c>
      <c r="E684" t="s">
        <v>287</v>
      </c>
      <c r="F684" t="s">
        <v>290</v>
      </c>
      <c r="G684" t="s">
        <v>291</v>
      </c>
      <c r="H684" t="s">
        <v>283</v>
      </c>
      <c r="I684" t="s">
        <v>292</v>
      </c>
      <c r="J684">
        <v>46.347999999999999</v>
      </c>
      <c r="K684">
        <v>55.673999999999999</v>
      </c>
      <c r="L684">
        <v>55.728999999999999</v>
      </c>
      <c r="M684">
        <v>48.710999999999999</v>
      </c>
      <c r="N684">
        <v>39.360999999999997</v>
      </c>
      <c r="O684">
        <v>48.594999999999999</v>
      </c>
      <c r="P684">
        <v>52.625</v>
      </c>
      <c r="Q684">
        <v>58.851999999999997</v>
      </c>
      <c r="R684">
        <v>60.924999999999997</v>
      </c>
      <c r="S684">
        <v>54.582999999999998</v>
      </c>
      <c r="T684">
        <v>38.880000000000003</v>
      </c>
      <c r="U684">
        <v>29.331</v>
      </c>
      <c r="V684">
        <v>19.902999999999999</v>
      </c>
      <c r="W684">
        <v>26.798999999999999</v>
      </c>
      <c r="X684">
        <v>30.571999999999999</v>
      </c>
      <c r="Y684">
        <v>36.067</v>
      </c>
      <c r="Z684">
        <v>35.902000000000001</v>
      </c>
      <c r="AA684">
        <v>35.872</v>
      </c>
      <c r="AB684">
        <v>42.814999999999998</v>
      </c>
      <c r="AC684">
        <v>36.183</v>
      </c>
      <c r="AD684">
        <v>37.466999999999999</v>
      </c>
      <c r="AE684">
        <v>40.716999999999999</v>
      </c>
      <c r="AF684">
        <v>46.17</v>
      </c>
      <c r="AG684">
        <v>59.868000000000002</v>
      </c>
      <c r="AH684">
        <v>76.216999999999999</v>
      </c>
      <c r="AI684">
        <v>100.324</v>
      </c>
      <c r="AJ684">
        <v>123.53400000000001</v>
      </c>
      <c r="AK684">
        <v>171.679</v>
      </c>
      <c r="AL684">
        <v>209.66399999999999</v>
      </c>
      <c r="AM684">
        <v>168.036</v>
      </c>
      <c r="AN684">
        <v>167.98599999999999</v>
      </c>
      <c r="AO684">
        <v>186.113</v>
      </c>
      <c r="AP684">
        <v>172.041</v>
      </c>
      <c r="AQ684">
        <v>191.59800000000001</v>
      </c>
      <c r="AR684">
        <v>199.09299999999999</v>
      </c>
      <c r="AS684">
        <v>174.922</v>
      </c>
      <c r="AT684">
        <v>183.37</v>
      </c>
      <c r="AU684">
        <v>196.786</v>
      </c>
      <c r="AV684">
        <v>211.09399999999999</v>
      </c>
      <c r="AW684">
        <v>225.12</v>
      </c>
      <c r="AX684">
        <v>242.88900000000001</v>
      </c>
      <c r="AY684">
        <v>2014</v>
      </c>
    </row>
    <row r="685" spans="1:51" x14ac:dyDescent="0.25">
      <c r="A685">
        <v>968</v>
      </c>
      <c r="B685" t="s">
        <v>716</v>
      </c>
      <c r="C685" t="s">
        <v>293</v>
      </c>
      <c r="D685" t="s">
        <v>184</v>
      </c>
      <c r="E685" t="s">
        <v>294</v>
      </c>
      <c r="F685" t="s">
        <v>295</v>
      </c>
      <c r="G685" t="s">
        <v>296</v>
      </c>
      <c r="I685" t="s">
        <v>297</v>
      </c>
      <c r="J685">
        <v>2.1999999999999999E-2</v>
      </c>
      <c r="K685">
        <v>2.1999999999999999E-2</v>
      </c>
      <c r="L685">
        <v>2.1000000000000001E-2</v>
      </c>
      <c r="M685">
        <v>0.02</v>
      </c>
      <c r="N685">
        <v>1.9E-2</v>
      </c>
      <c r="O685">
        <v>1.7999999999999999E-2</v>
      </c>
      <c r="P685">
        <v>1.7999999999999999E-2</v>
      </c>
      <c r="Q685">
        <v>1.7999999999999999E-2</v>
      </c>
      <c r="R685">
        <v>1.9E-2</v>
      </c>
      <c r="S685">
        <v>1.9E-2</v>
      </c>
      <c r="T685">
        <v>2.1000000000000001E-2</v>
      </c>
      <c r="U685">
        <v>6.3E-2</v>
      </c>
      <c r="V685">
        <v>0.187</v>
      </c>
      <c r="W685">
        <v>0.61399999999999999</v>
      </c>
      <c r="X685">
        <v>1.4670000000000001</v>
      </c>
      <c r="Y685">
        <v>1.984</v>
      </c>
      <c r="Z685">
        <v>2.8820000000000001</v>
      </c>
      <c r="AA685">
        <v>7.1239999999999997</v>
      </c>
      <c r="AB685">
        <v>11.061</v>
      </c>
      <c r="AC685">
        <v>16.337</v>
      </c>
      <c r="AD685">
        <v>23.254000000000001</v>
      </c>
      <c r="AE685">
        <v>32.061999999999998</v>
      </c>
      <c r="AF685">
        <v>39.317999999999998</v>
      </c>
      <c r="AG685">
        <v>48.521000000000001</v>
      </c>
      <c r="AH685">
        <v>56.04</v>
      </c>
      <c r="AI685">
        <v>62.823</v>
      </c>
      <c r="AJ685">
        <v>69.450999999999993</v>
      </c>
      <c r="AK685">
        <v>78.334999999999994</v>
      </c>
      <c r="AL685">
        <v>90.552000000000007</v>
      </c>
      <c r="AM685">
        <v>94.861000000000004</v>
      </c>
      <c r="AN685">
        <v>100</v>
      </c>
      <c r="AO685">
        <v>104.741</v>
      </c>
      <c r="AP685">
        <v>109.89</v>
      </c>
      <c r="AQ685">
        <v>113.57299999999999</v>
      </c>
      <c r="AR685">
        <v>115.514</v>
      </c>
      <c r="AS685">
        <v>117.154</v>
      </c>
      <c r="AT685">
        <v>118.057</v>
      </c>
      <c r="AU685">
        <v>121.012</v>
      </c>
      <c r="AV685">
        <v>124.417</v>
      </c>
      <c r="AW685">
        <v>127.461</v>
      </c>
      <c r="AX685">
        <v>130.84</v>
      </c>
      <c r="AY685">
        <v>2014</v>
      </c>
    </row>
    <row r="686" spans="1:51" x14ac:dyDescent="0.25">
      <c r="A686">
        <v>968</v>
      </c>
      <c r="B686" t="s">
        <v>716</v>
      </c>
      <c r="C686" t="s">
        <v>298</v>
      </c>
      <c r="D686" t="s">
        <v>184</v>
      </c>
      <c r="E686" t="s">
        <v>299</v>
      </c>
      <c r="F686" t="s">
        <v>300</v>
      </c>
      <c r="G686" t="s">
        <v>282</v>
      </c>
      <c r="H686" t="s">
        <v>283</v>
      </c>
      <c r="I686" t="s">
        <v>718</v>
      </c>
      <c r="J686" t="s">
        <v>285</v>
      </c>
      <c r="K686" t="s">
        <v>285</v>
      </c>
      <c r="L686" t="s">
        <v>285</v>
      </c>
      <c r="M686" t="s">
        <v>285</v>
      </c>
      <c r="N686" t="s">
        <v>285</v>
      </c>
      <c r="O686" t="s">
        <v>285</v>
      </c>
      <c r="P686" t="s">
        <v>285</v>
      </c>
      <c r="Q686" t="s">
        <v>285</v>
      </c>
      <c r="R686" t="s">
        <v>285</v>
      </c>
      <c r="S686" t="s">
        <v>285</v>
      </c>
      <c r="T686">
        <v>3.3000000000000002E-2</v>
      </c>
      <c r="U686">
        <v>8.5000000000000006E-2</v>
      </c>
      <c r="V686">
        <v>0.253</v>
      </c>
      <c r="W686">
        <v>0.67700000000000005</v>
      </c>
      <c r="X686">
        <v>1.6639999999999999</v>
      </c>
      <c r="Y686">
        <v>2.5059999999999998</v>
      </c>
      <c r="Z686">
        <v>3.681</v>
      </c>
      <c r="AA686">
        <v>8.5640000000000001</v>
      </c>
      <c r="AB686">
        <v>13.112</v>
      </c>
      <c r="AC686">
        <v>19.356999999999999</v>
      </c>
      <c r="AD686">
        <v>28.335000000000001</v>
      </c>
      <c r="AE686">
        <v>38.932000000000002</v>
      </c>
      <c r="AF686">
        <v>48.851999999999997</v>
      </c>
      <c r="AG686">
        <v>61.06</v>
      </c>
      <c r="AH686">
        <v>82.349000000000004</v>
      </c>
      <c r="AI686">
        <v>92.66</v>
      </c>
      <c r="AJ686">
        <v>116.05</v>
      </c>
      <c r="AK686">
        <v>147.14099999999999</v>
      </c>
      <c r="AL686">
        <v>190.40700000000001</v>
      </c>
      <c r="AM686">
        <v>192.78200000000001</v>
      </c>
      <c r="AN686">
        <v>202.256</v>
      </c>
      <c r="AO686">
        <v>205.27699999999999</v>
      </c>
      <c r="AP686">
        <v>207.92099999999999</v>
      </c>
      <c r="AQ686">
        <v>215.81</v>
      </c>
      <c r="AR686">
        <v>226.327</v>
      </c>
      <c r="AS686">
        <v>235.96700000000001</v>
      </c>
      <c r="AT686">
        <v>239.065</v>
      </c>
      <c r="AU686">
        <v>247.74299999999999</v>
      </c>
      <c r="AV686">
        <v>261.97000000000003</v>
      </c>
      <c r="AW686">
        <v>276.07799999999997</v>
      </c>
      <c r="AX686">
        <v>292.17399999999998</v>
      </c>
      <c r="AY686">
        <v>2014</v>
      </c>
    </row>
    <row r="687" spans="1:51" x14ac:dyDescent="0.25">
      <c r="A687">
        <v>922</v>
      </c>
      <c r="B687" t="s">
        <v>719</v>
      </c>
      <c r="C687" t="s">
        <v>279</v>
      </c>
      <c r="D687" t="s">
        <v>185</v>
      </c>
      <c r="E687" t="s">
        <v>280</v>
      </c>
      <c r="F687" t="s">
        <v>281</v>
      </c>
      <c r="G687" t="s">
        <v>282</v>
      </c>
      <c r="H687" t="s">
        <v>283</v>
      </c>
      <c r="I687" t="s">
        <v>720</v>
      </c>
      <c r="J687" t="s">
        <v>285</v>
      </c>
      <c r="K687" t="s">
        <v>285</v>
      </c>
      <c r="L687" t="s">
        <v>285</v>
      </c>
      <c r="M687" t="s">
        <v>285</v>
      </c>
      <c r="N687" t="s">
        <v>285</v>
      </c>
      <c r="O687" t="s">
        <v>285</v>
      </c>
      <c r="P687" t="s">
        <v>285</v>
      </c>
      <c r="Q687" t="s">
        <v>285</v>
      </c>
      <c r="R687" t="s">
        <v>285</v>
      </c>
      <c r="S687" t="s">
        <v>285</v>
      </c>
      <c r="T687" t="s">
        <v>285</v>
      </c>
      <c r="U687" t="s">
        <v>285</v>
      </c>
      <c r="V687" s="21">
        <v>30000.483</v>
      </c>
      <c r="W687" s="21">
        <v>27390.440999999999</v>
      </c>
      <c r="X687" s="21">
        <v>23911.855</v>
      </c>
      <c r="Y687" s="21">
        <v>22931.469000000001</v>
      </c>
      <c r="Z687" s="21">
        <v>22104.155999999999</v>
      </c>
      <c r="AA687" s="21">
        <v>22409.446</v>
      </c>
      <c r="AB687" s="21">
        <v>21211.690999999999</v>
      </c>
      <c r="AC687" s="21">
        <v>22558.866999999998</v>
      </c>
      <c r="AD687" s="21">
        <v>24825.054</v>
      </c>
      <c r="AE687" s="21">
        <v>26088.927</v>
      </c>
      <c r="AF687" s="21">
        <v>27326.528999999999</v>
      </c>
      <c r="AG687" s="21">
        <v>29308.55</v>
      </c>
      <c r="AH687" s="21">
        <v>31404.506000000001</v>
      </c>
      <c r="AI687" s="21">
        <v>33410.419000000002</v>
      </c>
      <c r="AJ687" s="21">
        <v>36134.512000000002</v>
      </c>
      <c r="AK687" s="21">
        <v>39218.605000000003</v>
      </c>
      <c r="AL687" s="21">
        <v>41276.800000000003</v>
      </c>
      <c r="AM687" s="21">
        <v>38057.21</v>
      </c>
      <c r="AN687" s="21">
        <v>39769.784</v>
      </c>
      <c r="AO687" s="21">
        <v>41479.885000000002</v>
      </c>
      <c r="AP687" s="21">
        <v>42890.201000000001</v>
      </c>
      <c r="AQ687" s="21">
        <v>43447.773000000001</v>
      </c>
      <c r="AR687" s="21">
        <v>43708.46</v>
      </c>
      <c r="AS687" s="21">
        <v>42036.584000000003</v>
      </c>
      <c r="AT687" s="21">
        <v>41773.095999999998</v>
      </c>
      <c r="AU687" s="21">
        <v>42190.826999999997</v>
      </c>
      <c r="AV687" s="21">
        <v>42823.688999999998</v>
      </c>
      <c r="AW687" s="21">
        <v>43466.044999999998</v>
      </c>
      <c r="AX687" s="21">
        <v>44118.035000000003</v>
      </c>
      <c r="AY687">
        <v>2014</v>
      </c>
    </row>
    <row r="688" spans="1:51" x14ac:dyDescent="0.25">
      <c r="A688">
        <v>922</v>
      </c>
      <c r="B688" t="s">
        <v>719</v>
      </c>
      <c r="C688" t="s">
        <v>286</v>
      </c>
      <c r="D688" t="s">
        <v>185</v>
      </c>
      <c r="E688" t="s">
        <v>287</v>
      </c>
      <c r="F688" t="s">
        <v>288</v>
      </c>
      <c r="G688" t="s">
        <v>282</v>
      </c>
      <c r="H688" t="s">
        <v>283</v>
      </c>
      <c r="I688" t="s">
        <v>720</v>
      </c>
      <c r="J688" t="s">
        <v>285</v>
      </c>
      <c r="K688" t="s">
        <v>285</v>
      </c>
      <c r="L688" t="s">
        <v>285</v>
      </c>
      <c r="M688" t="s">
        <v>285</v>
      </c>
      <c r="N688" t="s">
        <v>285</v>
      </c>
      <c r="O688" t="s">
        <v>285</v>
      </c>
      <c r="P688" t="s">
        <v>285</v>
      </c>
      <c r="Q688" t="s">
        <v>285</v>
      </c>
      <c r="R688" t="s">
        <v>285</v>
      </c>
      <c r="S688" t="s">
        <v>285</v>
      </c>
      <c r="T688" t="s">
        <v>285</v>
      </c>
      <c r="U688" t="s">
        <v>285</v>
      </c>
      <c r="V688">
        <v>19.010000000000002</v>
      </c>
      <c r="W688">
        <v>171.5</v>
      </c>
      <c r="X688">
        <v>610.70000000000005</v>
      </c>
      <c r="Y688" s="21">
        <v>1428.5</v>
      </c>
      <c r="Z688" s="21">
        <v>2007.8</v>
      </c>
      <c r="AA688" s="21">
        <v>2342.5</v>
      </c>
      <c r="AB688" s="21">
        <v>2629.6</v>
      </c>
      <c r="AC688" s="21">
        <v>4823.2</v>
      </c>
      <c r="AD688" s="21">
        <v>7305.6</v>
      </c>
      <c r="AE688" s="21">
        <v>8943.6</v>
      </c>
      <c r="AF688" s="21">
        <v>10819.21</v>
      </c>
      <c r="AG688" s="21">
        <v>13208.23</v>
      </c>
      <c r="AH688" s="21">
        <v>17027.189999999999</v>
      </c>
      <c r="AI688" s="21">
        <v>21609.77</v>
      </c>
      <c r="AJ688" s="21">
        <v>26917.200000000001</v>
      </c>
      <c r="AK688" s="21">
        <v>33247.51</v>
      </c>
      <c r="AL688" s="21">
        <v>41276.800000000003</v>
      </c>
      <c r="AM688" s="21">
        <v>38807.22</v>
      </c>
      <c r="AN688" s="21">
        <v>46308.54</v>
      </c>
      <c r="AO688" s="21">
        <v>55967.23</v>
      </c>
      <c r="AP688" s="21">
        <v>62176.49</v>
      </c>
      <c r="AQ688" s="21">
        <v>66190.12</v>
      </c>
      <c r="AR688" s="21">
        <v>71406.399999999994</v>
      </c>
      <c r="AS688" s="21">
        <v>74641.706999999995</v>
      </c>
      <c r="AT688" s="21">
        <v>80635.342999999993</v>
      </c>
      <c r="AU688" s="21">
        <v>87381.468999999997</v>
      </c>
      <c r="AV688" s="21">
        <v>92896.444000000003</v>
      </c>
      <c r="AW688" s="21">
        <v>97060.858999999997</v>
      </c>
      <c r="AX688" s="21">
        <v>102440.46400000001</v>
      </c>
      <c r="AY688">
        <v>2014</v>
      </c>
    </row>
    <row r="689" spans="1:51" x14ac:dyDescent="0.25">
      <c r="A689">
        <v>922</v>
      </c>
      <c r="B689" t="s">
        <v>719</v>
      </c>
      <c r="C689" t="s">
        <v>289</v>
      </c>
      <c r="D689" t="s">
        <v>185</v>
      </c>
      <c r="E689" t="s">
        <v>287</v>
      </c>
      <c r="F689" t="s">
        <v>290</v>
      </c>
      <c r="G689" t="s">
        <v>291</v>
      </c>
      <c r="H689" t="s">
        <v>283</v>
      </c>
      <c r="I689" t="s">
        <v>292</v>
      </c>
      <c r="J689" t="s">
        <v>285</v>
      </c>
      <c r="K689" t="s">
        <v>285</v>
      </c>
      <c r="L689" t="s">
        <v>285</v>
      </c>
      <c r="M689" t="s">
        <v>285</v>
      </c>
      <c r="N689" t="s">
        <v>285</v>
      </c>
      <c r="O689" t="s">
        <v>285</v>
      </c>
      <c r="P689" t="s">
        <v>285</v>
      </c>
      <c r="Q689" t="s">
        <v>285</v>
      </c>
      <c r="R689" t="s">
        <v>285</v>
      </c>
      <c r="S689" t="s">
        <v>285</v>
      </c>
      <c r="T689" t="s">
        <v>285</v>
      </c>
      <c r="U689" t="s">
        <v>285</v>
      </c>
      <c r="V689">
        <v>85.591999999999999</v>
      </c>
      <c r="W689">
        <v>183.816</v>
      </c>
      <c r="X689">
        <v>276.90199999999999</v>
      </c>
      <c r="Y689">
        <v>313.45100000000002</v>
      </c>
      <c r="Z689">
        <v>391.77499999999998</v>
      </c>
      <c r="AA689">
        <v>404.94600000000003</v>
      </c>
      <c r="AB689">
        <v>271.03800000000001</v>
      </c>
      <c r="AC689">
        <v>195.90700000000001</v>
      </c>
      <c r="AD689">
        <v>259.702</v>
      </c>
      <c r="AE689">
        <v>306.58300000000003</v>
      </c>
      <c r="AF689">
        <v>345.12599999999998</v>
      </c>
      <c r="AG689">
        <v>430.29</v>
      </c>
      <c r="AH689">
        <v>591.17600000000004</v>
      </c>
      <c r="AI689">
        <v>763.70299999999997</v>
      </c>
      <c r="AJ689">
        <v>989.93200000000002</v>
      </c>
      <c r="AK689" s="21">
        <v>1299.703</v>
      </c>
      <c r="AL689" s="21">
        <v>1660.846</v>
      </c>
      <c r="AM689" s="21">
        <v>1222.646</v>
      </c>
      <c r="AN689" s="21">
        <v>1524.9169999999999</v>
      </c>
      <c r="AO689" s="21">
        <v>1904.7909999999999</v>
      </c>
      <c r="AP689" s="21">
        <v>2016.11</v>
      </c>
      <c r="AQ689" s="21">
        <v>2079.0219999999999</v>
      </c>
      <c r="AR689" s="21">
        <v>1860.598</v>
      </c>
      <c r="AS689" s="21">
        <v>1235.8579999999999</v>
      </c>
      <c r="AT689" s="21">
        <v>1178.924</v>
      </c>
      <c r="AU689" s="21">
        <v>1309.268</v>
      </c>
      <c r="AV689" s="21">
        <v>1447.26</v>
      </c>
      <c r="AW689" s="21">
        <v>1613.8430000000001</v>
      </c>
      <c r="AX689" s="21">
        <v>1791.7940000000001</v>
      </c>
      <c r="AY689">
        <v>2014</v>
      </c>
    </row>
    <row r="690" spans="1:51" x14ac:dyDescent="0.25">
      <c r="A690">
        <v>922</v>
      </c>
      <c r="B690" t="s">
        <v>719</v>
      </c>
      <c r="C690" t="s">
        <v>293</v>
      </c>
      <c r="D690" t="s">
        <v>185</v>
      </c>
      <c r="E690" t="s">
        <v>294</v>
      </c>
      <c r="F690" t="s">
        <v>295</v>
      </c>
      <c r="G690" t="s">
        <v>296</v>
      </c>
      <c r="I690" t="s">
        <v>297</v>
      </c>
      <c r="J690" t="s">
        <v>285</v>
      </c>
      <c r="K690" t="s">
        <v>285</v>
      </c>
      <c r="L690" t="s">
        <v>285</v>
      </c>
      <c r="M690" t="s">
        <v>285</v>
      </c>
      <c r="N690" t="s">
        <v>285</v>
      </c>
      <c r="O690" t="s">
        <v>285</v>
      </c>
      <c r="P690" t="s">
        <v>285</v>
      </c>
      <c r="Q690" t="s">
        <v>285</v>
      </c>
      <c r="R690" t="s">
        <v>285</v>
      </c>
      <c r="S690" t="s">
        <v>285</v>
      </c>
      <c r="T690" t="s">
        <v>285</v>
      </c>
      <c r="U690" t="s">
        <v>285</v>
      </c>
      <c r="V690">
        <v>6.3E-2</v>
      </c>
      <c r="W690">
        <v>0.626</v>
      </c>
      <c r="X690">
        <v>2.5539999999999998</v>
      </c>
      <c r="Y690">
        <v>6.2290000000000001</v>
      </c>
      <c r="Z690">
        <v>9.0830000000000002</v>
      </c>
      <c r="AA690">
        <v>10.452999999999999</v>
      </c>
      <c r="AB690">
        <v>12.397</v>
      </c>
      <c r="AC690">
        <v>21.381</v>
      </c>
      <c r="AD690">
        <v>29.428000000000001</v>
      </c>
      <c r="AE690">
        <v>34.280999999999999</v>
      </c>
      <c r="AF690">
        <v>39.591999999999999</v>
      </c>
      <c r="AG690">
        <v>45.066000000000003</v>
      </c>
      <c r="AH690">
        <v>54.219000000000001</v>
      </c>
      <c r="AI690">
        <v>64.680000000000007</v>
      </c>
      <c r="AJ690">
        <v>74.492000000000004</v>
      </c>
      <c r="AK690">
        <v>84.775000000000006</v>
      </c>
      <c r="AL690">
        <v>100</v>
      </c>
      <c r="AM690">
        <v>101.971</v>
      </c>
      <c r="AN690">
        <v>116.44199999999999</v>
      </c>
      <c r="AO690">
        <v>134.92599999999999</v>
      </c>
      <c r="AP690">
        <v>144.96700000000001</v>
      </c>
      <c r="AQ690">
        <v>152.34399999999999</v>
      </c>
      <c r="AR690">
        <v>163.37</v>
      </c>
      <c r="AS690">
        <v>177.56399999999999</v>
      </c>
      <c r="AT690">
        <v>193.03200000000001</v>
      </c>
      <c r="AU690">
        <v>207.11</v>
      </c>
      <c r="AV690">
        <v>216.928</v>
      </c>
      <c r="AW690">
        <v>223.303</v>
      </c>
      <c r="AX690">
        <v>232.196</v>
      </c>
      <c r="AY690">
        <v>2014</v>
      </c>
    </row>
    <row r="691" spans="1:51" x14ac:dyDescent="0.25">
      <c r="A691">
        <v>922</v>
      </c>
      <c r="B691" t="s">
        <v>719</v>
      </c>
      <c r="C691" t="s">
        <v>298</v>
      </c>
      <c r="D691" t="s">
        <v>185</v>
      </c>
      <c r="E691" t="s">
        <v>299</v>
      </c>
      <c r="F691" t="s">
        <v>300</v>
      </c>
      <c r="G691" t="s">
        <v>282</v>
      </c>
      <c r="H691" t="s">
        <v>283</v>
      </c>
      <c r="I691" t="s">
        <v>721</v>
      </c>
      <c r="J691" t="s">
        <v>285</v>
      </c>
      <c r="K691" t="s">
        <v>285</v>
      </c>
      <c r="L691" t="s">
        <v>285</v>
      </c>
      <c r="M691" t="s">
        <v>285</v>
      </c>
      <c r="N691" t="s">
        <v>285</v>
      </c>
      <c r="O691" t="s">
        <v>285</v>
      </c>
      <c r="P691" t="s">
        <v>285</v>
      </c>
      <c r="Q691" t="s">
        <v>285</v>
      </c>
      <c r="R691" t="s">
        <v>285</v>
      </c>
      <c r="S691" t="s">
        <v>285</v>
      </c>
      <c r="T691" t="s">
        <v>285</v>
      </c>
      <c r="U691" t="s">
        <v>285</v>
      </c>
      <c r="V691" t="s">
        <v>285</v>
      </c>
      <c r="W691" t="s">
        <v>285</v>
      </c>
      <c r="X691" t="s">
        <v>285</v>
      </c>
      <c r="Y691" t="s">
        <v>285</v>
      </c>
      <c r="Z691" t="s">
        <v>285</v>
      </c>
      <c r="AA691" t="s">
        <v>285</v>
      </c>
      <c r="AB691" s="21">
        <v>1118.106</v>
      </c>
      <c r="AC691" s="21">
        <v>1771.877</v>
      </c>
      <c r="AD691" s="21">
        <v>2399.1759999999999</v>
      </c>
      <c r="AE691" s="21">
        <v>3015.076</v>
      </c>
      <c r="AF691" s="21">
        <v>3924.3919999999998</v>
      </c>
      <c r="AG691" s="21">
        <v>4613.4089999999997</v>
      </c>
      <c r="AH691" s="21">
        <v>5405.393</v>
      </c>
      <c r="AI691" s="21">
        <v>6820.6450000000004</v>
      </c>
      <c r="AJ691" s="21">
        <v>8375.2279999999992</v>
      </c>
      <c r="AK691" s="21">
        <v>11378.578</v>
      </c>
      <c r="AL691" s="21">
        <v>14157.027</v>
      </c>
      <c r="AM691" s="21">
        <v>16048.335999999999</v>
      </c>
      <c r="AN691" s="21">
        <v>17616.655999999999</v>
      </c>
      <c r="AO691" s="21">
        <v>19994.645</v>
      </c>
      <c r="AP691" s="21">
        <v>23174.718000000001</v>
      </c>
      <c r="AQ691" s="21">
        <v>25290.909</v>
      </c>
      <c r="AR691" s="21">
        <v>27611.666000000001</v>
      </c>
      <c r="AS691" s="21">
        <v>29548.316999999999</v>
      </c>
      <c r="AT691" s="21">
        <v>30943.706999999999</v>
      </c>
      <c r="AU691" s="21">
        <v>32966.534</v>
      </c>
      <c r="AV691" s="21">
        <v>34656.050000000003</v>
      </c>
      <c r="AW691" s="21">
        <v>34316.303999999996</v>
      </c>
      <c r="AX691" s="21">
        <v>36190.216999999997</v>
      </c>
      <c r="AY691">
        <v>2014</v>
      </c>
    </row>
    <row r="692" spans="1:51" x14ac:dyDescent="0.25">
      <c r="A692">
        <v>714</v>
      </c>
      <c r="B692" t="s">
        <v>722</v>
      </c>
      <c r="C692" t="s">
        <v>279</v>
      </c>
      <c r="D692" t="s">
        <v>186</v>
      </c>
      <c r="E692" t="s">
        <v>280</v>
      </c>
      <c r="F692" t="s">
        <v>281</v>
      </c>
      <c r="G692" t="s">
        <v>282</v>
      </c>
      <c r="H692" t="s">
        <v>283</v>
      </c>
      <c r="I692" t="s">
        <v>723</v>
      </c>
      <c r="J692" s="21">
        <v>1279.8050000000001</v>
      </c>
      <c r="K692" s="21">
        <v>1311.4469999999999</v>
      </c>
      <c r="L692" s="21">
        <v>1279.075</v>
      </c>
      <c r="M692" s="21">
        <v>1356.268</v>
      </c>
      <c r="N692" s="21">
        <v>1532.2339999999999</v>
      </c>
      <c r="O692" s="21">
        <v>1599.4670000000001</v>
      </c>
      <c r="P692" s="21">
        <v>1687.45</v>
      </c>
      <c r="Q692" s="21">
        <v>1682.47</v>
      </c>
      <c r="R692" s="21">
        <v>1687.45</v>
      </c>
      <c r="S692" s="21">
        <v>1591.1669999999999</v>
      </c>
      <c r="T692" s="21">
        <v>1597.8330000000001</v>
      </c>
      <c r="U692" s="21">
        <v>1529.126</v>
      </c>
      <c r="V692" s="21">
        <v>1630.048</v>
      </c>
      <c r="W692" s="21">
        <v>1460.8810000000001</v>
      </c>
      <c r="X692">
        <v>848.91800000000001</v>
      </c>
      <c r="Y692" s="21">
        <v>1057.252</v>
      </c>
      <c r="Z692" s="21">
        <v>1179.846</v>
      </c>
      <c r="AA692" s="21">
        <v>1355.6420000000001</v>
      </c>
      <c r="AB692" s="21">
        <v>1468.702</v>
      </c>
      <c r="AC692" s="21">
        <v>1543.991</v>
      </c>
      <c r="AD692" s="21">
        <v>1644.297</v>
      </c>
      <c r="AE692" s="21">
        <v>1783.807</v>
      </c>
      <c r="AF692" s="21">
        <v>2019.1289999999999</v>
      </c>
      <c r="AG692" s="21">
        <v>2063.598</v>
      </c>
      <c r="AH692" s="21">
        <v>2217.2869999999998</v>
      </c>
      <c r="AI692" s="21">
        <v>2425.223</v>
      </c>
      <c r="AJ692" s="21">
        <v>2649</v>
      </c>
      <c r="AK692" s="21">
        <v>2851</v>
      </c>
      <c r="AL692" s="21">
        <v>3170</v>
      </c>
      <c r="AM692" s="21">
        <v>3368</v>
      </c>
      <c r="AN692" s="21">
        <v>3579</v>
      </c>
      <c r="AO692" s="21">
        <v>3846</v>
      </c>
      <c r="AP692" s="21">
        <v>4184</v>
      </c>
      <c r="AQ692" s="21">
        <v>4381</v>
      </c>
      <c r="AR692" s="21">
        <v>4685</v>
      </c>
      <c r="AS692" s="21">
        <v>4988</v>
      </c>
      <c r="AT692" s="21">
        <v>5337.16</v>
      </c>
      <c r="AU692" s="21">
        <v>5737.4350000000004</v>
      </c>
      <c r="AV692" s="21">
        <v>6167.7030000000004</v>
      </c>
      <c r="AW692" s="21">
        <v>6630.3230000000003</v>
      </c>
      <c r="AX692" s="21">
        <v>7127.598</v>
      </c>
      <c r="AY692">
        <v>2014</v>
      </c>
    </row>
    <row r="693" spans="1:51" x14ac:dyDescent="0.25">
      <c r="A693">
        <v>714</v>
      </c>
      <c r="B693" t="s">
        <v>722</v>
      </c>
      <c r="C693" t="s">
        <v>286</v>
      </c>
      <c r="D693" t="s">
        <v>186</v>
      </c>
      <c r="E693" t="s">
        <v>287</v>
      </c>
      <c r="F693" t="s">
        <v>288</v>
      </c>
      <c r="G693" t="s">
        <v>282</v>
      </c>
      <c r="H693" t="s">
        <v>283</v>
      </c>
      <c r="I693" t="s">
        <v>723</v>
      </c>
      <c r="J693">
        <v>116.884</v>
      </c>
      <c r="K693">
        <v>132.684</v>
      </c>
      <c r="L693">
        <v>141.54400000000001</v>
      </c>
      <c r="M693">
        <v>153.64599999999999</v>
      </c>
      <c r="N693">
        <v>171.90600000000001</v>
      </c>
      <c r="O693">
        <v>187.68100000000001</v>
      </c>
      <c r="P693">
        <v>184.00800000000001</v>
      </c>
      <c r="Q693">
        <v>185.73699999999999</v>
      </c>
      <c r="R693">
        <v>190.70699999999999</v>
      </c>
      <c r="S693">
        <v>208.31899999999999</v>
      </c>
      <c r="T693">
        <v>205.72900000000001</v>
      </c>
      <c r="U693">
        <v>229.92699999999999</v>
      </c>
      <c r="V693">
        <v>261.15499999999997</v>
      </c>
      <c r="W693">
        <v>271.29000000000002</v>
      </c>
      <c r="X693">
        <v>168.19900000000001</v>
      </c>
      <c r="Y693">
        <v>324.89800000000002</v>
      </c>
      <c r="Z693">
        <v>411.75200000000001</v>
      </c>
      <c r="AA693">
        <v>546.52700000000004</v>
      </c>
      <c r="AB693">
        <v>605.63</v>
      </c>
      <c r="AC693">
        <v>606.99099999999999</v>
      </c>
      <c r="AD693">
        <v>676.09799999999996</v>
      </c>
      <c r="AE693">
        <v>741.87099999999998</v>
      </c>
      <c r="AF693">
        <v>797.44899999999996</v>
      </c>
      <c r="AG693">
        <v>992.61699999999996</v>
      </c>
      <c r="AH693" s="21">
        <v>1206.269</v>
      </c>
      <c r="AI693" s="21">
        <v>1439.914</v>
      </c>
      <c r="AJ693" s="21">
        <v>1716.4760000000001</v>
      </c>
      <c r="AK693" s="21">
        <v>2064.69</v>
      </c>
      <c r="AL693" s="21">
        <v>2623.0569999999998</v>
      </c>
      <c r="AM693" s="21">
        <v>3016.8580000000002</v>
      </c>
      <c r="AN693" s="21">
        <v>3322.5369999999998</v>
      </c>
      <c r="AO693" s="21">
        <v>3845.8389999999999</v>
      </c>
      <c r="AP693" s="21">
        <v>4437</v>
      </c>
      <c r="AQ693" s="21">
        <v>4864</v>
      </c>
      <c r="AR693" s="21">
        <v>5389</v>
      </c>
      <c r="AS693" s="21">
        <v>5968.4939999999997</v>
      </c>
      <c r="AT693" s="21">
        <v>6699.2219999999998</v>
      </c>
      <c r="AU693" s="21">
        <v>7545.2309999999998</v>
      </c>
      <c r="AV693" s="21">
        <v>8552.6749999999993</v>
      </c>
      <c r="AW693" s="21">
        <v>9623.3610000000008</v>
      </c>
      <c r="AX693" s="21">
        <v>10895.2</v>
      </c>
      <c r="AY693">
        <v>2014</v>
      </c>
    </row>
    <row r="694" spans="1:51" x14ac:dyDescent="0.25">
      <c r="A694">
        <v>714</v>
      </c>
      <c r="B694" t="s">
        <v>722</v>
      </c>
      <c r="C694" t="s">
        <v>289</v>
      </c>
      <c r="D694" t="s">
        <v>186</v>
      </c>
      <c r="E694" t="s">
        <v>287</v>
      </c>
      <c r="F694" t="s">
        <v>290</v>
      </c>
      <c r="G694" t="s">
        <v>291</v>
      </c>
      <c r="H694" t="s">
        <v>283</v>
      </c>
      <c r="I694" t="s">
        <v>292</v>
      </c>
      <c r="J694">
        <v>1.2589999999999999</v>
      </c>
      <c r="K694">
        <v>1.429</v>
      </c>
      <c r="L694">
        <v>1.5249999999999999</v>
      </c>
      <c r="M694">
        <v>1.629</v>
      </c>
      <c r="N694">
        <v>1.56</v>
      </c>
      <c r="O694">
        <v>1.853</v>
      </c>
      <c r="P694">
        <v>2.1</v>
      </c>
      <c r="Q694">
        <v>2.331</v>
      </c>
      <c r="R694">
        <v>2.4950000000000001</v>
      </c>
      <c r="S694">
        <v>2.605</v>
      </c>
      <c r="T694">
        <v>2.4910000000000001</v>
      </c>
      <c r="U694">
        <v>1.837</v>
      </c>
      <c r="V694">
        <v>1.95</v>
      </c>
      <c r="W694">
        <v>1.881</v>
      </c>
      <c r="X694">
        <v>1.1950000000000001</v>
      </c>
      <c r="Y694">
        <v>1.2390000000000001</v>
      </c>
      <c r="Z694">
        <v>1.343</v>
      </c>
      <c r="AA694">
        <v>1.8080000000000001</v>
      </c>
      <c r="AB694">
        <v>1.93</v>
      </c>
      <c r="AC694">
        <v>1.7969999999999999</v>
      </c>
      <c r="AD694">
        <v>1.718</v>
      </c>
      <c r="AE694">
        <v>1.675</v>
      </c>
      <c r="AF694">
        <v>1.669</v>
      </c>
      <c r="AG694">
        <v>1.835</v>
      </c>
      <c r="AH694">
        <v>2.0910000000000002</v>
      </c>
      <c r="AI694">
        <v>2.5840000000000001</v>
      </c>
      <c r="AJ694">
        <v>3.1110000000000002</v>
      </c>
      <c r="AK694">
        <v>3.7759999999999998</v>
      </c>
      <c r="AL694">
        <v>4.7990000000000004</v>
      </c>
      <c r="AM694">
        <v>5.3090000000000002</v>
      </c>
      <c r="AN694">
        <v>5.6980000000000004</v>
      </c>
      <c r="AO694">
        <v>6.4059999999999997</v>
      </c>
      <c r="AP694">
        <v>7.2229999999999999</v>
      </c>
      <c r="AQ694">
        <v>7.5220000000000002</v>
      </c>
      <c r="AR694">
        <v>7.8970000000000002</v>
      </c>
      <c r="AS694">
        <v>8.468</v>
      </c>
      <c r="AT694">
        <v>9.2279999999999998</v>
      </c>
      <c r="AU694">
        <v>10.090999999999999</v>
      </c>
      <c r="AV694">
        <v>11.105</v>
      </c>
      <c r="AW694">
        <v>12.132</v>
      </c>
      <c r="AX694">
        <v>13.335000000000001</v>
      </c>
      <c r="AY694">
        <v>2014</v>
      </c>
    </row>
    <row r="695" spans="1:51" x14ac:dyDescent="0.25">
      <c r="A695">
        <v>714</v>
      </c>
      <c r="B695" t="s">
        <v>722</v>
      </c>
      <c r="C695" t="s">
        <v>293</v>
      </c>
      <c r="D695" t="s">
        <v>186</v>
      </c>
      <c r="E695" t="s">
        <v>294</v>
      </c>
      <c r="F695" t="s">
        <v>295</v>
      </c>
      <c r="G695" t="s">
        <v>296</v>
      </c>
      <c r="I695" t="s">
        <v>297</v>
      </c>
      <c r="J695">
        <v>9.1329999999999991</v>
      </c>
      <c r="K695">
        <v>10.117000000000001</v>
      </c>
      <c r="L695">
        <v>11.066000000000001</v>
      </c>
      <c r="M695">
        <v>11.329000000000001</v>
      </c>
      <c r="N695">
        <v>11.218999999999999</v>
      </c>
      <c r="O695">
        <v>11.734</v>
      </c>
      <c r="P695">
        <v>10.904</v>
      </c>
      <c r="Q695">
        <v>11.04</v>
      </c>
      <c r="R695">
        <v>11.301</v>
      </c>
      <c r="S695">
        <v>13.092000000000001</v>
      </c>
      <c r="T695">
        <v>12.875999999999999</v>
      </c>
      <c r="U695">
        <v>15.036</v>
      </c>
      <c r="V695">
        <v>16.021000000000001</v>
      </c>
      <c r="W695">
        <v>18.57</v>
      </c>
      <c r="X695">
        <v>19.812999999999999</v>
      </c>
      <c r="Y695">
        <v>30.73</v>
      </c>
      <c r="Z695">
        <v>34.899000000000001</v>
      </c>
      <c r="AA695">
        <v>40.314999999999998</v>
      </c>
      <c r="AB695">
        <v>41.235999999999997</v>
      </c>
      <c r="AC695">
        <v>39.313000000000002</v>
      </c>
      <c r="AD695">
        <v>41.118000000000002</v>
      </c>
      <c r="AE695">
        <v>41.588999999999999</v>
      </c>
      <c r="AF695">
        <v>39.494999999999997</v>
      </c>
      <c r="AG695">
        <v>48.100999999999999</v>
      </c>
      <c r="AH695">
        <v>54.402999999999999</v>
      </c>
      <c r="AI695">
        <v>59.372</v>
      </c>
      <c r="AJ695">
        <v>64.796999999999997</v>
      </c>
      <c r="AK695">
        <v>72.42</v>
      </c>
      <c r="AL695">
        <v>82.745999999999995</v>
      </c>
      <c r="AM695">
        <v>89.573999999999998</v>
      </c>
      <c r="AN695">
        <v>92.834000000000003</v>
      </c>
      <c r="AO695">
        <v>99.995999999999995</v>
      </c>
      <c r="AP695">
        <v>106.047</v>
      </c>
      <c r="AQ695">
        <v>111.02500000000001</v>
      </c>
      <c r="AR695">
        <v>115.027</v>
      </c>
      <c r="AS695">
        <v>119.657</v>
      </c>
      <c r="AT695">
        <v>125.52</v>
      </c>
      <c r="AU695">
        <v>131.50899999999999</v>
      </c>
      <c r="AV695">
        <v>138.66900000000001</v>
      </c>
      <c r="AW695">
        <v>145.142</v>
      </c>
      <c r="AX695">
        <v>152.85900000000001</v>
      </c>
      <c r="AY695">
        <v>2014</v>
      </c>
    </row>
    <row r="696" spans="1:51" x14ac:dyDescent="0.25">
      <c r="A696">
        <v>714</v>
      </c>
      <c r="B696" t="s">
        <v>722</v>
      </c>
      <c r="C696" t="s">
        <v>298</v>
      </c>
      <c r="D696" t="s">
        <v>186</v>
      </c>
      <c r="E696" t="s">
        <v>299</v>
      </c>
      <c r="F696" t="s">
        <v>300</v>
      </c>
      <c r="G696" t="s">
        <v>282</v>
      </c>
      <c r="H696" t="s">
        <v>283</v>
      </c>
      <c r="I696" t="s">
        <v>724</v>
      </c>
      <c r="J696" t="s">
        <v>285</v>
      </c>
      <c r="K696" t="s">
        <v>285</v>
      </c>
      <c r="L696" t="s">
        <v>285</v>
      </c>
      <c r="M696" t="s">
        <v>285</v>
      </c>
      <c r="N696" t="s">
        <v>285</v>
      </c>
      <c r="O696" t="s">
        <v>285</v>
      </c>
      <c r="P696" t="s">
        <v>285</v>
      </c>
      <c r="Q696" t="s">
        <v>285</v>
      </c>
      <c r="R696" t="s">
        <v>285</v>
      </c>
      <c r="S696" t="s">
        <v>285</v>
      </c>
      <c r="T696" t="s">
        <v>285</v>
      </c>
      <c r="U696" t="s">
        <v>285</v>
      </c>
      <c r="V696">
        <v>73.037999999999997</v>
      </c>
      <c r="W696">
        <v>65.364999999999995</v>
      </c>
      <c r="X696">
        <v>26.629000000000001</v>
      </c>
      <c r="Y696">
        <v>69.501999999999995</v>
      </c>
      <c r="Z696">
        <v>95.266999999999996</v>
      </c>
      <c r="AA696">
        <v>110.086</v>
      </c>
      <c r="AB696">
        <v>117.574</v>
      </c>
      <c r="AC696">
        <v>126.845</v>
      </c>
      <c r="AD696">
        <v>131.24199999999999</v>
      </c>
      <c r="AE696">
        <v>157.43700000000001</v>
      </c>
      <c r="AF696">
        <v>163.131</v>
      </c>
      <c r="AG696">
        <v>211.98500000000001</v>
      </c>
      <c r="AH696">
        <v>257.47500000000002</v>
      </c>
      <c r="AI696">
        <v>336.31400000000002</v>
      </c>
      <c r="AJ696">
        <v>372.87400000000002</v>
      </c>
      <c r="AK696">
        <v>472.55500000000001</v>
      </c>
      <c r="AL696">
        <v>636.28200000000004</v>
      </c>
      <c r="AM696">
        <v>719.7</v>
      </c>
      <c r="AN696">
        <v>859.5</v>
      </c>
      <c r="AO696" s="21">
        <v>1017.587</v>
      </c>
      <c r="AP696" s="21">
        <v>1147.673</v>
      </c>
      <c r="AQ696" s="21">
        <v>1343.537</v>
      </c>
      <c r="AR696" s="21">
        <v>1491.405</v>
      </c>
      <c r="AS696" s="21">
        <v>1536.047</v>
      </c>
      <c r="AT696" s="21">
        <v>1609.8720000000001</v>
      </c>
      <c r="AU696" s="21">
        <v>1895.5740000000001</v>
      </c>
      <c r="AV696" s="21">
        <v>2133.7260000000001</v>
      </c>
      <c r="AW696" s="21">
        <v>2283.0189999999998</v>
      </c>
      <c r="AX696" s="21">
        <v>2573.951</v>
      </c>
      <c r="AY696">
        <v>2014</v>
      </c>
    </row>
    <row r="697" spans="1:51" x14ac:dyDescent="0.25">
      <c r="A697">
        <v>862</v>
      </c>
      <c r="B697" t="s">
        <v>725</v>
      </c>
      <c r="C697" t="s">
        <v>279</v>
      </c>
      <c r="D697" t="s">
        <v>190</v>
      </c>
      <c r="E697" t="s">
        <v>280</v>
      </c>
      <c r="F697" t="s">
        <v>281</v>
      </c>
      <c r="G697" t="s">
        <v>282</v>
      </c>
      <c r="H697" t="s">
        <v>283</v>
      </c>
      <c r="I697" t="s">
        <v>726</v>
      </c>
      <c r="J697">
        <v>0.89300000000000002</v>
      </c>
      <c r="K697">
        <v>0.81200000000000006</v>
      </c>
      <c r="L697">
        <v>0.80400000000000005</v>
      </c>
      <c r="M697">
        <v>0.80800000000000005</v>
      </c>
      <c r="N697">
        <v>0.82399999999999995</v>
      </c>
      <c r="O697">
        <v>0.872</v>
      </c>
      <c r="P697">
        <v>0.91400000000000003</v>
      </c>
      <c r="Q697">
        <v>0.91900000000000004</v>
      </c>
      <c r="R697">
        <v>0.94499999999999995</v>
      </c>
      <c r="S697">
        <v>1</v>
      </c>
      <c r="T697">
        <v>0.93500000000000005</v>
      </c>
      <c r="U697">
        <v>0.91300000000000003</v>
      </c>
      <c r="V697">
        <v>0.95</v>
      </c>
      <c r="W697">
        <v>0.96599999999999997</v>
      </c>
      <c r="X697">
        <v>1.028</v>
      </c>
      <c r="Y697">
        <v>1.0960000000000001</v>
      </c>
      <c r="Z697">
        <v>1.175</v>
      </c>
      <c r="AA697">
        <v>1.1850000000000001</v>
      </c>
      <c r="AB697">
        <v>1.198</v>
      </c>
      <c r="AC697">
        <v>1.19</v>
      </c>
      <c r="AD697">
        <v>1.2529999999999999</v>
      </c>
      <c r="AE697">
        <v>1.3460000000000001</v>
      </c>
      <c r="AF697">
        <v>1.4239999999999999</v>
      </c>
      <c r="AG697">
        <v>1.488</v>
      </c>
      <c r="AH697">
        <v>1.532</v>
      </c>
      <c r="AI697">
        <v>1.6459999999999999</v>
      </c>
      <c r="AJ697">
        <v>1.677</v>
      </c>
      <c r="AK697">
        <v>1.696</v>
      </c>
      <c r="AL697">
        <v>1.7450000000000001</v>
      </c>
      <c r="AM697">
        <v>1.633</v>
      </c>
      <c r="AN697">
        <v>1.5960000000000001</v>
      </c>
      <c r="AO697">
        <v>1.694</v>
      </c>
      <c r="AP697">
        <v>1.714</v>
      </c>
      <c r="AQ697">
        <v>1.6950000000000001</v>
      </c>
      <c r="AR697">
        <v>1.728</v>
      </c>
      <c r="AS697">
        <v>1.772</v>
      </c>
      <c r="AT697">
        <v>1.8</v>
      </c>
      <c r="AU697">
        <v>1.7849999999999999</v>
      </c>
      <c r="AV697">
        <v>1.8</v>
      </c>
      <c r="AW697">
        <v>1.827</v>
      </c>
      <c r="AX697">
        <v>1.8640000000000001</v>
      </c>
      <c r="AY697">
        <v>2014</v>
      </c>
    </row>
    <row r="698" spans="1:51" x14ac:dyDescent="0.25">
      <c r="A698">
        <v>862</v>
      </c>
      <c r="B698" t="s">
        <v>725</v>
      </c>
      <c r="C698" t="s">
        <v>286</v>
      </c>
      <c r="D698" t="s">
        <v>190</v>
      </c>
      <c r="E698" t="s">
        <v>287</v>
      </c>
      <c r="F698" t="s">
        <v>288</v>
      </c>
      <c r="G698" t="s">
        <v>282</v>
      </c>
      <c r="H698" t="s">
        <v>283</v>
      </c>
      <c r="I698" t="s">
        <v>726</v>
      </c>
      <c r="J698">
        <v>0.11700000000000001</v>
      </c>
      <c r="K698">
        <v>0.123</v>
      </c>
      <c r="L698">
        <v>0.14799999999999999</v>
      </c>
      <c r="M698">
        <v>0.17499999999999999</v>
      </c>
      <c r="N698">
        <v>0.20599999999999999</v>
      </c>
      <c r="O698">
        <v>0.23699999999999999</v>
      </c>
      <c r="P698">
        <v>0.251</v>
      </c>
      <c r="Q698">
        <v>0.26300000000000001</v>
      </c>
      <c r="R698">
        <v>0.28799999999999998</v>
      </c>
      <c r="S698">
        <v>0.32100000000000001</v>
      </c>
      <c r="T698">
        <v>0.42099999999999999</v>
      </c>
      <c r="U698">
        <v>0.42299999999999999</v>
      </c>
      <c r="V698">
        <v>0.47599999999999998</v>
      </c>
      <c r="W698">
        <v>0.50900000000000001</v>
      </c>
      <c r="X698">
        <v>0.4</v>
      </c>
      <c r="Y698">
        <v>0.59799999999999998</v>
      </c>
      <c r="Z698">
        <v>0.63500000000000001</v>
      </c>
      <c r="AA698">
        <v>0.71699999999999997</v>
      </c>
      <c r="AB698">
        <v>0.78900000000000003</v>
      </c>
      <c r="AC698">
        <v>0.78700000000000003</v>
      </c>
      <c r="AD698">
        <v>0.84499999999999997</v>
      </c>
      <c r="AE698">
        <v>0.93600000000000005</v>
      </c>
      <c r="AF698">
        <v>1.004</v>
      </c>
      <c r="AG698">
        <v>1.0820000000000001</v>
      </c>
      <c r="AH698">
        <v>1.1930000000000001</v>
      </c>
      <c r="AI698">
        <v>1.3280000000000001</v>
      </c>
      <c r="AJ698">
        <v>1.425</v>
      </c>
      <c r="AK698">
        <v>1.53</v>
      </c>
      <c r="AL698">
        <v>1.696</v>
      </c>
      <c r="AM698">
        <v>1.661</v>
      </c>
      <c r="AN698">
        <v>1.623</v>
      </c>
      <c r="AO698">
        <v>1.7669999999999999</v>
      </c>
      <c r="AP698">
        <v>1.847</v>
      </c>
      <c r="AQ698">
        <v>1.835</v>
      </c>
      <c r="AR698">
        <v>1.847</v>
      </c>
      <c r="AS698">
        <v>1.94</v>
      </c>
      <c r="AT698">
        <v>2.0129999999999999</v>
      </c>
      <c r="AU698">
        <v>2.036</v>
      </c>
      <c r="AV698">
        <v>2.105</v>
      </c>
      <c r="AW698">
        <v>2.2000000000000002</v>
      </c>
      <c r="AX698">
        <v>2.31</v>
      </c>
      <c r="AY698">
        <v>2014</v>
      </c>
    </row>
    <row r="699" spans="1:51" x14ac:dyDescent="0.25">
      <c r="A699">
        <v>862</v>
      </c>
      <c r="B699" t="s">
        <v>725</v>
      </c>
      <c r="C699" t="s">
        <v>289</v>
      </c>
      <c r="D699" t="s">
        <v>190</v>
      </c>
      <c r="E699" t="s">
        <v>287</v>
      </c>
      <c r="F699" t="s">
        <v>290</v>
      </c>
      <c r="G699" t="s">
        <v>291</v>
      </c>
      <c r="H699" t="s">
        <v>283</v>
      </c>
      <c r="I699" t="s">
        <v>292</v>
      </c>
      <c r="J699">
        <v>0.127</v>
      </c>
      <c r="K699">
        <v>0.11899999999999999</v>
      </c>
      <c r="L699">
        <v>0.122</v>
      </c>
      <c r="M699">
        <v>0.113</v>
      </c>
      <c r="N699">
        <v>0.111</v>
      </c>
      <c r="O699">
        <v>0.106</v>
      </c>
      <c r="P699">
        <v>0.112</v>
      </c>
      <c r="Q699">
        <v>0.124</v>
      </c>
      <c r="R699">
        <v>0.13800000000000001</v>
      </c>
      <c r="S699">
        <v>0.14199999999999999</v>
      </c>
      <c r="T699">
        <v>0.182</v>
      </c>
      <c r="U699">
        <v>0.17699999999999999</v>
      </c>
      <c r="V699">
        <v>0.193</v>
      </c>
      <c r="W699">
        <v>0.19800000000000001</v>
      </c>
      <c r="X699">
        <v>0.158</v>
      </c>
      <c r="Y699">
        <v>0.24199999999999999</v>
      </c>
      <c r="Z699">
        <v>0.25800000000000001</v>
      </c>
      <c r="AA699">
        <v>0.28000000000000003</v>
      </c>
      <c r="AB699">
        <v>0.26800000000000002</v>
      </c>
      <c r="AC699">
        <v>0.26100000000000001</v>
      </c>
      <c r="AD699">
        <v>0.25700000000000001</v>
      </c>
      <c r="AE699">
        <v>0.26900000000000002</v>
      </c>
      <c r="AF699">
        <v>0.29699999999999999</v>
      </c>
      <c r="AG699">
        <v>0.36399999999999999</v>
      </c>
      <c r="AH699">
        <v>0.42899999999999999</v>
      </c>
      <c r="AI699">
        <v>0.49</v>
      </c>
      <c r="AJ699">
        <v>0.51300000000000001</v>
      </c>
      <c r="AK699">
        <v>0.58499999999999996</v>
      </c>
      <c r="AL699">
        <v>0.64100000000000001</v>
      </c>
      <c r="AM699">
        <v>0.60799999999999998</v>
      </c>
      <c r="AN699">
        <v>0.65300000000000002</v>
      </c>
      <c r="AO699">
        <v>0.76200000000000001</v>
      </c>
      <c r="AP699">
        <v>0.80600000000000005</v>
      </c>
      <c r="AQ699">
        <v>0.79400000000000004</v>
      </c>
      <c r="AR699">
        <v>0.82699999999999996</v>
      </c>
      <c r="AS699">
        <v>0.86699999999999999</v>
      </c>
      <c r="AT699">
        <v>0.9</v>
      </c>
      <c r="AU699">
        <v>0.91200000000000003</v>
      </c>
      <c r="AV699">
        <v>0.94099999999999995</v>
      </c>
      <c r="AW699">
        <v>0.97599999999999998</v>
      </c>
      <c r="AX699">
        <v>1.016</v>
      </c>
      <c r="AY699">
        <v>2014</v>
      </c>
    </row>
    <row r="700" spans="1:51" x14ac:dyDescent="0.25">
      <c r="A700">
        <v>862</v>
      </c>
      <c r="B700" t="s">
        <v>725</v>
      </c>
      <c r="C700" t="s">
        <v>293</v>
      </c>
      <c r="D700" t="s">
        <v>190</v>
      </c>
      <c r="E700" t="s">
        <v>294</v>
      </c>
      <c r="F700" t="s">
        <v>295</v>
      </c>
      <c r="G700" t="s">
        <v>296</v>
      </c>
      <c r="I700" t="s">
        <v>297</v>
      </c>
      <c r="J700">
        <v>13.055999999999999</v>
      </c>
      <c r="K700">
        <v>15.178000000000001</v>
      </c>
      <c r="L700">
        <v>18.361000000000001</v>
      </c>
      <c r="M700">
        <v>21.635000000000002</v>
      </c>
      <c r="N700">
        <v>25.027000000000001</v>
      </c>
      <c r="O700">
        <v>27.198</v>
      </c>
      <c r="P700">
        <v>27.472999999999999</v>
      </c>
      <c r="Q700">
        <v>28.631</v>
      </c>
      <c r="R700">
        <v>30.442</v>
      </c>
      <c r="S700">
        <v>32.110999999999997</v>
      </c>
      <c r="T700">
        <v>44.988</v>
      </c>
      <c r="U700">
        <v>46.368000000000002</v>
      </c>
      <c r="V700">
        <v>50.088999999999999</v>
      </c>
      <c r="W700">
        <v>52.719000000000001</v>
      </c>
      <c r="X700">
        <v>38.936999999999998</v>
      </c>
      <c r="Y700">
        <v>54.612000000000002</v>
      </c>
      <c r="Z700">
        <v>54.073</v>
      </c>
      <c r="AA700">
        <v>60.545999999999999</v>
      </c>
      <c r="AB700">
        <v>65.853999999999999</v>
      </c>
      <c r="AC700">
        <v>66.146000000000001</v>
      </c>
      <c r="AD700">
        <v>67.415999999999997</v>
      </c>
      <c r="AE700">
        <v>69.56</v>
      </c>
      <c r="AF700">
        <v>70.465000000000003</v>
      </c>
      <c r="AG700">
        <v>72.685000000000002</v>
      </c>
      <c r="AH700">
        <v>77.918999999999997</v>
      </c>
      <c r="AI700">
        <v>80.661000000000001</v>
      </c>
      <c r="AJ700">
        <v>84.933999999999997</v>
      </c>
      <c r="AK700">
        <v>90.177999999999997</v>
      </c>
      <c r="AL700">
        <v>97.176000000000002</v>
      </c>
      <c r="AM700">
        <v>101.738</v>
      </c>
      <c r="AN700">
        <v>101.723</v>
      </c>
      <c r="AO700">
        <v>104.288</v>
      </c>
      <c r="AP700">
        <v>107.753</v>
      </c>
      <c r="AQ700">
        <v>108.247</v>
      </c>
      <c r="AR700">
        <v>106.914</v>
      </c>
      <c r="AS700">
        <v>109.489</v>
      </c>
      <c r="AT700">
        <v>111.839</v>
      </c>
      <c r="AU700">
        <v>114.026</v>
      </c>
      <c r="AV700">
        <v>116.895</v>
      </c>
      <c r="AW700">
        <v>120.42</v>
      </c>
      <c r="AX700">
        <v>123.962</v>
      </c>
      <c r="AY700">
        <v>2014</v>
      </c>
    </row>
    <row r="701" spans="1:51" x14ac:dyDescent="0.25">
      <c r="A701">
        <v>862</v>
      </c>
      <c r="B701" t="s">
        <v>725</v>
      </c>
      <c r="C701" t="s">
        <v>298</v>
      </c>
      <c r="D701" t="s">
        <v>190</v>
      </c>
      <c r="E701" t="s">
        <v>299</v>
      </c>
      <c r="F701" t="s">
        <v>300</v>
      </c>
      <c r="G701" t="s">
        <v>282</v>
      </c>
      <c r="H701" t="s">
        <v>283</v>
      </c>
      <c r="I701" t="s">
        <v>727</v>
      </c>
      <c r="J701" t="s">
        <v>285</v>
      </c>
      <c r="K701" t="s">
        <v>285</v>
      </c>
      <c r="L701" t="s">
        <v>285</v>
      </c>
      <c r="M701" t="s">
        <v>285</v>
      </c>
      <c r="N701" t="s">
        <v>285</v>
      </c>
      <c r="O701" t="s">
        <v>285</v>
      </c>
      <c r="P701" t="s">
        <v>285</v>
      </c>
      <c r="Q701" t="s">
        <v>285</v>
      </c>
      <c r="R701" t="s">
        <v>285</v>
      </c>
      <c r="S701" t="s">
        <v>285</v>
      </c>
      <c r="T701" t="s">
        <v>285</v>
      </c>
      <c r="U701" t="s">
        <v>285</v>
      </c>
      <c r="V701">
        <v>0.20599999999999999</v>
      </c>
      <c r="W701">
        <v>0.252</v>
      </c>
      <c r="X701">
        <v>0.216</v>
      </c>
      <c r="Y701">
        <v>0.252</v>
      </c>
      <c r="Z701">
        <v>0.247</v>
      </c>
      <c r="AA701">
        <v>0.222</v>
      </c>
      <c r="AB701">
        <v>0.222</v>
      </c>
      <c r="AC701">
        <v>0.26600000000000001</v>
      </c>
      <c r="AD701">
        <v>0.25600000000000001</v>
      </c>
      <c r="AE701">
        <v>0.28100000000000003</v>
      </c>
      <c r="AF701">
        <v>0.309</v>
      </c>
      <c r="AG701">
        <v>0.309</v>
      </c>
      <c r="AH701">
        <v>0.32700000000000001</v>
      </c>
      <c r="AI701">
        <v>0.40500000000000003</v>
      </c>
      <c r="AJ701">
        <v>0.39500000000000002</v>
      </c>
      <c r="AK701">
        <v>0.47799999999999998</v>
      </c>
      <c r="AL701">
        <v>0.47599999999999998</v>
      </c>
      <c r="AM701">
        <v>0.55300000000000005</v>
      </c>
      <c r="AN701">
        <v>0.64600000000000002</v>
      </c>
      <c r="AO701">
        <v>0.63600000000000001</v>
      </c>
      <c r="AP701">
        <v>0.68799999999999994</v>
      </c>
      <c r="AQ701">
        <v>0.69099999999999995</v>
      </c>
      <c r="AR701">
        <v>0.80900000000000005</v>
      </c>
      <c r="AS701">
        <v>0.75900000000000001</v>
      </c>
      <c r="AT701">
        <v>0.65800000000000003</v>
      </c>
      <c r="AU701">
        <v>0.63600000000000001</v>
      </c>
      <c r="AV701">
        <v>0.63600000000000001</v>
      </c>
      <c r="AW701">
        <v>0.66500000000000004</v>
      </c>
      <c r="AX701">
        <v>0.69899999999999995</v>
      </c>
      <c r="AY701">
        <v>2014</v>
      </c>
    </row>
    <row r="702" spans="1:51" x14ac:dyDescent="0.25">
      <c r="A702">
        <v>135</v>
      </c>
      <c r="B702" t="s">
        <v>728</v>
      </c>
      <c r="C702" t="s">
        <v>279</v>
      </c>
      <c r="D702" t="s">
        <v>191</v>
      </c>
      <c r="E702" t="s">
        <v>280</v>
      </c>
      <c r="F702" t="s">
        <v>281</v>
      </c>
      <c r="G702" t="s">
        <v>282</v>
      </c>
      <c r="H702" t="s">
        <v>283</v>
      </c>
      <c r="I702" t="s">
        <v>729</v>
      </c>
      <c r="J702" t="s">
        <v>285</v>
      </c>
      <c r="K702" t="s">
        <v>285</v>
      </c>
      <c r="L702" t="s">
        <v>285</v>
      </c>
      <c r="M702" t="s">
        <v>285</v>
      </c>
      <c r="N702" t="s">
        <v>285</v>
      </c>
      <c r="O702" t="s">
        <v>285</v>
      </c>
      <c r="P702" t="s">
        <v>285</v>
      </c>
      <c r="Q702" t="s">
        <v>285</v>
      </c>
      <c r="R702" t="s">
        <v>285</v>
      </c>
      <c r="S702" t="s">
        <v>285</v>
      </c>
      <c r="T702" t="s">
        <v>285</v>
      </c>
      <c r="U702" t="s">
        <v>285</v>
      </c>
      <c r="V702" t="s">
        <v>285</v>
      </c>
      <c r="W702" t="s">
        <v>285</v>
      </c>
      <c r="X702" t="s">
        <v>285</v>
      </c>
      <c r="Y702" t="s">
        <v>285</v>
      </c>
      <c r="Z702" t="s">
        <v>285</v>
      </c>
      <c r="AA702">
        <v>1.1579999999999999</v>
      </c>
      <c r="AB702">
        <v>1.2450000000000001</v>
      </c>
      <c r="AC702">
        <v>1.357</v>
      </c>
      <c r="AD702">
        <v>1.387</v>
      </c>
      <c r="AE702">
        <v>1.464</v>
      </c>
      <c r="AF702">
        <v>1.4690000000000001</v>
      </c>
      <c r="AG702">
        <v>1.526</v>
      </c>
      <c r="AH702">
        <v>1.5960000000000001</v>
      </c>
      <c r="AI702">
        <v>1.6339999999999999</v>
      </c>
      <c r="AJ702">
        <v>1.6970000000000001</v>
      </c>
      <c r="AK702">
        <v>1.8180000000000001</v>
      </c>
      <c r="AL702">
        <v>1.8480000000000001</v>
      </c>
      <c r="AM702">
        <v>1.611</v>
      </c>
      <c r="AN702">
        <v>1.536</v>
      </c>
      <c r="AO702">
        <v>1.391</v>
      </c>
      <c r="AP702">
        <v>1.286</v>
      </c>
      <c r="AQ702">
        <v>1.228</v>
      </c>
      <c r="AR702">
        <v>1.216</v>
      </c>
      <c r="AS702">
        <v>1.228</v>
      </c>
      <c r="AT702">
        <v>1.242</v>
      </c>
      <c r="AU702">
        <v>1.256</v>
      </c>
      <c r="AV702">
        <v>1.2729999999999999</v>
      </c>
      <c r="AW702">
        <v>1.2889999999999999</v>
      </c>
      <c r="AX702">
        <v>1.3049999999999999</v>
      </c>
      <c r="AY702">
        <v>2013</v>
      </c>
    </row>
    <row r="703" spans="1:51" x14ac:dyDescent="0.25">
      <c r="A703">
        <v>135</v>
      </c>
      <c r="B703" t="s">
        <v>728</v>
      </c>
      <c r="C703" t="s">
        <v>286</v>
      </c>
      <c r="D703" t="s">
        <v>191</v>
      </c>
      <c r="E703" t="s">
        <v>287</v>
      </c>
      <c r="F703" t="s">
        <v>288</v>
      </c>
      <c r="G703" t="s">
        <v>282</v>
      </c>
      <c r="H703" t="s">
        <v>283</v>
      </c>
      <c r="I703" t="s">
        <v>729</v>
      </c>
      <c r="J703" t="s">
        <v>285</v>
      </c>
      <c r="K703" t="s">
        <v>285</v>
      </c>
      <c r="L703" t="s">
        <v>285</v>
      </c>
      <c r="M703" t="s">
        <v>285</v>
      </c>
      <c r="N703" t="s">
        <v>285</v>
      </c>
      <c r="O703" t="s">
        <v>285</v>
      </c>
      <c r="P703" t="s">
        <v>285</v>
      </c>
      <c r="Q703" t="s">
        <v>285</v>
      </c>
      <c r="R703" t="s">
        <v>285</v>
      </c>
      <c r="S703" t="s">
        <v>285</v>
      </c>
      <c r="T703" t="s">
        <v>285</v>
      </c>
      <c r="U703" t="s">
        <v>285</v>
      </c>
      <c r="V703" t="s">
        <v>285</v>
      </c>
      <c r="W703" t="s">
        <v>285</v>
      </c>
      <c r="X703" t="s">
        <v>285</v>
      </c>
      <c r="Y703" t="s">
        <v>285</v>
      </c>
      <c r="Z703" t="s">
        <v>285</v>
      </c>
      <c r="AA703">
        <v>0.94199999999999995</v>
      </c>
      <c r="AB703">
        <v>1.0309999999999999</v>
      </c>
      <c r="AC703">
        <v>1.141</v>
      </c>
      <c r="AD703">
        <v>1.196</v>
      </c>
      <c r="AE703">
        <v>1.2969999999999999</v>
      </c>
      <c r="AF703">
        <v>1.3320000000000001</v>
      </c>
      <c r="AG703">
        <v>1.4179999999999999</v>
      </c>
      <c r="AH703">
        <v>1.512</v>
      </c>
      <c r="AI703">
        <v>1.575</v>
      </c>
      <c r="AJ703">
        <v>1.6679999999999999</v>
      </c>
      <c r="AK703">
        <v>1.8180000000000001</v>
      </c>
      <c r="AL703">
        <v>1.879</v>
      </c>
      <c r="AM703">
        <v>1.7010000000000001</v>
      </c>
      <c r="AN703">
        <v>1.615</v>
      </c>
      <c r="AO703">
        <v>1.478</v>
      </c>
      <c r="AP703">
        <v>1.401</v>
      </c>
      <c r="AQ703">
        <v>1.357</v>
      </c>
      <c r="AR703">
        <v>1.3440000000000001</v>
      </c>
      <c r="AS703">
        <v>1.363</v>
      </c>
      <c r="AT703">
        <v>1.3919999999999999</v>
      </c>
      <c r="AU703">
        <v>1.427</v>
      </c>
      <c r="AV703">
        <v>1.4670000000000001</v>
      </c>
      <c r="AW703">
        <v>1.51</v>
      </c>
      <c r="AX703">
        <v>1.5549999999999999</v>
      </c>
      <c r="AY703">
        <v>2013</v>
      </c>
    </row>
    <row r="704" spans="1:51" x14ac:dyDescent="0.25">
      <c r="A704">
        <v>135</v>
      </c>
      <c r="B704" t="s">
        <v>728</v>
      </c>
      <c r="C704" t="s">
        <v>289</v>
      </c>
      <c r="D704" t="s">
        <v>191</v>
      </c>
      <c r="E704" t="s">
        <v>287</v>
      </c>
      <c r="F704" t="s">
        <v>290</v>
      </c>
      <c r="G704" t="s">
        <v>291</v>
      </c>
      <c r="H704" t="s">
        <v>283</v>
      </c>
      <c r="I704" t="s">
        <v>292</v>
      </c>
      <c r="J704" t="s">
        <v>285</v>
      </c>
      <c r="K704" t="s">
        <v>285</v>
      </c>
      <c r="L704" t="s">
        <v>285</v>
      </c>
      <c r="M704" t="s">
        <v>285</v>
      </c>
      <c r="N704" t="s">
        <v>285</v>
      </c>
      <c r="O704" t="s">
        <v>285</v>
      </c>
      <c r="P704" t="s">
        <v>285</v>
      </c>
      <c r="Q704" t="s">
        <v>285</v>
      </c>
      <c r="R704" t="s">
        <v>285</v>
      </c>
      <c r="S704" t="s">
        <v>285</v>
      </c>
      <c r="T704" t="s">
        <v>285</v>
      </c>
      <c r="U704" t="s">
        <v>285</v>
      </c>
      <c r="V704" t="s">
        <v>285</v>
      </c>
      <c r="W704" t="s">
        <v>285</v>
      </c>
      <c r="X704" t="s">
        <v>285</v>
      </c>
      <c r="Y704" t="s">
        <v>285</v>
      </c>
      <c r="Z704" t="s">
        <v>285</v>
      </c>
      <c r="AA704" t="s">
        <v>285</v>
      </c>
      <c r="AB704" t="s">
        <v>285</v>
      </c>
      <c r="AC704" t="s">
        <v>285</v>
      </c>
      <c r="AD704" t="s">
        <v>285</v>
      </c>
      <c r="AE704" t="s">
        <v>285</v>
      </c>
      <c r="AF704" t="s">
        <v>285</v>
      </c>
      <c r="AG704" t="s">
        <v>285</v>
      </c>
      <c r="AH704">
        <v>1.88</v>
      </c>
      <c r="AI704">
        <v>1.962</v>
      </c>
      <c r="AJ704">
        <v>2.0950000000000002</v>
      </c>
      <c r="AK704">
        <v>2.4910000000000001</v>
      </c>
      <c r="AL704">
        <v>2.7650000000000001</v>
      </c>
      <c r="AM704">
        <v>2.3690000000000002</v>
      </c>
      <c r="AN704">
        <v>2.1429999999999998</v>
      </c>
      <c r="AO704">
        <v>2.056</v>
      </c>
      <c r="AP704">
        <v>1.802</v>
      </c>
      <c r="AQ704">
        <v>1.802</v>
      </c>
      <c r="AR704">
        <v>1.786</v>
      </c>
      <c r="AS704">
        <v>1.5429999999999999</v>
      </c>
      <c r="AT704">
        <v>1.5780000000000001</v>
      </c>
      <c r="AU704">
        <v>1.633</v>
      </c>
      <c r="AV704">
        <v>1.6990000000000001</v>
      </c>
      <c r="AW704">
        <v>1.7689999999999999</v>
      </c>
      <c r="AX704">
        <v>1.855</v>
      </c>
      <c r="AY704">
        <v>2013</v>
      </c>
    </row>
    <row r="705" spans="1:51" x14ac:dyDescent="0.25">
      <c r="A705">
        <v>135</v>
      </c>
      <c r="B705" t="s">
        <v>728</v>
      </c>
      <c r="C705" t="s">
        <v>293</v>
      </c>
      <c r="D705" t="s">
        <v>191</v>
      </c>
      <c r="E705" t="s">
        <v>294</v>
      </c>
      <c r="F705" t="s">
        <v>295</v>
      </c>
      <c r="G705" t="s">
        <v>296</v>
      </c>
      <c r="I705" t="s">
        <v>297</v>
      </c>
      <c r="J705" t="s">
        <v>285</v>
      </c>
      <c r="K705" t="s">
        <v>285</v>
      </c>
      <c r="L705" t="s">
        <v>285</v>
      </c>
      <c r="M705" t="s">
        <v>285</v>
      </c>
      <c r="N705" t="s">
        <v>285</v>
      </c>
      <c r="O705" t="s">
        <v>285</v>
      </c>
      <c r="P705" t="s">
        <v>285</v>
      </c>
      <c r="Q705" t="s">
        <v>285</v>
      </c>
      <c r="R705" t="s">
        <v>285</v>
      </c>
      <c r="S705" t="s">
        <v>285</v>
      </c>
      <c r="T705" t="s">
        <v>285</v>
      </c>
      <c r="U705" t="s">
        <v>285</v>
      </c>
      <c r="V705" t="s">
        <v>285</v>
      </c>
      <c r="W705" t="s">
        <v>285</v>
      </c>
      <c r="X705" t="s">
        <v>285</v>
      </c>
      <c r="Y705" t="s">
        <v>285</v>
      </c>
      <c r="Z705" t="s">
        <v>285</v>
      </c>
      <c r="AA705">
        <v>81.308000000000007</v>
      </c>
      <c r="AB705">
        <v>82.769000000000005</v>
      </c>
      <c r="AC705">
        <v>84.076999999999998</v>
      </c>
      <c r="AD705">
        <v>86.230999999999995</v>
      </c>
      <c r="AE705">
        <v>88.614999999999995</v>
      </c>
      <c r="AF705">
        <v>90.691999999999993</v>
      </c>
      <c r="AG705">
        <v>92.923000000000002</v>
      </c>
      <c r="AH705">
        <v>94.769000000000005</v>
      </c>
      <c r="AI705">
        <v>96.385000000000005</v>
      </c>
      <c r="AJ705">
        <v>98.308000000000007</v>
      </c>
      <c r="AK705">
        <v>100</v>
      </c>
      <c r="AL705">
        <v>101.68300000000001</v>
      </c>
      <c r="AM705">
        <v>105.556</v>
      </c>
      <c r="AN705">
        <v>105.13800000000001</v>
      </c>
      <c r="AO705">
        <v>106.223</v>
      </c>
      <c r="AP705">
        <v>108.946</v>
      </c>
      <c r="AQ705">
        <v>110.468</v>
      </c>
      <c r="AR705">
        <v>110.468</v>
      </c>
      <c r="AS705">
        <v>111.02</v>
      </c>
      <c r="AT705">
        <v>112.131</v>
      </c>
      <c r="AU705">
        <v>113.58799999999999</v>
      </c>
      <c r="AV705">
        <v>115.292</v>
      </c>
      <c r="AW705">
        <v>117.137</v>
      </c>
      <c r="AX705">
        <v>119.128</v>
      </c>
      <c r="AY705">
        <v>2013</v>
      </c>
    </row>
    <row r="706" spans="1:51" x14ac:dyDescent="0.25">
      <c r="A706">
        <v>135</v>
      </c>
      <c r="B706" t="s">
        <v>728</v>
      </c>
      <c r="C706" t="s">
        <v>298</v>
      </c>
      <c r="D706" t="s">
        <v>191</v>
      </c>
      <c r="E706" t="s">
        <v>299</v>
      </c>
      <c r="F706" t="s">
        <v>300</v>
      </c>
      <c r="G706" t="s">
        <v>282</v>
      </c>
      <c r="H706" t="s">
        <v>283</v>
      </c>
      <c r="I706" t="s">
        <v>730</v>
      </c>
      <c r="J706" t="s">
        <v>285</v>
      </c>
      <c r="K706" t="s">
        <v>285</v>
      </c>
      <c r="L706" t="s">
        <v>285</v>
      </c>
      <c r="M706" t="s">
        <v>285</v>
      </c>
      <c r="N706" t="s">
        <v>285</v>
      </c>
      <c r="O706" t="s">
        <v>285</v>
      </c>
      <c r="P706" t="s">
        <v>285</v>
      </c>
      <c r="Q706" t="s">
        <v>285</v>
      </c>
      <c r="R706" t="s">
        <v>285</v>
      </c>
      <c r="S706" t="s">
        <v>285</v>
      </c>
      <c r="T706" t="s">
        <v>285</v>
      </c>
      <c r="U706" t="s">
        <v>285</v>
      </c>
      <c r="V706" t="s">
        <v>285</v>
      </c>
      <c r="W706" t="s">
        <v>285</v>
      </c>
      <c r="X706" t="s">
        <v>285</v>
      </c>
      <c r="Y706" t="s">
        <v>285</v>
      </c>
      <c r="Z706" t="s">
        <v>285</v>
      </c>
      <c r="AA706" t="s">
        <v>285</v>
      </c>
      <c r="AB706" t="s">
        <v>285</v>
      </c>
      <c r="AC706" t="s">
        <v>285</v>
      </c>
      <c r="AD706" t="s">
        <v>285</v>
      </c>
      <c r="AE706" t="s">
        <v>285</v>
      </c>
      <c r="AF706" t="s">
        <v>285</v>
      </c>
      <c r="AG706" t="s">
        <v>285</v>
      </c>
      <c r="AH706">
        <v>0.26900000000000002</v>
      </c>
      <c r="AI706">
        <v>0.28100000000000003</v>
      </c>
      <c r="AJ706">
        <v>0.30099999999999999</v>
      </c>
      <c r="AK706">
        <v>0.33</v>
      </c>
      <c r="AL706">
        <v>0.36299999999999999</v>
      </c>
      <c r="AM706">
        <v>0.36799999999999999</v>
      </c>
      <c r="AN706">
        <v>0.34599999999999997</v>
      </c>
      <c r="AO706">
        <v>0.33100000000000002</v>
      </c>
      <c r="AP706">
        <v>0.32200000000000001</v>
      </c>
      <c r="AQ706">
        <v>0.29599999999999999</v>
      </c>
      <c r="AR706">
        <v>0.312</v>
      </c>
      <c r="AS706">
        <v>0.309</v>
      </c>
      <c r="AT706">
        <v>0.317</v>
      </c>
      <c r="AU706">
        <v>0.32700000000000001</v>
      </c>
      <c r="AV706">
        <v>0.33700000000000002</v>
      </c>
      <c r="AW706">
        <v>0.34699999999999998</v>
      </c>
      <c r="AX706">
        <v>0.35799999999999998</v>
      </c>
      <c r="AY706">
        <v>2013</v>
      </c>
    </row>
    <row r="707" spans="1:51" x14ac:dyDescent="0.25">
      <c r="A707">
        <v>716</v>
      </c>
      <c r="B707" t="s">
        <v>731</v>
      </c>
      <c r="C707" t="s">
        <v>279</v>
      </c>
      <c r="D707" t="s">
        <v>192</v>
      </c>
      <c r="E707" t="s">
        <v>280</v>
      </c>
      <c r="F707" t="s">
        <v>281</v>
      </c>
      <c r="G707" t="s">
        <v>282</v>
      </c>
      <c r="H707" t="s">
        <v>283</v>
      </c>
      <c r="I707" t="s">
        <v>732</v>
      </c>
      <c r="J707">
        <v>579.31600000000003</v>
      </c>
      <c r="K707">
        <v>519.56600000000003</v>
      </c>
      <c r="L707">
        <v>535.63499999999999</v>
      </c>
      <c r="M707">
        <v>514.88499999999999</v>
      </c>
      <c r="N707">
        <v>483.83499999999998</v>
      </c>
      <c r="O707">
        <v>528.83100000000002</v>
      </c>
      <c r="P707">
        <v>497.98899999999998</v>
      </c>
      <c r="Q707">
        <v>483.39699999999999</v>
      </c>
      <c r="R707">
        <v>493.05900000000003</v>
      </c>
      <c r="S707">
        <v>508.51799999999997</v>
      </c>
      <c r="T707">
        <v>497.572</v>
      </c>
      <c r="U707">
        <v>503.54700000000003</v>
      </c>
      <c r="V707">
        <v>507.072</v>
      </c>
      <c r="W707">
        <v>512.65</v>
      </c>
      <c r="X707">
        <v>523.928</v>
      </c>
      <c r="Y707">
        <v>534.40700000000004</v>
      </c>
      <c r="Z707">
        <v>542.423</v>
      </c>
      <c r="AA707">
        <v>547.827</v>
      </c>
      <c r="AB707">
        <v>561.52300000000002</v>
      </c>
      <c r="AC707">
        <v>575.56100000000004</v>
      </c>
      <c r="AD707">
        <v>578.14200000000005</v>
      </c>
      <c r="AE707">
        <v>595.85900000000004</v>
      </c>
      <c r="AF707">
        <v>609.69899999999996</v>
      </c>
      <c r="AG707">
        <v>649.93299999999999</v>
      </c>
      <c r="AH707">
        <v>674.78800000000001</v>
      </c>
      <c r="AI707">
        <v>722.66899999999998</v>
      </c>
      <c r="AJ707">
        <v>788.495</v>
      </c>
      <c r="AK707">
        <v>793.09799999999996</v>
      </c>
      <c r="AL707">
        <v>857.01599999999996</v>
      </c>
      <c r="AM707">
        <v>891.40300000000002</v>
      </c>
      <c r="AN707">
        <v>931.21699999999998</v>
      </c>
      <c r="AO707">
        <v>975.58399999999995</v>
      </c>
      <c r="AP707" s="21">
        <v>1019.443</v>
      </c>
      <c r="AQ707" s="21">
        <v>1060.221</v>
      </c>
      <c r="AR707" s="21">
        <v>1107.931</v>
      </c>
      <c r="AS707" s="21">
        <v>1163.328</v>
      </c>
      <c r="AT707" s="21">
        <v>1223.8209999999999</v>
      </c>
      <c r="AU707" s="21">
        <v>1291.1310000000001</v>
      </c>
      <c r="AV707" s="21">
        <v>1362.143</v>
      </c>
      <c r="AW707" s="21">
        <v>1443.8710000000001</v>
      </c>
      <c r="AX707" s="21">
        <v>1530.5039999999999</v>
      </c>
      <c r="AY707">
        <v>2012</v>
      </c>
    </row>
    <row r="708" spans="1:51" x14ac:dyDescent="0.25">
      <c r="A708">
        <v>716</v>
      </c>
      <c r="B708" t="s">
        <v>731</v>
      </c>
      <c r="C708" t="s">
        <v>286</v>
      </c>
      <c r="D708" t="s">
        <v>192</v>
      </c>
      <c r="E708" t="s">
        <v>287</v>
      </c>
      <c r="F708" t="s">
        <v>288</v>
      </c>
      <c r="G708" t="s">
        <v>282</v>
      </c>
      <c r="H708" t="s">
        <v>283</v>
      </c>
      <c r="I708" t="s">
        <v>732</v>
      </c>
      <c r="J708">
        <v>2.86</v>
      </c>
      <c r="K708">
        <v>3.23</v>
      </c>
      <c r="L708">
        <v>3.3170000000000002</v>
      </c>
      <c r="M708">
        <v>3.2029999999999998</v>
      </c>
      <c r="N708">
        <v>3.4790000000000001</v>
      </c>
      <c r="O708">
        <v>3.7170000000000001</v>
      </c>
      <c r="P708">
        <v>4.5060000000000002</v>
      </c>
      <c r="Q708">
        <v>6.3319999999999999</v>
      </c>
      <c r="R708">
        <v>8.6110000000000007</v>
      </c>
      <c r="S708">
        <v>12.375999999999999</v>
      </c>
      <c r="T708">
        <v>17.225000000000001</v>
      </c>
      <c r="U708">
        <v>21.849</v>
      </c>
      <c r="V708">
        <v>30.706</v>
      </c>
      <c r="W708">
        <v>54.447000000000003</v>
      </c>
      <c r="X708">
        <v>96.927999999999997</v>
      </c>
      <c r="Y708">
        <v>148.363</v>
      </c>
      <c r="Z708">
        <v>300.02600000000001</v>
      </c>
      <c r="AA708">
        <v>421.53699999999998</v>
      </c>
      <c r="AB708">
        <v>501.20800000000003</v>
      </c>
      <c r="AC708">
        <v>554.34799999999996</v>
      </c>
      <c r="AD708">
        <v>612.38300000000004</v>
      </c>
      <c r="AE708">
        <v>638.66800000000001</v>
      </c>
      <c r="AF708">
        <v>738.73599999999999</v>
      </c>
      <c r="AG708">
        <v>916.98800000000006</v>
      </c>
      <c r="AH708" s="21">
        <v>1067.9490000000001</v>
      </c>
      <c r="AI708" s="21">
        <v>1374.721</v>
      </c>
      <c r="AJ708" s="21">
        <v>1742.9259999999999</v>
      </c>
      <c r="AK708" s="21">
        <v>2004.857</v>
      </c>
      <c r="AL708" s="21">
        <v>2845.3319999999999</v>
      </c>
      <c r="AM708" s="21">
        <v>3240.7570000000001</v>
      </c>
      <c r="AN708" s="21">
        <v>3860.2930000000001</v>
      </c>
      <c r="AO708" s="21">
        <v>4469.415</v>
      </c>
      <c r="AP708" s="21">
        <v>4952.2510000000002</v>
      </c>
      <c r="AQ708" s="21">
        <v>5582.4560000000001</v>
      </c>
      <c r="AR708" s="21">
        <v>6237.058</v>
      </c>
      <c r="AS708" s="21">
        <v>7170.6390000000001</v>
      </c>
      <c r="AT708" s="21">
        <v>7790.2879999999996</v>
      </c>
      <c r="AU708" s="21">
        <v>8250.9509999999991</v>
      </c>
      <c r="AV708" s="21">
        <v>8820.1759999999995</v>
      </c>
      <c r="AW708" s="21">
        <v>9581.01</v>
      </c>
      <c r="AX708" s="21">
        <v>10411.129000000001</v>
      </c>
      <c r="AY708">
        <v>2012</v>
      </c>
    </row>
    <row r="709" spans="1:51" x14ac:dyDescent="0.25">
      <c r="A709">
        <v>716</v>
      </c>
      <c r="B709" t="s">
        <v>731</v>
      </c>
      <c r="C709" t="s">
        <v>289</v>
      </c>
      <c r="D709" t="s">
        <v>192</v>
      </c>
      <c r="E709" t="s">
        <v>287</v>
      </c>
      <c r="F709" t="s">
        <v>290</v>
      </c>
      <c r="G709" t="s">
        <v>291</v>
      </c>
      <c r="H709" t="s">
        <v>283</v>
      </c>
      <c r="I709" t="s">
        <v>292</v>
      </c>
      <c r="J709">
        <v>6.9000000000000006E-2</v>
      </c>
      <c r="K709">
        <v>8.4000000000000005E-2</v>
      </c>
      <c r="L709">
        <v>8.1000000000000003E-2</v>
      </c>
      <c r="M709">
        <v>7.5999999999999998E-2</v>
      </c>
      <c r="N709">
        <v>7.9000000000000001E-2</v>
      </c>
      <c r="O709">
        <v>8.3000000000000004E-2</v>
      </c>
      <c r="P709">
        <v>0.11700000000000001</v>
      </c>
      <c r="Q709">
        <v>0.11799999999999999</v>
      </c>
      <c r="R709">
        <v>0.1</v>
      </c>
      <c r="S709">
        <v>9.9000000000000005E-2</v>
      </c>
      <c r="T709">
        <v>0.12</v>
      </c>
      <c r="U709">
        <v>0.108</v>
      </c>
      <c r="V709">
        <v>9.6000000000000002E-2</v>
      </c>
      <c r="W709">
        <v>0.127</v>
      </c>
      <c r="X709">
        <v>0.13200000000000001</v>
      </c>
      <c r="Y709">
        <v>0.104</v>
      </c>
      <c r="Z709">
        <v>3.4000000000000002E-2</v>
      </c>
      <c r="AA709">
        <v>4.5999999999999999E-2</v>
      </c>
      <c r="AB709">
        <v>5.3999999999999999E-2</v>
      </c>
      <c r="AC709">
        <v>5.6000000000000001E-2</v>
      </c>
      <c r="AD709">
        <v>5.8000000000000003E-2</v>
      </c>
      <c r="AE709">
        <v>5.0999999999999997E-2</v>
      </c>
      <c r="AF709">
        <v>5.5E-2</v>
      </c>
      <c r="AG709">
        <v>9.8000000000000004E-2</v>
      </c>
      <c r="AH709">
        <v>0.108</v>
      </c>
      <c r="AI709">
        <v>0.13</v>
      </c>
      <c r="AJ709">
        <v>0.14000000000000001</v>
      </c>
      <c r="AK709">
        <v>0.14799999999999999</v>
      </c>
      <c r="AL709">
        <v>0.19400000000000001</v>
      </c>
      <c r="AM709">
        <v>0.2</v>
      </c>
      <c r="AN709">
        <v>0.20899999999999999</v>
      </c>
      <c r="AO709">
        <v>0.254</v>
      </c>
      <c r="AP709">
        <v>0.26</v>
      </c>
      <c r="AQ709">
        <v>0.30299999999999999</v>
      </c>
      <c r="AR709">
        <v>0.33800000000000002</v>
      </c>
      <c r="AS709">
        <v>0.32600000000000001</v>
      </c>
      <c r="AT709">
        <v>0.35599999999999998</v>
      </c>
      <c r="AU709">
        <v>0.38200000000000001</v>
      </c>
      <c r="AV709">
        <v>0.41299999999999998</v>
      </c>
      <c r="AW709">
        <v>0.45300000000000001</v>
      </c>
      <c r="AX709">
        <v>0.5</v>
      </c>
      <c r="AY709">
        <v>2012</v>
      </c>
    </row>
    <row r="710" spans="1:51" x14ac:dyDescent="0.25">
      <c r="A710">
        <v>716</v>
      </c>
      <c r="B710" t="s">
        <v>731</v>
      </c>
      <c r="C710" t="s">
        <v>293</v>
      </c>
      <c r="D710" t="s">
        <v>192</v>
      </c>
      <c r="E710" t="s">
        <v>294</v>
      </c>
      <c r="F710" t="s">
        <v>295</v>
      </c>
      <c r="G710" t="s">
        <v>296</v>
      </c>
      <c r="I710" t="s">
        <v>297</v>
      </c>
      <c r="J710">
        <v>0.49399999999999999</v>
      </c>
      <c r="K710">
        <v>0.622</v>
      </c>
      <c r="L710">
        <v>0.61899999999999999</v>
      </c>
      <c r="M710">
        <v>0.622</v>
      </c>
      <c r="N710">
        <v>0.71899999999999997</v>
      </c>
      <c r="O710">
        <v>0.70299999999999996</v>
      </c>
      <c r="P710">
        <v>0.90500000000000003</v>
      </c>
      <c r="Q710">
        <v>1.31</v>
      </c>
      <c r="R710">
        <v>1.746</v>
      </c>
      <c r="S710">
        <v>2.4340000000000002</v>
      </c>
      <c r="T710">
        <v>3.4620000000000002</v>
      </c>
      <c r="U710">
        <v>4.3390000000000004</v>
      </c>
      <c r="V710">
        <v>6.056</v>
      </c>
      <c r="W710">
        <v>10.621</v>
      </c>
      <c r="X710">
        <v>18.5</v>
      </c>
      <c r="Y710">
        <v>27.762</v>
      </c>
      <c r="Z710">
        <v>55.311999999999998</v>
      </c>
      <c r="AA710">
        <v>76.947000000000003</v>
      </c>
      <c r="AB710">
        <v>89.259</v>
      </c>
      <c r="AC710">
        <v>96.313999999999993</v>
      </c>
      <c r="AD710">
        <v>105.923</v>
      </c>
      <c r="AE710">
        <v>107.184</v>
      </c>
      <c r="AF710">
        <v>121.164</v>
      </c>
      <c r="AG710">
        <v>141.09</v>
      </c>
      <c r="AH710">
        <v>158.26400000000001</v>
      </c>
      <c r="AI710">
        <v>190.22800000000001</v>
      </c>
      <c r="AJ710">
        <v>221.04499999999999</v>
      </c>
      <c r="AK710">
        <v>252.78800000000001</v>
      </c>
      <c r="AL710">
        <v>332.00400000000002</v>
      </c>
      <c r="AM710">
        <v>363.55700000000002</v>
      </c>
      <c r="AN710">
        <v>414.54300000000001</v>
      </c>
      <c r="AO710">
        <v>458.12700000000001</v>
      </c>
      <c r="AP710">
        <v>485.78</v>
      </c>
      <c r="AQ710">
        <v>526.53700000000003</v>
      </c>
      <c r="AR710">
        <v>562.94600000000003</v>
      </c>
      <c r="AS710">
        <v>616.39</v>
      </c>
      <c r="AT710">
        <v>636.55499999999995</v>
      </c>
      <c r="AU710">
        <v>639.048</v>
      </c>
      <c r="AV710">
        <v>647.52200000000005</v>
      </c>
      <c r="AW710">
        <v>663.56399999999996</v>
      </c>
      <c r="AX710">
        <v>680.24199999999996</v>
      </c>
      <c r="AY710">
        <v>2012</v>
      </c>
    </row>
    <row r="711" spans="1:51" x14ac:dyDescent="0.25">
      <c r="A711">
        <v>716</v>
      </c>
      <c r="B711" t="s">
        <v>731</v>
      </c>
      <c r="C711" t="s">
        <v>298</v>
      </c>
      <c r="D711" t="s">
        <v>192</v>
      </c>
      <c r="E711" t="s">
        <v>299</v>
      </c>
      <c r="F711" t="s">
        <v>300</v>
      </c>
      <c r="G711" t="s">
        <v>282</v>
      </c>
      <c r="H711" t="s">
        <v>283</v>
      </c>
      <c r="I711" t="s">
        <v>733</v>
      </c>
      <c r="J711" t="s">
        <v>285</v>
      </c>
      <c r="K711" t="s">
        <v>285</v>
      </c>
      <c r="L711" t="s">
        <v>285</v>
      </c>
      <c r="M711" t="s">
        <v>285</v>
      </c>
      <c r="N711" t="s">
        <v>285</v>
      </c>
      <c r="O711" t="s">
        <v>285</v>
      </c>
      <c r="P711" t="s">
        <v>285</v>
      </c>
      <c r="Q711" t="s">
        <v>285</v>
      </c>
      <c r="R711" t="s">
        <v>285</v>
      </c>
      <c r="S711" t="s">
        <v>285</v>
      </c>
      <c r="T711" t="s">
        <v>285</v>
      </c>
      <c r="U711" t="s">
        <v>285</v>
      </c>
      <c r="V711" t="s">
        <v>285</v>
      </c>
      <c r="W711" t="s">
        <v>285</v>
      </c>
      <c r="X711" t="s">
        <v>285</v>
      </c>
      <c r="Y711" t="s">
        <v>285</v>
      </c>
      <c r="Z711" t="s">
        <v>285</v>
      </c>
      <c r="AA711" t="s">
        <v>285</v>
      </c>
      <c r="AB711" t="s">
        <v>285</v>
      </c>
      <c r="AC711" t="s">
        <v>285</v>
      </c>
      <c r="AD711">
        <v>66.119</v>
      </c>
      <c r="AE711">
        <v>336.286</v>
      </c>
      <c r="AF711">
        <v>327.59899999999999</v>
      </c>
      <c r="AG711">
        <v>463.202</v>
      </c>
      <c r="AH711">
        <v>627.39400000000001</v>
      </c>
      <c r="AI711">
        <v>576.952</v>
      </c>
      <c r="AJ711">
        <v>783.26199999999994</v>
      </c>
      <c r="AK711">
        <v>761.89300000000003</v>
      </c>
      <c r="AL711">
        <v>841.245</v>
      </c>
      <c r="AM711" s="21">
        <v>1581.0989999999999</v>
      </c>
      <c r="AN711" s="21">
        <v>1824.3610000000001</v>
      </c>
      <c r="AO711" s="21">
        <v>2145.3760000000002</v>
      </c>
      <c r="AP711" s="21">
        <v>2225.317</v>
      </c>
      <c r="AQ711" s="21">
        <v>1763.2850000000001</v>
      </c>
      <c r="AR711" s="21">
        <v>1962.4269999999999</v>
      </c>
      <c r="AS711" s="21">
        <v>2909.9560000000001</v>
      </c>
      <c r="AT711" s="21">
        <v>2817.7280000000001</v>
      </c>
      <c r="AU711" s="21">
        <v>3043.3319999999999</v>
      </c>
      <c r="AV711" s="21">
        <v>3169.1959999999999</v>
      </c>
      <c r="AW711" s="21">
        <v>3419.7170000000001</v>
      </c>
      <c r="AX711" s="21">
        <v>3621.1880000000001</v>
      </c>
      <c r="AY711">
        <v>2014</v>
      </c>
    </row>
    <row r="712" spans="1:51" x14ac:dyDescent="0.25">
      <c r="A712">
        <v>456</v>
      </c>
      <c r="B712" t="s">
        <v>734</v>
      </c>
      <c r="C712" t="s">
        <v>279</v>
      </c>
      <c r="D712" t="s">
        <v>193</v>
      </c>
      <c r="E712" t="s">
        <v>280</v>
      </c>
      <c r="F712" t="s">
        <v>281</v>
      </c>
      <c r="G712" t="s">
        <v>282</v>
      </c>
      <c r="H712" t="s">
        <v>283</v>
      </c>
      <c r="I712" t="s">
        <v>735</v>
      </c>
      <c r="J712">
        <v>980.29100000000005</v>
      </c>
      <c r="K712" s="21">
        <v>1026.2760000000001</v>
      </c>
      <c r="L712">
        <v>912.37800000000004</v>
      </c>
      <c r="M712">
        <v>837.41200000000003</v>
      </c>
      <c r="N712">
        <v>811.55</v>
      </c>
      <c r="O712">
        <v>776.45899999999995</v>
      </c>
      <c r="P712">
        <v>814.08500000000004</v>
      </c>
      <c r="Q712">
        <v>783.47500000000002</v>
      </c>
      <c r="R712">
        <v>847.90800000000002</v>
      </c>
      <c r="S712">
        <v>848.43799999999999</v>
      </c>
      <c r="T712">
        <v>919.1</v>
      </c>
      <c r="U712" s="21">
        <v>1002.773</v>
      </c>
      <c r="V712" s="21">
        <v>1049.1869999999999</v>
      </c>
      <c r="W712" s="21">
        <v>1049.461</v>
      </c>
      <c r="X712" s="21">
        <v>1056.4449999999999</v>
      </c>
      <c r="Y712" s="21">
        <v>1058.568</v>
      </c>
      <c r="Z712" s="21">
        <v>1094.3869999999999</v>
      </c>
      <c r="AA712" s="21">
        <v>1122.761</v>
      </c>
      <c r="AB712" s="21">
        <v>1154.587</v>
      </c>
      <c r="AC712" s="21">
        <v>1145.9449999999999</v>
      </c>
      <c r="AD712" s="21">
        <v>1201.69</v>
      </c>
      <c r="AE712" s="21">
        <v>1208.271</v>
      </c>
      <c r="AF712" s="21">
        <v>1209.8150000000001</v>
      </c>
      <c r="AG712" s="21">
        <v>1310.079</v>
      </c>
      <c r="AH712" s="21">
        <v>1423.01</v>
      </c>
      <c r="AI712" s="21">
        <v>1526.2660000000001</v>
      </c>
      <c r="AJ712" s="21">
        <v>1611.3810000000001</v>
      </c>
      <c r="AK712" s="21">
        <v>1707.9390000000001</v>
      </c>
      <c r="AL712" s="21">
        <v>1851.8710000000001</v>
      </c>
      <c r="AM712" s="21">
        <v>1885.7449999999999</v>
      </c>
      <c r="AN712" s="21">
        <v>1975.5429999999999</v>
      </c>
      <c r="AO712" s="21">
        <v>2172.2860000000001</v>
      </c>
      <c r="AP712" s="21">
        <v>2289.252</v>
      </c>
      <c r="AQ712" s="21">
        <v>2350.373</v>
      </c>
      <c r="AR712" s="21">
        <v>2431.877</v>
      </c>
      <c r="AS712" s="21">
        <v>2515.2930000000001</v>
      </c>
      <c r="AT712" s="21">
        <v>2570.884</v>
      </c>
      <c r="AU712" s="21">
        <v>2644.8470000000002</v>
      </c>
      <c r="AV712" s="21">
        <v>2724.8409999999999</v>
      </c>
      <c r="AW712" s="21">
        <v>2809.268</v>
      </c>
      <c r="AX712" s="21">
        <v>2898.4810000000002</v>
      </c>
      <c r="AY712">
        <v>2014</v>
      </c>
    </row>
    <row r="713" spans="1:51" x14ac:dyDescent="0.25">
      <c r="A713">
        <v>456</v>
      </c>
      <c r="B713" t="s">
        <v>734</v>
      </c>
      <c r="C713" t="s">
        <v>286</v>
      </c>
      <c r="D713" t="s">
        <v>193</v>
      </c>
      <c r="E713" t="s">
        <v>287</v>
      </c>
      <c r="F713" t="s">
        <v>288</v>
      </c>
      <c r="G713" t="s">
        <v>282</v>
      </c>
      <c r="H713" t="s">
        <v>283</v>
      </c>
      <c r="I713" t="s">
        <v>735</v>
      </c>
      <c r="J713">
        <v>547.38099999999997</v>
      </c>
      <c r="K713">
        <v>623.36699999999996</v>
      </c>
      <c r="L713">
        <v>525.33399999999995</v>
      </c>
      <c r="M713">
        <v>446.28800000000001</v>
      </c>
      <c r="N713">
        <v>421.55799999999999</v>
      </c>
      <c r="O713">
        <v>376.31799999999998</v>
      </c>
      <c r="P713">
        <v>322.02</v>
      </c>
      <c r="Q713">
        <v>320.93099999999998</v>
      </c>
      <c r="R713">
        <v>330.51900000000001</v>
      </c>
      <c r="S713">
        <v>357.065</v>
      </c>
      <c r="T713">
        <v>440.52499999999998</v>
      </c>
      <c r="U713">
        <v>495.17599999999999</v>
      </c>
      <c r="V713">
        <v>513.39400000000001</v>
      </c>
      <c r="W713">
        <v>497.96499999999997</v>
      </c>
      <c r="X713">
        <v>506.23</v>
      </c>
      <c r="Y713">
        <v>536.82000000000005</v>
      </c>
      <c r="Z713">
        <v>594.19100000000003</v>
      </c>
      <c r="AA713">
        <v>621.53399999999999</v>
      </c>
      <c r="AB713">
        <v>550.40800000000002</v>
      </c>
      <c r="AC713">
        <v>606.43899999999996</v>
      </c>
      <c r="AD713">
        <v>710.68100000000004</v>
      </c>
      <c r="AE713">
        <v>690.51599999999996</v>
      </c>
      <c r="AF713">
        <v>711.02200000000005</v>
      </c>
      <c r="AG713">
        <v>809.279</v>
      </c>
      <c r="AH713">
        <v>970.28300000000002</v>
      </c>
      <c r="AI713" s="21">
        <v>1230.771</v>
      </c>
      <c r="AJ713" s="21">
        <v>1411.491</v>
      </c>
      <c r="AK713" s="21">
        <v>1558.827</v>
      </c>
      <c r="AL713" s="21">
        <v>1949.2370000000001</v>
      </c>
      <c r="AM713" s="21">
        <v>1609.117</v>
      </c>
      <c r="AN713" s="21">
        <v>1975.5429999999999</v>
      </c>
      <c r="AO713" s="21">
        <v>2510.65</v>
      </c>
      <c r="AP713" s="21">
        <v>2752.3339999999998</v>
      </c>
      <c r="AQ713" s="21">
        <v>2791.259</v>
      </c>
      <c r="AR713" s="21">
        <v>2798.4319999999998</v>
      </c>
      <c r="AS713" s="21">
        <v>2370.2739999999999</v>
      </c>
      <c r="AT713" s="21">
        <v>2412.1289999999999</v>
      </c>
      <c r="AU713" s="21">
        <v>2604.4380000000001</v>
      </c>
      <c r="AV713" s="21">
        <v>2809.5030000000002</v>
      </c>
      <c r="AW713" s="21">
        <v>2999.0619999999999</v>
      </c>
      <c r="AX713" s="21">
        <v>3182.087</v>
      </c>
      <c r="AY713">
        <v>2014</v>
      </c>
    </row>
    <row r="714" spans="1:51" x14ac:dyDescent="0.25">
      <c r="A714">
        <v>456</v>
      </c>
      <c r="B714" t="s">
        <v>734</v>
      </c>
      <c r="C714" t="s">
        <v>289</v>
      </c>
      <c r="D714" t="s">
        <v>193</v>
      </c>
      <c r="E714" t="s">
        <v>287</v>
      </c>
      <c r="F714" t="s">
        <v>290</v>
      </c>
      <c r="G714" t="s">
        <v>291</v>
      </c>
      <c r="H714" t="s">
        <v>283</v>
      </c>
      <c r="I714" t="s">
        <v>292</v>
      </c>
      <c r="J714">
        <v>164.54</v>
      </c>
      <c r="K714">
        <v>184.291</v>
      </c>
      <c r="L714">
        <v>153.24</v>
      </c>
      <c r="M714">
        <v>129.18100000000001</v>
      </c>
      <c r="N714">
        <v>119.631</v>
      </c>
      <c r="O714">
        <v>103.89400000000001</v>
      </c>
      <c r="P714">
        <v>86.885999999999996</v>
      </c>
      <c r="Q714">
        <v>85.581999999999994</v>
      </c>
      <c r="R714">
        <v>88.138000000000005</v>
      </c>
      <c r="S714">
        <v>95.216999999999999</v>
      </c>
      <c r="T714">
        <v>117.473</v>
      </c>
      <c r="U714">
        <v>132.047</v>
      </c>
      <c r="V714">
        <v>136.905</v>
      </c>
      <c r="W714">
        <v>132.791</v>
      </c>
      <c r="X714">
        <v>134.995</v>
      </c>
      <c r="Y714">
        <v>143.15199999999999</v>
      </c>
      <c r="Z714">
        <v>158.45099999999999</v>
      </c>
      <c r="AA714">
        <v>165.74199999999999</v>
      </c>
      <c r="AB714">
        <v>146.77500000000001</v>
      </c>
      <c r="AC714">
        <v>161.71700000000001</v>
      </c>
      <c r="AD714">
        <v>189.51499999999999</v>
      </c>
      <c r="AE714">
        <v>184.13800000000001</v>
      </c>
      <c r="AF714">
        <v>189.60599999999999</v>
      </c>
      <c r="AG714">
        <v>215.80799999999999</v>
      </c>
      <c r="AH714">
        <v>258.74200000000002</v>
      </c>
      <c r="AI714">
        <v>328.20600000000002</v>
      </c>
      <c r="AJ714">
        <v>376.39800000000002</v>
      </c>
      <c r="AK714">
        <v>415.68700000000001</v>
      </c>
      <c r="AL714">
        <v>519.79700000000003</v>
      </c>
      <c r="AM714">
        <v>429.09800000000001</v>
      </c>
      <c r="AN714">
        <v>526.81100000000004</v>
      </c>
      <c r="AO714">
        <v>669.50699999999995</v>
      </c>
      <c r="AP714">
        <v>733.95600000000002</v>
      </c>
      <c r="AQ714">
        <v>744.33600000000001</v>
      </c>
      <c r="AR714">
        <v>746.24800000000005</v>
      </c>
      <c r="AS714">
        <v>632.07299999999998</v>
      </c>
      <c r="AT714">
        <v>643.23400000000004</v>
      </c>
      <c r="AU714">
        <v>694.51700000000005</v>
      </c>
      <c r="AV714">
        <v>749.20100000000002</v>
      </c>
      <c r="AW714">
        <v>799.75</v>
      </c>
      <c r="AX714">
        <v>848.55700000000002</v>
      </c>
      <c r="AY714">
        <v>2014</v>
      </c>
    </row>
    <row r="715" spans="1:51" x14ac:dyDescent="0.25">
      <c r="A715">
        <v>456</v>
      </c>
      <c r="B715" t="s">
        <v>734</v>
      </c>
      <c r="C715" t="s">
        <v>293</v>
      </c>
      <c r="D715" t="s">
        <v>193</v>
      </c>
      <c r="E715" t="s">
        <v>294</v>
      </c>
      <c r="F715" t="s">
        <v>295</v>
      </c>
      <c r="G715" t="s">
        <v>296</v>
      </c>
      <c r="I715" t="s">
        <v>297</v>
      </c>
      <c r="J715">
        <v>55.838999999999999</v>
      </c>
      <c r="K715">
        <v>60.741</v>
      </c>
      <c r="L715">
        <v>57.579000000000001</v>
      </c>
      <c r="M715">
        <v>53.293999999999997</v>
      </c>
      <c r="N715">
        <v>51.945</v>
      </c>
      <c r="O715">
        <v>48.466000000000001</v>
      </c>
      <c r="P715">
        <v>39.555999999999997</v>
      </c>
      <c r="Q715">
        <v>40.963000000000001</v>
      </c>
      <c r="R715">
        <v>38.981000000000002</v>
      </c>
      <c r="S715">
        <v>42.085000000000001</v>
      </c>
      <c r="T715">
        <v>47.93</v>
      </c>
      <c r="U715">
        <v>49.381</v>
      </c>
      <c r="V715">
        <v>48.933</v>
      </c>
      <c r="W715">
        <v>47.45</v>
      </c>
      <c r="X715">
        <v>47.917999999999999</v>
      </c>
      <c r="Y715">
        <v>50.712000000000003</v>
      </c>
      <c r="Z715">
        <v>54.293999999999997</v>
      </c>
      <c r="AA715">
        <v>55.357999999999997</v>
      </c>
      <c r="AB715">
        <v>47.670999999999999</v>
      </c>
      <c r="AC715">
        <v>52.92</v>
      </c>
      <c r="AD715">
        <v>59.14</v>
      </c>
      <c r="AE715">
        <v>57.149000000000001</v>
      </c>
      <c r="AF715">
        <v>58.771000000000001</v>
      </c>
      <c r="AG715">
        <v>61.773000000000003</v>
      </c>
      <c r="AH715">
        <v>68.185000000000002</v>
      </c>
      <c r="AI715">
        <v>80.638999999999996</v>
      </c>
      <c r="AJ715">
        <v>87.594999999999999</v>
      </c>
      <c r="AK715">
        <v>91.27</v>
      </c>
      <c r="AL715">
        <v>105.258</v>
      </c>
      <c r="AM715">
        <v>85.331000000000003</v>
      </c>
      <c r="AN715">
        <v>100</v>
      </c>
      <c r="AO715">
        <v>115.57599999999999</v>
      </c>
      <c r="AP715">
        <v>120.229</v>
      </c>
      <c r="AQ715">
        <v>118.758</v>
      </c>
      <c r="AR715">
        <v>115.07299999999999</v>
      </c>
      <c r="AS715">
        <v>94.233999999999995</v>
      </c>
      <c r="AT715">
        <v>93.825000000000003</v>
      </c>
      <c r="AU715">
        <v>98.471999999999994</v>
      </c>
      <c r="AV715">
        <v>103.107</v>
      </c>
      <c r="AW715">
        <v>106.756</v>
      </c>
      <c r="AX715">
        <v>109.785</v>
      </c>
      <c r="AY715">
        <v>2014</v>
      </c>
    </row>
    <row r="716" spans="1:51" x14ac:dyDescent="0.25">
      <c r="A716">
        <v>456</v>
      </c>
      <c r="B716" t="s">
        <v>734</v>
      </c>
      <c r="C716" t="s">
        <v>298</v>
      </c>
      <c r="D716" t="s">
        <v>193</v>
      </c>
      <c r="E716" t="s">
        <v>299</v>
      </c>
      <c r="F716" t="s">
        <v>300</v>
      </c>
      <c r="G716" t="s">
        <v>282</v>
      </c>
      <c r="H716" t="s">
        <v>283</v>
      </c>
      <c r="I716" t="s">
        <v>736</v>
      </c>
      <c r="J716" t="s">
        <v>285</v>
      </c>
      <c r="K716" t="s">
        <v>285</v>
      </c>
      <c r="L716" t="s">
        <v>285</v>
      </c>
      <c r="M716" t="s">
        <v>285</v>
      </c>
      <c r="N716" t="s">
        <v>285</v>
      </c>
      <c r="O716" t="s">
        <v>285</v>
      </c>
      <c r="P716" t="s">
        <v>285</v>
      </c>
      <c r="Q716" t="s">
        <v>285</v>
      </c>
      <c r="R716" t="s">
        <v>285</v>
      </c>
      <c r="S716" t="s">
        <v>285</v>
      </c>
      <c r="T716">
        <v>173.04400000000001</v>
      </c>
      <c r="U716">
        <v>173.04400000000001</v>
      </c>
      <c r="V716">
        <v>211.34</v>
      </c>
      <c r="W716">
        <v>187.89</v>
      </c>
      <c r="X716">
        <v>171.07599999999999</v>
      </c>
      <c r="Y716">
        <v>174</v>
      </c>
      <c r="Z716">
        <v>198.11699999999999</v>
      </c>
      <c r="AA716">
        <v>221.25399999999999</v>
      </c>
      <c r="AB716">
        <v>190.06</v>
      </c>
      <c r="AC716">
        <v>183.84100000000001</v>
      </c>
      <c r="AD716">
        <v>235.471</v>
      </c>
      <c r="AE716">
        <v>255.071</v>
      </c>
      <c r="AF716">
        <v>255</v>
      </c>
      <c r="AG716">
        <v>268</v>
      </c>
      <c r="AH716">
        <v>301.7</v>
      </c>
      <c r="AI716">
        <v>346.471</v>
      </c>
      <c r="AJ716">
        <v>384.9</v>
      </c>
      <c r="AK716">
        <v>459.12</v>
      </c>
      <c r="AL716">
        <v>520.04999999999995</v>
      </c>
      <c r="AM716">
        <v>596.43100000000004</v>
      </c>
      <c r="AN716">
        <v>670.98500000000001</v>
      </c>
      <c r="AO716">
        <v>837.5</v>
      </c>
      <c r="AP716">
        <v>917.10500000000002</v>
      </c>
      <c r="AQ716">
        <v>994.73400000000004</v>
      </c>
      <c r="AR716" s="21">
        <v>1140.539</v>
      </c>
      <c r="AS716" s="21">
        <v>1195.2570000000001</v>
      </c>
      <c r="AT716" s="21">
        <v>1127.317</v>
      </c>
      <c r="AU716" s="21">
        <v>1178.393</v>
      </c>
      <c r="AV716" s="21">
        <v>1232.3050000000001</v>
      </c>
      <c r="AW716" s="21">
        <v>1248.931</v>
      </c>
      <c r="AX716" s="21">
        <v>1270.6500000000001</v>
      </c>
      <c r="AY716">
        <v>2014</v>
      </c>
    </row>
    <row r="717" spans="1:51" x14ac:dyDescent="0.25">
      <c r="A717">
        <v>722</v>
      </c>
      <c r="B717" t="s">
        <v>737</v>
      </c>
      <c r="C717" t="s">
        <v>279</v>
      </c>
      <c r="D717" t="s">
        <v>194</v>
      </c>
      <c r="E717" t="s">
        <v>280</v>
      </c>
      <c r="F717" t="s">
        <v>281</v>
      </c>
      <c r="G717" t="s">
        <v>282</v>
      </c>
      <c r="H717" t="s">
        <v>283</v>
      </c>
      <c r="I717" t="s">
        <v>738</v>
      </c>
      <c r="J717" s="21">
        <v>1905.011</v>
      </c>
      <c r="K717" s="21">
        <v>2001.586</v>
      </c>
      <c r="L717" s="21">
        <v>2158.5720000000001</v>
      </c>
      <c r="M717" s="21">
        <v>2043.598</v>
      </c>
      <c r="N717" s="21">
        <v>2120.1460000000002</v>
      </c>
      <c r="O717" s="21">
        <v>2189.761</v>
      </c>
      <c r="P717" s="21">
        <v>2257.9349999999999</v>
      </c>
      <c r="Q717" s="21">
        <v>2395.5419999999999</v>
      </c>
      <c r="R717" s="21">
        <v>2381.35</v>
      </c>
      <c r="S717" s="21">
        <v>2476.0770000000002</v>
      </c>
      <c r="T717" s="21">
        <v>2459.348</v>
      </c>
      <c r="U717" s="21">
        <v>2522.2040000000002</v>
      </c>
      <c r="V717" s="21">
        <v>2553.5459999999998</v>
      </c>
      <c r="W717" s="21">
        <v>2586.7620000000002</v>
      </c>
      <c r="X717" s="21">
        <v>2586.3139999999999</v>
      </c>
      <c r="Y717" s="21">
        <v>2725.03</v>
      </c>
      <c r="Z717" s="21">
        <v>2779.8609999999999</v>
      </c>
      <c r="AA717" s="21">
        <v>2866.7049999999999</v>
      </c>
      <c r="AB717" s="21">
        <v>3035.8029999999999</v>
      </c>
      <c r="AC717" s="21">
        <v>3228.489</v>
      </c>
      <c r="AD717" s="21">
        <v>3331.768</v>
      </c>
      <c r="AE717" s="21">
        <v>3484.393</v>
      </c>
      <c r="AF717" s="21">
        <v>3507.2089999999998</v>
      </c>
      <c r="AG717" s="21">
        <v>3741.6039999999998</v>
      </c>
      <c r="AH717" s="21">
        <v>3961.2649999999999</v>
      </c>
      <c r="AI717" s="21">
        <v>4183.6139999999996</v>
      </c>
      <c r="AJ717" s="21">
        <v>4286.9620000000004</v>
      </c>
      <c r="AK717" s="21">
        <v>4498.67</v>
      </c>
      <c r="AL717" s="21">
        <v>4664.33</v>
      </c>
      <c r="AM717" s="21">
        <v>4777.3590000000004</v>
      </c>
      <c r="AN717" s="21">
        <v>4977.0360000000001</v>
      </c>
      <c r="AO717" s="21">
        <v>5064.6880000000001</v>
      </c>
      <c r="AP717" s="21">
        <v>5285.6710000000003</v>
      </c>
      <c r="AQ717" s="21">
        <v>5477.1310000000003</v>
      </c>
      <c r="AR717" s="21">
        <v>5735.8739999999998</v>
      </c>
      <c r="AS717" s="21">
        <v>6028.7579999999998</v>
      </c>
      <c r="AT717" s="21">
        <v>6386.5619999999999</v>
      </c>
      <c r="AU717" s="21">
        <v>6804.7550000000001</v>
      </c>
      <c r="AV717" s="21">
        <v>7280.0690000000004</v>
      </c>
      <c r="AW717" s="21">
        <v>7811.1</v>
      </c>
      <c r="AX717" s="21">
        <v>8379.2240000000002</v>
      </c>
      <c r="AY717">
        <v>2013</v>
      </c>
    </row>
    <row r="718" spans="1:51" x14ac:dyDescent="0.25">
      <c r="A718">
        <v>722</v>
      </c>
      <c r="B718" t="s">
        <v>737</v>
      </c>
      <c r="C718" t="s">
        <v>286</v>
      </c>
      <c r="D718" t="s">
        <v>194</v>
      </c>
      <c r="E718" t="s">
        <v>287</v>
      </c>
      <c r="F718" t="s">
        <v>288</v>
      </c>
      <c r="G718" t="s">
        <v>282</v>
      </c>
      <c r="H718" t="s">
        <v>283</v>
      </c>
      <c r="I718" t="s">
        <v>738</v>
      </c>
      <c r="J718">
        <v>740.17200000000003</v>
      </c>
      <c r="K718">
        <v>863.22900000000004</v>
      </c>
      <c r="L718" s="21">
        <v>1021.86</v>
      </c>
      <c r="M718" s="21">
        <v>1057.153</v>
      </c>
      <c r="N718" s="21">
        <v>1182.202</v>
      </c>
      <c r="O718" s="21">
        <v>1330.807</v>
      </c>
      <c r="P718" s="21">
        <v>1450.973</v>
      </c>
      <c r="Q718" s="21">
        <v>1514.9169999999999</v>
      </c>
      <c r="R718" s="21">
        <v>1484.819</v>
      </c>
      <c r="S718" s="21">
        <v>1567.309</v>
      </c>
      <c r="T718" s="21">
        <v>1556.441</v>
      </c>
      <c r="U718" s="21">
        <v>1584.6610000000001</v>
      </c>
      <c r="V718" s="21">
        <v>1589.444</v>
      </c>
      <c r="W718" s="21">
        <v>1608.0319999999999</v>
      </c>
      <c r="X718" s="21">
        <v>2152.6379999999999</v>
      </c>
      <c r="Y718" s="21">
        <v>2435.2049999999999</v>
      </c>
      <c r="Z718" s="21">
        <v>2591.4380000000001</v>
      </c>
      <c r="AA718" s="21">
        <v>2727.1979999999999</v>
      </c>
      <c r="AB718" s="21">
        <v>2967.6610000000001</v>
      </c>
      <c r="AC718" s="21">
        <v>3167.1840000000002</v>
      </c>
      <c r="AD718" s="21">
        <v>3331.768</v>
      </c>
      <c r="AE718" s="21">
        <v>3575.47</v>
      </c>
      <c r="AF718" s="21">
        <v>3717.6390000000001</v>
      </c>
      <c r="AG718" s="21">
        <v>3986.4250000000002</v>
      </c>
      <c r="AH718" s="21">
        <v>4242.8370000000004</v>
      </c>
      <c r="AI718" s="21">
        <v>4592.6729999999998</v>
      </c>
      <c r="AJ718" s="21">
        <v>4893.5460000000003</v>
      </c>
      <c r="AK718" s="21">
        <v>5408.2960000000003</v>
      </c>
      <c r="AL718" s="21">
        <v>5994.4359999999997</v>
      </c>
      <c r="AM718" s="21">
        <v>6050.08</v>
      </c>
      <c r="AN718" s="21">
        <v>6395.3149999999996</v>
      </c>
      <c r="AO718" s="21">
        <v>6782.7650000000003</v>
      </c>
      <c r="AP718" s="21">
        <v>7263.7380000000003</v>
      </c>
      <c r="AQ718" s="21">
        <v>7386.6819999999998</v>
      </c>
      <c r="AR718" s="21">
        <v>7741.59</v>
      </c>
      <c r="AS718" s="21">
        <v>8251.3220000000001</v>
      </c>
      <c r="AT718" s="21">
        <v>8945.9330000000009</v>
      </c>
      <c r="AU718" s="21">
        <v>9750.6810000000005</v>
      </c>
      <c r="AV718" s="21">
        <v>10666.607</v>
      </c>
      <c r="AW718" s="21">
        <v>11708.769</v>
      </c>
      <c r="AX718" s="21">
        <v>12854.036</v>
      </c>
      <c r="AY718">
        <v>2013</v>
      </c>
    </row>
    <row r="719" spans="1:51" x14ac:dyDescent="0.25">
      <c r="A719">
        <v>722</v>
      </c>
      <c r="B719" t="s">
        <v>737</v>
      </c>
      <c r="C719" t="s">
        <v>289</v>
      </c>
      <c r="D719" t="s">
        <v>194</v>
      </c>
      <c r="E719" t="s">
        <v>287</v>
      </c>
      <c r="F719" t="s">
        <v>290</v>
      </c>
      <c r="G719" t="s">
        <v>291</v>
      </c>
      <c r="H719" t="s">
        <v>283</v>
      </c>
      <c r="I719" t="s">
        <v>292</v>
      </c>
      <c r="J719">
        <v>3.5030000000000001</v>
      </c>
      <c r="K719">
        <v>3.177</v>
      </c>
      <c r="L719">
        <v>3.11</v>
      </c>
      <c r="M719">
        <v>2.774</v>
      </c>
      <c r="N719">
        <v>2.706</v>
      </c>
      <c r="O719">
        <v>2.9620000000000002</v>
      </c>
      <c r="P719">
        <v>4.1900000000000004</v>
      </c>
      <c r="Q719">
        <v>5.0410000000000004</v>
      </c>
      <c r="R719">
        <v>4.9850000000000003</v>
      </c>
      <c r="S719">
        <v>4.9130000000000003</v>
      </c>
      <c r="T719">
        <v>5.7169999999999996</v>
      </c>
      <c r="U719">
        <v>5.617</v>
      </c>
      <c r="V719">
        <v>6.0049999999999999</v>
      </c>
      <c r="W719">
        <v>5.6790000000000003</v>
      </c>
      <c r="X719">
        <v>3.8769999999999998</v>
      </c>
      <c r="Y719">
        <v>4.8789999999999996</v>
      </c>
      <c r="Z719">
        <v>5.0659999999999998</v>
      </c>
      <c r="AA719">
        <v>4.6719999999999997</v>
      </c>
      <c r="AB719">
        <v>5.0579999999999998</v>
      </c>
      <c r="AC719">
        <v>5.1509999999999998</v>
      </c>
      <c r="AD719">
        <v>4.6929999999999996</v>
      </c>
      <c r="AE719">
        <v>4.8819999999999997</v>
      </c>
      <c r="AF719">
        <v>5.3520000000000003</v>
      </c>
      <c r="AG719">
        <v>6.8719999999999999</v>
      </c>
      <c r="AH719">
        <v>8.0419999999999998</v>
      </c>
      <c r="AI719">
        <v>8.7219999999999995</v>
      </c>
      <c r="AJ719">
        <v>9.3670000000000009</v>
      </c>
      <c r="AK719">
        <v>11.301</v>
      </c>
      <c r="AL719">
        <v>13.449</v>
      </c>
      <c r="AM719">
        <v>12.846</v>
      </c>
      <c r="AN719">
        <v>12.936999999999999</v>
      </c>
      <c r="AO719">
        <v>14.388</v>
      </c>
      <c r="AP719">
        <v>14.236000000000001</v>
      </c>
      <c r="AQ719">
        <v>14.956</v>
      </c>
      <c r="AR719">
        <v>15.683</v>
      </c>
      <c r="AS719">
        <v>13.988</v>
      </c>
      <c r="AT719">
        <v>15.196999999999999</v>
      </c>
      <c r="AU719">
        <v>16.744</v>
      </c>
      <c r="AV719">
        <v>18.504000000000001</v>
      </c>
      <c r="AW719">
        <v>20.463999999999999</v>
      </c>
      <c r="AX719">
        <v>22.827999999999999</v>
      </c>
      <c r="AY719">
        <v>2013</v>
      </c>
    </row>
    <row r="720" spans="1:51" x14ac:dyDescent="0.25">
      <c r="A720">
        <v>722</v>
      </c>
      <c r="B720" t="s">
        <v>737</v>
      </c>
      <c r="C720" t="s">
        <v>293</v>
      </c>
      <c r="D720" t="s">
        <v>194</v>
      </c>
      <c r="E720" t="s">
        <v>294</v>
      </c>
      <c r="F720" t="s">
        <v>295</v>
      </c>
      <c r="G720" t="s">
        <v>296</v>
      </c>
      <c r="I720" t="s">
        <v>297</v>
      </c>
      <c r="J720">
        <v>38.853999999999999</v>
      </c>
      <c r="K720">
        <v>43.127000000000002</v>
      </c>
      <c r="L720">
        <v>47.34</v>
      </c>
      <c r="M720">
        <v>51.73</v>
      </c>
      <c r="N720">
        <v>55.76</v>
      </c>
      <c r="O720">
        <v>60.774000000000001</v>
      </c>
      <c r="P720">
        <v>64.260999999999996</v>
      </c>
      <c r="Q720">
        <v>63.238999999999997</v>
      </c>
      <c r="R720">
        <v>62.351999999999997</v>
      </c>
      <c r="S720">
        <v>63.298000000000002</v>
      </c>
      <c r="T720">
        <v>63.286999999999999</v>
      </c>
      <c r="U720">
        <v>62.828000000000003</v>
      </c>
      <c r="V720">
        <v>62.244999999999997</v>
      </c>
      <c r="W720">
        <v>62.164000000000001</v>
      </c>
      <c r="X720">
        <v>83.231999999999999</v>
      </c>
      <c r="Y720">
        <v>89.364000000000004</v>
      </c>
      <c r="Z720">
        <v>93.221999999999994</v>
      </c>
      <c r="AA720">
        <v>95.134</v>
      </c>
      <c r="AB720">
        <v>97.754999999999995</v>
      </c>
      <c r="AC720">
        <v>98.100999999999999</v>
      </c>
      <c r="AD720">
        <v>100</v>
      </c>
      <c r="AE720">
        <v>102.614</v>
      </c>
      <c r="AF720">
        <v>106</v>
      </c>
      <c r="AG720">
        <v>106.54300000000001</v>
      </c>
      <c r="AH720">
        <v>107.108</v>
      </c>
      <c r="AI720">
        <v>109.77800000000001</v>
      </c>
      <c r="AJ720">
        <v>114.149</v>
      </c>
      <c r="AK720">
        <v>120.22</v>
      </c>
      <c r="AL720">
        <v>128.517</v>
      </c>
      <c r="AM720">
        <v>126.64100000000001</v>
      </c>
      <c r="AN720">
        <v>128.49600000000001</v>
      </c>
      <c r="AO720">
        <v>133.923</v>
      </c>
      <c r="AP720">
        <v>137.423</v>
      </c>
      <c r="AQ720">
        <v>134.864</v>
      </c>
      <c r="AR720">
        <v>134.96799999999999</v>
      </c>
      <c r="AS720">
        <v>136.86600000000001</v>
      </c>
      <c r="AT720">
        <v>140.07400000000001</v>
      </c>
      <c r="AU720">
        <v>143.292</v>
      </c>
      <c r="AV720">
        <v>146.518</v>
      </c>
      <c r="AW720">
        <v>149.899</v>
      </c>
      <c r="AX720">
        <v>153.404</v>
      </c>
      <c r="AY720">
        <v>2013</v>
      </c>
    </row>
    <row r="721" spans="1:51" x14ac:dyDescent="0.25">
      <c r="A721">
        <v>722</v>
      </c>
      <c r="B721" t="s">
        <v>737</v>
      </c>
      <c r="C721" t="s">
        <v>298</v>
      </c>
      <c r="D721" t="s">
        <v>194</v>
      </c>
      <c r="E721" t="s">
        <v>299</v>
      </c>
      <c r="F721" t="s">
        <v>300</v>
      </c>
      <c r="G721" t="s">
        <v>282</v>
      </c>
      <c r="H721" t="s">
        <v>283</v>
      </c>
      <c r="I721" t="s">
        <v>739</v>
      </c>
      <c r="J721" t="s">
        <v>285</v>
      </c>
      <c r="K721" t="s">
        <v>285</v>
      </c>
      <c r="L721" t="s">
        <v>285</v>
      </c>
      <c r="M721" t="s">
        <v>285</v>
      </c>
      <c r="N721" t="s">
        <v>285</v>
      </c>
      <c r="O721" t="s">
        <v>285</v>
      </c>
      <c r="P721" t="s">
        <v>285</v>
      </c>
      <c r="Q721" t="s">
        <v>285</v>
      </c>
      <c r="R721" t="s">
        <v>285</v>
      </c>
      <c r="S721" t="s">
        <v>285</v>
      </c>
      <c r="T721" t="s">
        <v>285</v>
      </c>
      <c r="U721" t="s">
        <v>285</v>
      </c>
      <c r="V721" t="s">
        <v>285</v>
      </c>
      <c r="W721" t="s">
        <v>285</v>
      </c>
      <c r="X721">
        <v>418.94200000000001</v>
      </c>
      <c r="Y721">
        <v>434.3</v>
      </c>
      <c r="Z721">
        <v>495.6</v>
      </c>
      <c r="AA721">
        <v>481.43400000000003</v>
      </c>
      <c r="AB721">
        <v>507</v>
      </c>
      <c r="AC721">
        <v>593.4</v>
      </c>
      <c r="AD721">
        <v>597.1</v>
      </c>
      <c r="AE721">
        <v>748.9</v>
      </c>
      <c r="AF721">
        <v>754.1</v>
      </c>
      <c r="AG721">
        <v>868</v>
      </c>
      <c r="AH721">
        <v>964.2</v>
      </c>
      <c r="AI721" s="21">
        <v>1083.663</v>
      </c>
      <c r="AJ721" s="21">
        <v>1300.7</v>
      </c>
      <c r="AK721" s="21">
        <v>1485.1010000000001</v>
      </c>
      <c r="AL721" s="21">
        <v>1573.9280000000001</v>
      </c>
      <c r="AM721" s="21">
        <v>1603.597</v>
      </c>
      <c r="AN721" s="21">
        <v>1730.847</v>
      </c>
      <c r="AO721" s="21">
        <v>1951.95</v>
      </c>
      <c r="AP721" s="21">
        <v>2071.3119999999999</v>
      </c>
      <c r="AQ721" s="21">
        <v>2064.1</v>
      </c>
      <c r="AR721" s="21">
        <v>2258.0659999999998</v>
      </c>
      <c r="AS721" s="21">
        <v>2342.5700000000002</v>
      </c>
      <c r="AT721" s="21">
        <v>2541.98</v>
      </c>
      <c r="AU721" s="21">
        <v>2690.9270000000001</v>
      </c>
      <c r="AV721" s="21">
        <v>2877.076</v>
      </c>
      <c r="AW721" s="21">
        <v>3143.39</v>
      </c>
      <c r="AX721" s="21">
        <v>3406.33</v>
      </c>
      <c r="AY721">
        <v>2011</v>
      </c>
    </row>
    <row r="722" spans="1:51" x14ac:dyDescent="0.25">
      <c r="A722">
        <v>942</v>
      </c>
      <c r="B722" t="s">
        <v>740</v>
      </c>
      <c r="C722" t="s">
        <v>279</v>
      </c>
      <c r="D722" t="s">
        <v>195</v>
      </c>
      <c r="E722" t="s">
        <v>280</v>
      </c>
      <c r="F722" t="s">
        <v>281</v>
      </c>
      <c r="G722" t="s">
        <v>282</v>
      </c>
      <c r="H722" t="s">
        <v>283</v>
      </c>
      <c r="I722" t="s">
        <v>741</v>
      </c>
      <c r="J722" t="s">
        <v>285</v>
      </c>
      <c r="K722" t="s">
        <v>285</v>
      </c>
      <c r="L722" t="s">
        <v>285</v>
      </c>
      <c r="M722" t="s">
        <v>285</v>
      </c>
      <c r="N722" t="s">
        <v>285</v>
      </c>
      <c r="O722" t="s">
        <v>285</v>
      </c>
      <c r="P722" t="s">
        <v>285</v>
      </c>
      <c r="Q722" t="s">
        <v>285</v>
      </c>
      <c r="R722" t="s">
        <v>285</v>
      </c>
      <c r="S722" t="s">
        <v>285</v>
      </c>
      <c r="T722" t="s">
        <v>285</v>
      </c>
      <c r="U722" t="s">
        <v>285</v>
      </c>
      <c r="V722" t="s">
        <v>285</v>
      </c>
      <c r="W722" t="s">
        <v>285</v>
      </c>
      <c r="X722" t="s">
        <v>285</v>
      </c>
      <c r="Y722" t="s">
        <v>285</v>
      </c>
      <c r="Z722" t="s">
        <v>285</v>
      </c>
      <c r="AA722" t="s">
        <v>285</v>
      </c>
      <c r="AB722" s="21">
        <v>2101.8069999999998</v>
      </c>
      <c r="AC722" s="21">
        <v>1846.509</v>
      </c>
      <c r="AD722" s="21">
        <v>1989.7840000000001</v>
      </c>
      <c r="AE722" s="21">
        <v>2089.1280000000002</v>
      </c>
      <c r="AF722" s="21">
        <v>2237.7860000000001</v>
      </c>
      <c r="AG722" s="21">
        <v>2336.5929999999998</v>
      </c>
      <c r="AH722" s="21">
        <v>2547.973</v>
      </c>
      <c r="AI722" s="21">
        <v>2689.1419999999998</v>
      </c>
      <c r="AJ722" s="21">
        <v>2821.027</v>
      </c>
      <c r="AK722" s="21">
        <v>2987.15</v>
      </c>
      <c r="AL722" s="21">
        <v>3147.4609999999998</v>
      </c>
      <c r="AM722" s="21">
        <v>3049.3870000000002</v>
      </c>
      <c r="AN722" s="21">
        <v>3067.21</v>
      </c>
      <c r="AO722" s="21">
        <v>3110.1959999999999</v>
      </c>
      <c r="AP722" s="21">
        <v>3078.6190000000001</v>
      </c>
      <c r="AQ722" s="21">
        <v>3157.7930000000001</v>
      </c>
      <c r="AR722" s="21">
        <v>3100.549</v>
      </c>
      <c r="AS722" s="21">
        <v>3116.0520000000001</v>
      </c>
      <c r="AT722" s="21">
        <v>3162.7930000000001</v>
      </c>
      <c r="AU722" s="21">
        <v>3226.049</v>
      </c>
      <c r="AV722" s="21">
        <v>3338.96</v>
      </c>
      <c r="AW722" s="21">
        <v>3455.8240000000001</v>
      </c>
      <c r="AX722" s="21">
        <v>3594.0569999999998</v>
      </c>
      <c r="AY722">
        <v>2014</v>
      </c>
    </row>
    <row r="723" spans="1:51" x14ac:dyDescent="0.25">
      <c r="A723">
        <v>942</v>
      </c>
      <c r="B723" t="s">
        <v>740</v>
      </c>
      <c r="C723" t="s">
        <v>286</v>
      </c>
      <c r="D723" t="s">
        <v>195</v>
      </c>
      <c r="E723" t="s">
        <v>287</v>
      </c>
      <c r="F723" t="s">
        <v>288</v>
      </c>
      <c r="G723" t="s">
        <v>282</v>
      </c>
      <c r="H723" t="s">
        <v>283</v>
      </c>
      <c r="I723" t="s">
        <v>741</v>
      </c>
      <c r="J723" t="s">
        <v>285</v>
      </c>
      <c r="K723" t="s">
        <v>285</v>
      </c>
      <c r="L723" t="s">
        <v>285</v>
      </c>
      <c r="M723" t="s">
        <v>285</v>
      </c>
      <c r="N723" t="s">
        <v>285</v>
      </c>
      <c r="O723" t="s">
        <v>285</v>
      </c>
      <c r="P723" t="s">
        <v>285</v>
      </c>
      <c r="Q723" t="s">
        <v>285</v>
      </c>
      <c r="R723" t="s">
        <v>285</v>
      </c>
      <c r="S723" t="s">
        <v>285</v>
      </c>
      <c r="T723" t="s">
        <v>285</v>
      </c>
      <c r="U723" t="s">
        <v>285</v>
      </c>
      <c r="V723" t="s">
        <v>285</v>
      </c>
      <c r="W723" t="s">
        <v>285</v>
      </c>
      <c r="X723" t="s">
        <v>285</v>
      </c>
      <c r="Y723" t="s">
        <v>285</v>
      </c>
      <c r="Z723" t="s">
        <v>285</v>
      </c>
      <c r="AA723" t="s">
        <v>285</v>
      </c>
      <c r="AB723" t="s">
        <v>285</v>
      </c>
      <c r="AC723" t="s">
        <v>285</v>
      </c>
      <c r="AD723">
        <v>413.12099999999998</v>
      </c>
      <c r="AE723">
        <v>820.84199999999998</v>
      </c>
      <c r="AF723" s="21">
        <v>1037.8969999999999</v>
      </c>
      <c r="AG723" s="21">
        <v>1220.1600000000001</v>
      </c>
      <c r="AH723" s="21">
        <v>1451.4480000000001</v>
      </c>
      <c r="AI723" s="21">
        <v>1751.3710000000001</v>
      </c>
      <c r="AJ723" s="21">
        <v>2055.1979999999999</v>
      </c>
      <c r="AK723" s="21">
        <v>2355.0659999999998</v>
      </c>
      <c r="AL723" s="21">
        <v>2744.913</v>
      </c>
      <c r="AM723" s="21">
        <v>2880.0590000000002</v>
      </c>
      <c r="AN723" s="21">
        <v>3067.21</v>
      </c>
      <c r="AO723" s="21">
        <v>3407.5630000000001</v>
      </c>
      <c r="AP723" s="21">
        <v>3584.2359999999999</v>
      </c>
      <c r="AQ723" s="21">
        <v>3876.4029999999998</v>
      </c>
      <c r="AR723" s="21">
        <v>3878.0239999999999</v>
      </c>
      <c r="AS723" s="21">
        <v>3975.5430000000001</v>
      </c>
      <c r="AT723" s="21">
        <v>4152.6090000000004</v>
      </c>
      <c r="AU723" s="21">
        <v>4388.1450000000004</v>
      </c>
      <c r="AV723" s="21">
        <v>4727.9409999999998</v>
      </c>
      <c r="AW723" s="21">
        <v>5094.049</v>
      </c>
      <c r="AX723" s="21">
        <v>5515.0209999999997</v>
      </c>
      <c r="AY723">
        <v>2014</v>
      </c>
    </row>
    <row r="724" spans="1:51" x14ac:dyDescent="0.25">
      <c r="A724">
        <v>942</v>
      </c>
      <c r="B724" t="s">
        <v>740</v>
      </c>
      <c r="C724" t="s">
        <v>289</v>
      </c>
      <c r="D724" t="s">
        <v>195</v>
      </c>
      <c r="E724" t="s">
        <v>287</v>
      </c>
      <c r="F724" t="s">
        <v>290</v>
      </c>
      <c r="G724" t="s">
        <v>291</v>
      </c>
      <c r="H724" t="s">
        <v>283</v>
      </c>
      <c r="I724" t="s">
        <v>292</v>
      </c>
      <c r="J724" t="s">
        <v>285</v>
      </c>
      <c r="K724" t="s">
        <v>285</v>
      </c>
      <c r="L724" t="s">
        <v>285</v>
      </c>
      <c r="M724" t="s">
        <v>285</v>
      </c>
      <c r="N724" t="s">
        <v>285</v>
      </c>
      <c r="O724" t="s">
        <v>285</v>
      </c>
      <c r="P724" t="s">
        <v>285</v>
      </c>
      <c r="Q724" t="s">
        <v>285</v>
      </c>
      <c r="R724" t="s">
        <v>285</v>
      </c>
      <c r="S724" t="s">
        <v>285</v>
      </c>
      <c r="T724" t="s">
        <v>285</v>
      </c>
      <c r="U724" t="s">
        <v>285</v>
      </c>
      <c r="V724" t="s">
        <v>285</v>
      </c>
      <c r="W724" t="s">
        <v>285</v>
      </c>
      <c r="X724" t="s">
        <v>285</v>
      </c>
      <c r="Y724" t="s">
        <v>285</v>
      </c>
      <c r="Z724" t="s">
        <v>285</v>
      </c>
      <c r="AA724" t="s">
        <v>285</v>
      </c>
      <c r="AB724" t="s">
        <v>285</v>
      </c>
      <c r="AC724" t="s">
        <v>285</v>
      </c>
      <c r="AD724">
        <v>9.3119999999999994</v>
      </c>
      <c r="AE724">
        <v>12.313000000000001</v>
      </c>
      <c r="AF724">
        <v>16.177</v>
      </c>
      <c r="AG724">
        <v>21.219000000000001</v>
      </c>
      <c r="AH724">
        <v>24.742999999999999</v>
      </c>
      <c r="AI724">
        <v>26.074999999999999</v>
      </c>
      <c r="AJ724">
        <v>30.721</v>
      </c>
      <c r="AK724">
        <v>40.499000000000002</v>
      </c>
      <c r="AL724">
        <v>49.164999999999999</v>
      </c>
      <c r="AM724">
        <v>42.610999999999997</v>
      </c>
      <c r="AN724">
        <v>39.034999999999997</v>
      </c>
      <c r="AO724">
        <v>46.488</v>
      </c>
      <c r="AP724">
        <v>40.734000000000002</v>
      </c>
      <c r="AQ724">
        <v>45.52</v>
      </c>
      <c r="AR724">
        <v>43.866</v>
      </c>
      <c r="AS724">
        <v>36.555</v>
      </c>
      <c r="AT724">
        <v>37.74</v>
      </c>
      <c r="AU724">
        <v>39.804000000000002</v>
      </c>
      <c r="AV724">
        <v>42.945999999999998</v>
      </c>
      <c r="AW724">
        <v>46.258000000000003</v>
      </c>
      <c r="AX724">
        <v>50.030999999999999</v>
      </c>
      <c r="AY724">
        <v>2014</v>
      </c>
    </row>
    <row r="725" spans="1:51" x14ac:dyDescent="0.25">
      <c r="A725">
        <v>942</v>
      </c>
      <c r="B725" t="s">
        <v>740</v>
      </c>
      <c r="C725" t="s">
        <v>293</v>
      </c>
      <c r="D725" t="s">
        <v>195</v>
      </c>
      <c r="E725" t="s">
        <v>294</v>
      </c>
      <c r="F725" t="s">
        <v>295</v>
      </c>
      <c r="G725" t="s">
        <v>296</v>
      </c>
      <c r="I725" t="s">
        <v>297</v>
      </c>
      <c r="J725" t="s">
        <v>285</v>
      </c>
      <c r="K725" t="s">
        <v>285</v>
      </c>
      <c r="L725" t="s">
        <v>285</v>
      </c>
      <c r="M725" t="s">
        <v>285</v>
      </c>
      <c r="N725" t="s">
        <v>285</v>
      </c>
      <c r="O725" t="s">
        <v>285</v>
      </c>
      <c r="P725" t="s">
        <v>285</v>
      </c>
      <c r="Q725" t="s">
        <v>285</v>
      </c>
      <c r="R725" t="s">
        <v>285</v>
      </c>
      <c r="S725" t="s">
        <v>285</v>
      </c>
      <c r="T725" t="s">
        <v>285</v>
      </c>
      <c r="U725" t="s">
        <v>285</v>
      </c>
      <c r="V725" t="s">
        <v>285</v>
      </c>
      <c r="W725" t="s">
        <v>285</v>
      </c>
      <c r="X725" t="s">
        <v>285</v>
      </c>
      <c r="Y725" t="s">
        <v>285</v>
      </c>
      <c r="Z725" t="s">
        <v>285</v>
      </c>
      <c r="AA725" t="s">
        <v>285</v>
      </c>
      <c r="AB725" t="s">
        <v>285</v>
      </c>
      <c r="AC725" t="s">
        <v>285</v>
      </c>
      <c r="AD725">
        <v>20.762</v>
      </c>
      <c r="AE725">
        <v>39.290999999999997</v>
      </c>
      <c r="AF725">
        <v>46.381</v>
      </c>
      <c r="AG725">
        <v>52.22</v>
      </c>
      <c r="AH725">
        <v>56.965000000000003</v>
      </c>
      <c r="AI725">
        <v>65.128</v>
      </c>
      <c r="AJ725">
        <v>72.852999999999994</v>
      </c>
      <c r="AK725">
        <v>78.84</v>
      </c>
      <c r="AL725">
        <v>87.21</v>
      </c>
      <c r="AM725">
        <v>94.447000000000003</v>
      </c>
      <c r="AN725">
        <v>100</v>
      </c>
      <c r="AO725">
        <v>109.56100000000001</v>
      </c>
      <c r="AP725">
        <v>116.423</v>
      </c>
      <c r="AQ725">
        <v>122.75700000000001</v>
      </c>
      <c r="AR725">
        <v>125.075</v>
      </c>
      <c r="AS725">
        <v>127.583</v>
      </c>
      <c r="AT725">
        <v>131.29599999999999</v>
      </c>
      <c r="AU725">
        <v>136.02199999999999</v>
      </c>
      <c r="AV725">
        <v>141.59899999999999</v>
      </c>
      <c r="AW725">
        <v>147.405</v>
      </c>
      <c r="AX725">
        <v>153.44800000000001</v>
      </c>
      <c r="AY725">
        <v>2014</v>
      </c>
    </row>
    <row r="726" spans="1:51" x14ac:dyDescent="0.25">
      <c r="A726">
        <v>942</v>
      </c>
      <c r="B726" t="s">
        <v>740</v>
      </c>
      <c r="C726" t="s">
        <v>298</v>
      </c>
      <c r="D726" t="s">
        <v>195</v>
      </c>
      <c r="E726" t="s">
        <v>299</v>
      </c>
      <c r="F726" t="s">
        <v>300</v>
      </c>
      <c r="G726" t="s">
        <v>282</v>
      </c>
      <c r="H726" t="s">
        <v>283</v>
      </c>
      <c r="I726" t="s">
        <v>742</v>
      </c>
      <c r="J726" t="s">
        <v>285</v>
      </c>
      <c r="K726" t="s">
        <v>285</v>
      </c>
      <c r="L726" t="s">
        <v>285</v>
      </c>
      <c r="M726" t="s">
        <v>285</v>
      </c>
      <c r="N726" t="s">
        <v>285</v>
      </c>
      <c r="O726" t="s">
        <v>285</v>
      </c>
      <c r="P726" t="s">
        <v>285</v>
      </c>
      <c r="Q726" t="s">
        <v>285</v>
      </c>
      <c r="R726" t="s">
        <v>285</v>
      </c>
      <c r="S726" t="s">
        <v>285</v>
      </c>
      <c r="T726" t="s">
        <v>285</v>
      </c>
      <c r="U726" t="s">
        <v>285</v>
      </c>
      <c r="V726" t="s">
        <v>285</v>
      </c>
      <c r="W726" t="s">
        <v>285</v>
      </c>
      <c r="X726" t="s">
        <v>285</v>
      </c>
      <c r="Y726" t="s">
        <v>285</v>
      </c>
      <c r="Z726" t="s">
        <v>285</v>
      </c>
      <c r="AA726" t="s">
        <v>285</v>
      </c>
      <c r="AB726" t="s">
        <v>285</v>
      </c>
      <c r="AC726" t="s">
        <v>285</v>
      </c>
      <c r="AD726">
        <v>129.577</v>
      </c>
      <c r="AE726">
        <v>277.52699999999999</v>
      </c>
      <c r="AF726">
        <v>445.279</v>
      </c>
      <c r="AG726">
        <v>511.24799999999999</v>
      </c>
      <c r="AH726">
        <v>592.56799999999998</v>
      </c>
      <c r="AI726">
        <v>705.28099999999995</v>
      </c>
      <c r="AJ726">
        <v>887.70600000000002</v>
      </c>
      <c r="AK726" s="21">
        <v>1022.123</v>
      </c>
      <c r="AL726" s="21">
        <v>1191.9870000000001</v>
      </c>
      <c r="AM726" s="21">
        <v>1251.347</v>
      </c>
      <c r="AN726" s="21">
        <v>1338.0730000000001</v>
      </c>
      <c r="AO726" s="21">
        <v>1443.8689999999999</v>
      </c>
      <c r="AP726" s="21">
        <v>1652.83</v>
      </c>
      <c r="AQ726" s="21">
        <v>1673.51</v>
      </c>
      <c r="AR726" s="21">
        <v>1795.1079999999999</v>
      </c>
      <c r="AS726" s="21">
        <v>1750.1679999999999</v>
      </c>
      <c r="AT726" s="21">
        <v>1778.2090000000001</v>
      </c>
      <c r="AU726" s="21">
        <v>1808.96</v>
      </c>
      <c r="AV726" s="21">
        <v>1898.402</v>
      </c>
      <c r="AW726" s="21">
        <v>2030.7239999999999</v>
      </c>
      <c r="AX726" s="21">
        <v>2182.904</v>
      </c>
      <c r="AY726">
        <v>2014</v>
      </c>
    </row>
    <row r="727" spans="1:51" x14ac:dyDescent="0.25">
      <c r="A727">
        <v>718</v>
      </c>
      <c r="B727" t="s">
        <v>743</v>
      </c>
      <c r="C727" t="s">
        <v>279</v>
      </c>
      <c r="D727" t="s">
        <v>196</v>
      </c>
      <c r="E727" t="s">
        <v>280</v>
      </c>
      <c r="F727" t="s">
        <v>281</v>
      </c>
      <c r="G727" t="s">
        <v>282</v>
      </c>
      <c r="H727" t="s">
        <v>283</v>
      </c>
      <c r="I727" t="s">
        <v>744</v>
      </c>
      <c r="J727">
        <v>2.355</v>
      </c>
      <c r="K727">
        <v>2.2639999999999998</v>
      </c>
      <c r="L727">
        <v>2.2170000000000001</v>
      </c>
      <c r="M727">
        <v>2.2029999999999998</v>
      </c>
      <c r="N727">
        <v>2.298</v>
      </c>
      <c r="O727">
        <v>2.5350000000000001</v>
      </c>
      <c r="P727">
        <v>2.5539999999999998</v>
      </c>
      <c r="Q727">
        <v>2.6779999999999999</v>
      </c>
      <c r="R727">
        <v>2.8210000000000002</v>
      </c>
      <c r="S727">
        <v>3.1110000000000002</v>
      </c>
      <c r="T727">
        <v>3.343</v>
      </c>
      <c r="U727">
        <v>3.4350000000000001</v>
      </c>
      <c r="V727">
        <v>3.6819999999999999</v>
      </c>
      <c r="W727">
        <v>3.9510000000000001</v>
      </c>
      <c r="X727">
        <v>3.8540000000000001</v>
      </c>
      <c r="Y727">
        <v>3.8730000000000002</v>
      </c>
      <c r="Z727">
        <v>4.26</v>
      </c>
      <c r="AA727">
        <v>4.78</v>
      </c>
      <c r="AB727">
        <v>4.8979999999999997</v>
      </c>
      <c r="AC727">
        <v>4.99</v>
      </c>
      <c r="AD727">
        <v>5.202</v>
      </c>
      <c r="AE727">
        <v>5.0839999999999996</v>
      </c>
      <c r="AF727">
        <v>5.1449999999999996</v>
      </c>
      <c r="AG727">
        <v>4.8419999999999996</v>
      </c>
      <c r="AH727">
        <v>4.7039999999999997</v>
      </c>
      <c r="AI727">
        <v>5.1280000000000001</v>
      </c>
      <c r="AJ727">
        <v>5.61</v>
      </c>
      <c r="AK727">
        <v>6.1950000000000003</v>
      </c>
      <c r="AL727">
        <v>6.0620000000000003</v>
      </c>
      <c r="AM727">
        <v>5.9950000000000001</v>
      </c>
      <c r="AN727">
        <v>6.3520000000000003</v>
      </c>
      <c r="AO727">
        <v>6.8529999999999998</v>
      </c>
      <c r="AP727">
        <v>7.306</v>
      </c>
      <c r="AQ727">
        <v>7.7480000000000002</v>
      </c>
      <c r="AR727">
        <v>8.0050000000000008</v>
      </c>
      <c r="AS727">
        <v>8.2850000000000001</v>
      </c>
      <c r="AT727">
        <v>8.5879999999999992</v>
      </c>
      <c r="AU727">
        <v>8.8949999999999996</v>
      </c>
      <c r="AV727">
        <v>9.2070000000000007</v>
      </c>
      <c r="AW727">
        <v>9.5210000000000008</v>
      </c>
      <c r="AX727">
        <v>9.8469999999999995</v>
      </c>
      <c r="AY727">
        <v>2013</v>
      </c>
    </row>
    <row r="728" spans="1:51" x14ac:dyDescent="0.25">
      <c r="A728">
        <v>718</v>
      </c>
      <c r="B728" t="s">
        <v>743</v>
      </c>
      <c r="C728" t="s">
        <v>286</v>
      </c>
      <c r="D728" t="s">
        <v>196</v>
      </c>
      <c r="E728" t="s">
        <v>287</v>
      </c>
      <c r="F728" t="s">
        <v>288</v>
      </c>
      <c r="G728" t="s">
        <v>282</v>
      </c>
      <c r="H728" t="s">
        <v>283</v>
      </c>
      <c r="I728" t="s">
        <v>744</v>
      </c>
      <c r="J728">
        <v>0.94199999999999995</v>
      </c>
      <c r="K728">
        <v>0.97199999999999998</v>
      </c>
      <c r="L728">
        <v>0.96799999999999997</v>
      </c>
      <c r="M728">
        <v>0.99299999999999999</v>
      </c>
      <c r="N728">
        <v>1.0680000000000001</v>
      </c>
      <c r="O728">
        <v>1.2050000000000001</v>
      </c>
      <c r="P728">
        <v>1.284</v>
      </c>
      <c r="Q728">
        <v>1.3959999999999999</v>
      </c>
      <c r="R728">
        <v>1.528</v>
      </c>
      <c r="S728">
        <v>1.7210000000000001</v>
      </c>
      <c r="T728">
        <v>1.9670000000000001</v>
      </c>
      <c r="U728">
        <v>1.98</v>
      </c>
      <c r="V728">
        <v>2.2210000000000001</v>
      </c>
      <c r="W728">
        <v>2.456</v>
      </c>
      <c r="X728">
        <v>2.4590000000000001</v>
      </c>
      <c r="Y728">
        <v>2.42</v>
      </c>
      <c r="Z728">
        <v>2.5</v>
      </c>
      <c r="AA728">
        <v>2.83</v>
      </c>
      <c r="AB728">
        <v>3.2010000000000001</v>
      </c>
      <c r="AC728">
        <v>3.3279999999999998</v>
      </c>
      <c r="AD728">
        <v>3.5129999999999999</v>
      </c>
      <c r="AE728">
        <v>3.645</v>
      </c>
      <c r="AF728">
        <v>3.8220000000000001</v>
      </c>
      <c r="AG728">
        <v>3.8109999999999999</v>
      </c>
      <c r="AH728">
        <v>4.6159999999999997</v>
      </c>
      <c r="AI728">
        <v>5.0549999999999997</v>
      </c>
      <c r="AJ728">
        <v>5.61</v>
      </c>
      <c r="AK728">
        <v>6.9260000000000002</v>
      </c>
      <c r="AL728">
        <v>9.1470000000000002</v>
      </c>
      <c r="AM728">
        <v>11.532999999999999</v>
      </c>
      <c r="AN728">
        <v>11.705</v>
      </c>
      <c r="AO728">
        <v>13.196</v>
      </c>
      <c r="AP728">
        <v>15.544</v>
      </c>
      <c r="AQ728">
        <v>17.015000000000001</v>
      </c>
      <c r="AR728">
        <v>18.132999999999999</v>
      </c>
      <c r="AS728">
        <v>19.167999999999999</v>
      </c>
      <c r="AT728">
        <v>20.434000000000001</v>
      </c>
      <c r="AU728">
        <v>21.795999999999999</v>
      </c>
      <c r="AV728">
        <v>23.233000000000001</v>
      </c>
      <c r="AW728">
        <v>24.74</v>
      </c>
      <c r="AX728">
        <v>26.355</v>
      </c>
      <c r="AY728">
        <v>2013</v>
      </c>
    </row>
    <row r="729" spans="1:51" x14ac:dyDescent="0.25">
      <c r="A729">
        <v>718</v>
      </c>
      <c r="B729" t="s">
        <v>743</v>
      </c>
      <c r="C729" t="s">
        <v>289</v>
      </c>
      <c r="D729" t="s">
        <v>196</v>
      </c>
      <c r="E729" t="s">
        <v>287</v>
      </c>
      <c r="F729" t="s">
        <v>290</v>
      </c>
      <c r="G729" t="s">
        <v>291</v>
      </c>
      <c r="H729" t="s">
        <v>283</v>
      </c>
      <c r="I729" t="s">
        <v>292</v>
      </c>
      <c r="J729">
        <v>0.14699999999999999</v>
      </c>
      <c r="K729">
        <v>0.154</v>
      </c>
      <c r="L729">
        <v>0.14799999999999999</v>
      </c>
      <c r="M729">
        <v>0.14699999999999999</v>
      </c>
      <c r="N729">
        <v>0.151</v>
      </c>
      <c r="O729">
        <v>0.16900000000000001</v>
      </c>
      <c r="P729">
        <v>0.20799999999999999</v>
      </c>
      <c r="Q729">
        <v>0.249</v>
      </c>
      <c r="R729">
        <v>0.28399999999999997</v>
      </c>
      <c r="S729">
        <v>0.30499999999999999</v>
      </c>
      <c r="T729">
        <v>0.36899999999999999</v>
      </c>
      <c r="U729">
        <v>0.374</v>
      </c>
      <c r="V729">
        <v>0.434</v>
      </c>
      <c r="W729">
        <v>0.47399999999999998</v>
      </c>
      <c r="X729">
        <v>0.48599999999999999</v>
      </c>
      <c r="Y729">
        <v>0.50800000000000001</v>
      </c>
      <c r="Z729">
        <v>0.503</v>
      </c>
      <c r="AA729">
        <v>0.56299999999999994</v>
      </c>
      <c r="AB729">
        <v>0.60799999999999998</v>
      </c>
      <c r="AC729">
        <v>0.623</v>
      </c>
      <c r="AD729">
        <v>0.61499999999999999</v>
      </c>
      <c r="AE729">
        <v>0.622</v>
      </c>
      <c r="AF729">
        <v>0.69799999999999995</v>
      </c>
      <c r="AG729">
        <v>0.70599999999999996</v>
      </c>
      <c r="AH729">
        <v>0.83899999999999997</v>
      </c>
      <c r="AI729">
        <v>0.91900000000000004</v>
      </c>
      <c r="AJ729">
        <v>1.016</v>
      </c>
      <c r="AK729">
        <v>1.034</v>
      </c>
      <c r="AL729">
        <v>0.96699999999999997</v>
      </c>
      <c r="AM729">
        <v>0.84699999999999998</v>
      </c>
      <c r="AN729">
        <v>0.97</v>
      </c>
      <c r="AO729">
        <v>1.0660000000000001</v>
      </c>
      <c r="AP729">
        <v>1.1339999999999999</v>
      </c>
      <c r="AQ729">
        <v>1.411</v>
      </c>
      <c r="AR729">
        <v>1.423</v>
      </c>
      <c r="AS729">
        <v>1.375</v>
      </c>
      <c r="AT729">
        <v>1.4710000000000001</v>
      </c>
      <c r="AU729">
        <v>1.5549999999999999</v>
      </c>
      <c r="AV729">
        <v>1.649</v>
      </c>
      <c r="AW729">
        <v>1.738</v>
      </c>
      <c r="AX729">
        <v>1.825</v>
      </c>
      <c r="AY729">
        <v>2013</v>
      </c>
    </row>
    <row r="730" spans="1:51" x14ac:dyDescent="0.25">
      <c r="A730">
        <v>718</v>
      </c>
      <c r="B730" t="s">
        <v>743</v>
      </c>
      <c r="C730" t="s">
        <v>293</v>
      </c>
      <c r="D730" t="s">
        <v>196</v>
      </c>
      <c r="E730" t="s">
        <v>294</v>
      </c>
      <c r="F730" t="s">
        <v>295</v>
      </c>
      <c r="G730" t="s">
        <v>296</v>
      </c>
      <c r="I730" t="s">
        <v>297</v>
      </c>
      <c r="J730">
        <v>39.996000000000002</v>
      </c>
      <c r="K730">
        <v>42.933999999999997</v>
      </c>
      <c r="L730">
        <v>43.674999999999997</v>
      </c>
      <c r="M730">
        <v>45.067</v>
      </c>
      <c r="N730">
        <v>46.478999999999999</v>
      </c>
      <c r="O730">
        <v>47.539000000000001</v>
      </c>
      <c r="P730">
        <v>50.271000000000001</v>
      </c>
      <c r="Q730">
        <v>52.116999999999997</v>
      </c>
      <c r="R730">
        <v>54.164999999999999</v>
      </c>
      <c r="S730">
        <v>55.316000000000003</v>
      </c>
      <c r="T730">
        <v>58.84</v>
      </c>
      <c r="U730">
        <v>57.637999999999998</v>
      </c>
      <c r="V730">
        <v>60.329000000000001</v>
      </c>
      <c r="W730">
        <v>62.155999999999999</v>
      </c>
      <c r="X730">
        <v>63.805999999999997</v>
      </c>
      <c r="Y730">
        <v>62.484000000000002</v>
      </c>
      <c r="Z730">
        <v>58.685000000000002</v>
      </c>
      <c r="AA730">
        <v>59.198</v>
      </c>
      <c r="AB730">
        <v>65.361000000000004</v>
      </c>
      <c r="AC730">
        <v>66.706000000000003</v>
      </c>
      <c r="AD730">
        <v>67.540999999999997</v>
      </c>
      <c r="AE730">
        <v>71.698999999999998</v>
      </c>
      <c r="AF730">
        <v>74.290000000000006</v>
      </c>
      <c r="AG730">
        <v>78.707999999999998</v>
      </c>
      <c r="AH730">
        <v>98.128</v>
      </c>
      <c r="AI730">
        <v>98.578000000000003</v>
      </c>
      <c r="AJ730">
        <v>100</v>
      </c>
      <c r="AK730">
        <v>111.81100000000001</v>
      </c>
      <c r="AL730">
        <v>150.88900000000001</v>
      </c>
      <c r="AM730">
        <v>192.381</v>
      </c>
      <c r="AN730">
        <v>184.29400000000001</v>
      </c>
      <c r="AO730">
        <v>192.55799999999999</v>
      </c>
      <c r="AP730">
        <v>212.74600000000001</v>
      </c>
      <c r="AQ730">
        <v>219.59899999999999</v>
      </c>
      <c r="AR730">
        <v>226.51599999999999</v>
      </c>
      <c r="AS730">
        <v>231.35300000000001</v>
      </c>
      <c r="AT730">
        <v>237.93600000000001</v>
      </c>
      <c r="AU730">
        <v>245.02099999999999</v>
      </c>
      <c r="AV730">
        <v>252.33799999999999</v>
      </c>
      <c r="AW730">
        <v>259.83699999999999</v>
      </c>
      <c r="AX730">
        <v>267.64</v>
      </c>
      <c r="AY730">
        <v>2013</v>
      </c>
    </row>
    <row r="731" spans="1:51" x14ac:dyDescent="0.25">
      <c r="A731">
        <v>718</v>
      </c>
      <c r="B731" t="s">
        <v>743</v>
      </c>
      <c r="C731" t="s">
        <v>298</v>
      </c>
      <c r="D731" t="s">
        <v>196</v>
      </c>
      <c r="E731" t="s">
        <v>299</v>
      </c>
      <c r="F731" t="s">
        <v>300</v>
      </c>
      <c r="G731" t="s">
        <v>282</v>
      </c>
      <c r="H731" t="s">
        <v>283</v>
      </c>
      <c r="I731" t="s">
        <v>745</v>
      </c>
      <c r="J731" t="s">
        <v>285</v>
      </c>
      <c r="K731" t="s">
        <v>285</v>
      </c>
      <c r="L731" t="s">
        <v>285</v>
      </c>
      <c r="M731">
        <v>0.47599999999999998</v>
      </c>
      <c r="N731">
        <v>0.54</v>
      </c>
      <c r="O731">
        <v>0.63900000000000001</v>
      </c>
      <c r="P731">
        <v>0.745</v>
      </c>
      <c r="Q731">
        <v>0.69399999999999995</v>
      </c>
      <c r="R731">
        <v>0.71399999999999997</v>
      </c>
      <c r="S731">
        <v>0.88900000000000001</v>
      </c>
      <c r="T731">
        <v>0.90600000000000003</v>
      </c>
      <c r="U731">
        <v>1.032</v>
      </c>
      <c r="V731">
        <v>1.1259999999999999</v>
      </c>
      <c r="W731">
        <v>1.482</v>
      </c>
      <c r="X731">
        <v>1.5649999999999999</v>
      </c>
      <c r="Y731">
        <v>1.2849999999999999</v>
      </c>
      <c r="Z731">
        <v>1.478</v>
      </c>
      <c r="AA731">
        <v>1.5489999999999999</v>
      </c>
      <c r="AB731">
        <v>1.9430000000000001</v>
      </c>
      <c r="AC731">
        <v>1.8680000000000001</v>
      </c>
      <c r="AD731">
        <v>1.9470000000000001</v>
      </c>
      <c r="AE731">
        <v>1.7070000000000001</v>
      </c>
      <c r="AF731">
        <v>2.153</v>
      </c>
      <c r="AG731">
        <v>1.7010000000000001</v>
      </c>
      <c r="AH731">
        <v>1.8420000000000001</v>
      </c>
      <c r="AI731">
        <v>1.97</v>
      </c>
      <c r="AJ731">
        <v>2.4430000000000001</v>
      </c>
      <c r="AK731">
        <v>2.9020000000000001</v>
      </c>
      <c r="AL731">
        <v>2.4689999999999999</v>
      </c>
      <c r="AM731">
        <v>3.7040000000000002</v>
      </c>
      <c r="AN731">
        <v>4.0469999999999997</v>
      </c>
      <c r="AO731">
        <v>4.5819999999999999</v>
      </c>
      <c r="AP731">
        <v>5.6050000000000004</v>
      </c>
      <c r="AQ731">
        <v>6.0519999999999996</v>
      </c>
      <c r="AR731">
        <v>5.7850000000000001</v>
      </c>
      <c r="AS731">
        <v>6.335</v>
      </c>
      <c r="AT731">
        <v>6.31</v>
      </c>
      <c r="AU731">
        <v>6.5739999999999998</v>
      </c>
      <c r="AV731">
        <v>6.7489999999999997</v>
      </c>
      <c r="AW731">
        <v>7.5330000000000004</v>
      </c>
      <c r="AX731">
        <v>8.3759999999999994</v>
      </c>
      <c r="AY731">
        <v>2013</v>
      </c>
    </row>
    <row r="732" spans="1:51" x14ac:dyDescent="0.25">
      <c r="A732">
        <v>724</v>
      </c>
      <c r="B732" t="s">
        <v>746</v>
      </c>
      <c r="C732" t="s">
        <v>279</v>
      </c>
      <c r="D732" t="s">
        <v>197</v>
      </c>
      <c r="E732" t="s">
        <v>280</v>
      </c>
      <c r="F732" t="s">
        <v>281</v>
      </c>
      <c r="G732" t="s">
        <v>282</v>
      </c>
      <c r="H732" t="s">
        <v>283</v>
      </c>
      <c r="I732" t="s">
        <v>747</v>
      </c>
      <c r="J732" s="21">
        <v>2556.2269999999999</v>
      </c>
      <c r="K732" s="21">
        <v>2604.2420000000002</v>
      </c>
      <c r="L732" s="21">
        <v>2650.5929999999998</v>
      </c>
      <c r="M732" s="21">
        <v>2608.826</v>
      </c>
      <c r="N732" s="21">
        <v>2653.1680000000001</v>
      </c>
      <c r="O732" s="21">
        <v>2474.3339999999998</v>
      </c>
      <c r="P732" s="21">
        <v>2477.6109999999999</v>
      </c>
      <c r="Q732" s="21">
        <v>2536.6329999999998</v>
      </c>
      <c r="R732" s="21">
        <v>2588.8389999999999</v>
      </c>
      <c r="S732" s="21">
        <v>2717.0340000000001</v>
      </c>
      <c r="T732" s="21">
        <v>2760.8</v>
      </c>
      <c r="U732" s="21">
        <v>2735.2620000000002</v>
      </c>
      <c r="V732" s="21">
        <v>2300.7150000000001</v>
      </c>
      <c r="W732" s="21">
        <v>2406.884</v>
      </c>
      <c r="X732" s="21">
        <v>2428.2089999999998</v>
      </c>
      <c r="Y732" s="21">
        <v>2345.1680000000001</v>
      </c>
      <c r="Z732" s="21">
        <v>2269.39</v>
      </c>
      <c r="AA732" s="21">
        <v>1948.992</v>
      </c>
      <c r="AB732" s="21">
        <v>2016.6559999999999</v>
      </c>
      <c r="AC732" s="21">
        <v>1886.327</v>
      </c>
      <c r="AD732" s="21">
        <v>2541.2820000000002</v>
      </c>
      <c r="AE732" s="21">
        <v>3479.9769999999999</v>
      </c>
      <c r="AF732" s="21">
        <v>4399.2939999999999</v>
      </c>
      <c r="AG732" s="21">
        <v>4809.0050000000001</v>
      </c>
      <c r="AH732" s="21">
        <v>5126.3010000000004</v>
      </c>
      <c r="AI732" s="21">
        <v>5357.2460000000001</v>
      </c>
      <c r="AJ732" s="21">
        <v>5583.5309999999999</v>
      </c>
      <c r="AK732" s="21">
        <v>6033.47</v>
      </c>
      <c r="AL732" s="21">
        <v>6359.2579999999998</v>
      </c>
      <c r="AM732" s="21">
        <v>6561.915</v>
      </c>
      <c r="AN732" s="21">
        <v>6912.7569999999996</v>
      </c>
      <c r="AO732" s="21">
        <v>7324.8410000000003</v>
      </c>
      <c r="AP732" s="21">
        <v>8439.11</v>
      </c>
      <c r="AQ732" s="21">
        <v>10137.072</v>
      </c>
      <c r="AR732" s="21">
        <v>10853.173000000001</v>
      </c>
      <c r="AS732" s="21">
        <v>8256.7579999999998</v>
      </c>
      <c r="AT732" s="21">
        <v>8200.1489999999994</v>
      </c>
      <c r="AU732" s="21">
        <v>9709.3449999999993</v>
      </c>
      <c r="AV732" s="21">
        <v>11430.276</v>
      </c>
      <c r="AW732" s="21">
        <v>12174.144</v>
      </c>
      <c r="AX732" s="21">
        <v>13018.288</v>
      </c>
      <c r="AY732">
        <v>2013</v>
      </c>
    </row>
    <row r="733" spans="1:51" x14ac:dyDescent="0.25">
      <c r="A733">
        <v>724</v>
      </c>
      <c r="B733" t="s">
        <v>746</v>
      </c>
      <c r="C733" t="s">
        <v>286</v>
      </c>
      <c r="D733" t="s">
        <v>197</v>
      </c>
      <c r="E733" t="s">
        <v>287</v>
      </c>
      <c r="F733" t="s">
        <v>288</v>
      </c>
      <c r="G733" t="s">
        <v>282</v>
      </c>
      <c r="H733" t="s">
        <v>283</v>
      </c>
      <c r="I733" t="s">
        <v>747</v>
      </c>
      <c r="J733">
        <v>1.786</v>
      </c>
      <c r="K733">
        <v>2.113</v>
      </c>
      <c r="L733">
        <v>2.5390000000000001</v>
      </c>
      <c r="M733">
        <v>3.36</v>
      </c>
      <c r="N733">
        <v>5.1749999999999998</v>
      </c>
      <c r="O733">
        <v>8.9390000000000001</v>
      </c>
      <c r="P733">
        <v>21.148</v>
      </c>
      <c r="Q733">
        <v>38.972000000000001</v>
      </c>
      <c r="R733">
        <v>61.017000000000003</v>
      </c>
      <c r="S733">
        <v>103.107</v>
      </c>
      <c r="T733">
        <v>142.46199999999999</v>
      </c>
      <c r="U733">
        <v>336.51600000000002</v>
      </c>
      <c r="V733">
        <v>483.80900000000003</v>
      </c>
      <c r="W733">
        <v>618.11300000000006</v>
      </c>
      <c r="X733">
        <v>766.005</v>
      </c>
      <c r="Y733">
        <v>951.34799999999996</v>
      </c>
      <c r="Z733" s="21">
        <v>1193.5360000000001</v>
      </c>
      <c r="AA733" s="21">
        <v>1179.278</v>
      </c>
      <c r="AB733" s="21">
        <v>1494.8869999999999</v>
      </c>
      <c r="AC733" s="21">
        <v>1724.509</v>
      </c>
      <c r="AD733" s="21">
        <v>1941.0119999999999</v>
      </c>
      <c r="AE733" s="21">
        <v>2166.3330000000001</v>
      </c>
      <c r="AF733" s="21">
        <v>2631.3310000000001</v>
      </c>
      <c r="AG733" s="21">
        <v>3254.261</v>
      </c>
      <c r="AH733" s="21">
        <v>3913.444</v>
      </c>
      <c r="AI733" s="21">
        <v>4769.7879999999996</v>
      </c>
      <c r="AJ733" s="21">
        <v>5583.9769999999999</v>
      </c>
      <c r="AK733" s="21">
        <v>6443.9809999999998</v>
      </c>
      <c r="AL733" s="21">
        <v>7470.5450000000001</v>
      </c>
      <c r="AM733" s="21">
        <v>8308.2939999999999</v>
      </c>
      <c r="AN733" s="21">
        <v>10255.614</v>
      </c>
      <c r="AO733" s="21">
        <v>12752.206</v>
      </c>
      <c r="AP733" s="21">
        <v>16460.079000000002</v>
      </c>
      <c r="AQ733" s="21">
        <v>21351.117999999999</v>
      </c>
      <c r="AR733" s="21">
        <v>22415.118999999999</v>
      </c>
      <c r="AS733" s="21">
        <v>21964.249</v>
      </c>
      <c r="AT733" s="21">
        <v>24856.875</v>
      </c>
      <c r="AU733" s="21">
        <v>27829.401000000002</v>
      </c>
      <c r="AV733" s="21">
        <v>31571.226999999999</v>
      </c>
      <c r="AW733" s="21">
        <v>35826.442999999999</v>
      </c>
      <c r="AX733" s="21">
        <v>40765.951000000001</v>
      </c>
      <c r="AY733">
        <v>2013</v>
      </c>
    </row>
    <row r="734" spans="1:51" x14ac:dyDescent="0.25">
      <c r="A734">
        <v>724</v>
      </c>
      <c r="B734" t="s">
        <v>746</v>
      </c>
      <c r="C734" t="s">
        <v>289</v>
      </c>
      <c r="D734" t="s">
        <v>197</v>
      </c>
      <c r="E734" t="s">
        <v>287</v>
      </c>
      <c r="F734" t="s">
        <v>290</v>
      </c>
      <c r="G734" t="s">
        <v>291</v>
      </c>
      <c r="H734" t="s">
        <v>283</v>
      </c>
      <c r="I734" t="s">
        <v>292</v>
      </c>
      <c r="J734">
        <v>1.7010000000000001</v>
      </c>
      <c r="K734">
        <v>1.823</v>
      </c>
      <c r="L734">
        <v>2.0499999999999998</v>
      </c>
      <c r="M734">
        <v>1.782</v>
      </c>
      <c r="N734">
        <v>2.0619999999999998</v>
      </c>
      <c r="O734">
        <v>1.7549999999999999</v>
      </c>
      <c r="P734">
        <v>1.3140000000000001</v>
      </c>
      <c r="Q734">
        <v>1.145</v>
      </c>
      <c r="R734">
        <v>1.877</v>
      </c>
      <c r="S734">
        <v>1.724</v>
      </c>
      <c r="T734">
        <v>0.94099999999999995</v>
      </c>
      <c r="U734">
        <v>1.139</v>
      </c>
      <c r="V734">
        <v>0.96899999999999997</v>
      </c>
      <c r="W734">
        <v>1.089</v>
      </c>
      <c r="X734">
        <v>1.306</v>
      </c>
      <c r="Y734">
        <v>1.262</v>
      </c>
      <c r="Z734">
        <v>1.296</v>
      </c>
      <c r="AA734">
        <v>1.2010000000000001</v>
      </c>
      <c r="AB734">
        <v>0.95599999999999996</v>
      </c>
      <c r="AC734">
        <v>0.95599999999999996</v>
      </c>
      <c r="AD734">
        <v>0.94099999999999995</v>
      </c>
      <c r="AE734">
        <v>1.0840000000000001</v>
      </c>
      <c r="AF734">
        <v>1.25</v>
      </c>
      <c r="AG734">
        <v>1.38</v>
      </c>
      <c r="AH734">
        <v>1.4390000000000001</v>
      </c>
      <c r="AI734">
        <v>1.649</v>
      </c>
      <c r="AJ734">
        <v>1.8839999999999999</v>
      </c>
      <c r="AK734">
        <v>2.1589999999999998</v>
      </c>
      <c r="AL734">
        <v>2.5110000000000001</v>
      </c>
      <c r="AM734">
        <v>2.4540000000000002</v>
      </c>
      <c r="AN734">
        <v>2.5779999999999998</v>
      </c>
      <c r="AO734">
        <v>2.9319999999999999</v>
      </c>
      <c r="AP734">
        <v>3.7890000000000001</v>
      </c>
      <c r="AQ734">
        <v>4.9139999999999997</v>
      </c>
      <c r="AR734">
        <v>4.8150000000000004</v>
      </c>
      <c r="AS734">
        <v>4.266</v>
      </c>
      <c r="AT734">
        <v>4.5629999999999997</v>
      </c>
      <c r="AU734">
        <v>4.9180000000000001</v>
      </c>
      <c r="AV734">
        <v>5.37</v>
      </c>
      <c r="AW734">
        <v>5.8650000000000002</v>
      </c>
      <c r="AX734">
        <v>6.3730000000000002</v>
      </c>
      <c r="AY734">
        <v>2013</v>
      </c>
    </row>
    <row r="735" spans="1:51" x14ac:dyDescent="0.25">
      <c r="A735">
        <v>724</v>
      </c>
      <c r="B735" t="s">
        <v>746</v>
      </c>
      <c r="C735" t="s">
        <v>293</v>
      </c>
      <c r="D735" t="s">
        <v>197</v>
      </c>
      <c r="E735" t="s">
        <v>294</v>
      </c>
      <c r="F735" t="s">
        <v>295</v>
      </c>
      <c r="G735" t="s">
        <v>296</v>
      </c>
      <c r="I735" t="s">
        <v>297</v>
      </c>
      <c r="J735">
        <v>7.0000000000000007E-2</v>
      </c>
      <c r="K735">
        <v>8.1000000000000003E-2</v>
      </c>
      <c r="L735">
        <v>9.6000000000000002E-2</v>
      </c>
      <c r="M735">
        <v>0.129</v>
      </c>
      <c r="N735">
        <v>0.19500000000000001</v>
      </c>
      <c r="O735">
        <v>0.36099999999999999</v>
      </c>
      <c r="P735">
        <v>0.85399999999999998</v>
      </c>
      <c r="Q735">
        <v>1.536</v>
      </c>
      <c r="R735">
        <v>2.3570000000000002</v>
      </c>
      <c r="S735">
        <v>3.7949999999999999</v>
      </c>
      <c r="T735">
        <v>5.16</v>
      </c>
      <c r="U735">
        <v>12.303000000000001</v>
      </c>
      <c r="V735">
        <v>21.029</v>
      </c>
      <c r="W735">
        <v>25.681000000000001</v>
      </c>
      <c r="X735">
        <v>31.545999999999999</v>
      </c>
      <c r="Y735">
        <v>40.566000000000003</v>
      </c>
      <c r="Z735">
        <v>52.593000000000004</v>
      </c>
      <c r="AA735">
        <v>60.506999999999998</v>
      </c>
      <c r="AB735">
        <v>74.126999999999995</v>
      </c>
      <c r="AC735">
        <v>91.421000000000006</v>
      </c>
      <c r="AD735">
        <v>76.379000000000005</v>
      </c>
      <c r="AE735">
        <v>62.250999999999998</v>
      </c>
      <c r="AF735">
        <v>59.813000000000002</v>
      </c>
      <c r="AG735">
        <v>67.67</v>
      </c>
      <c r="AH735">
        <v>76.340999999999994</v>
      </c>
      <c r="AI735">
        <v>89.034000000000006</v>
      </c>
      <c r="AJ735">
        <v>100.008</v>
      </c>
      <c r="AK735">
        <v>106.804</v>
      </c>
      <c r="AL735">
        <v>117.47499999999999</v>
      </c>
      <c r="AM735">
        <v>126.614</v>
      </c>
      <c r="AN735">
        <v>148.358</v>
      </c>
      <c r="AO735">
        <v>174.095</v>
      </c>
      <c r="AP735">
        <v>195.04499999999999</v>
      </c>
      <c r="AQ735">
        <v>210.624</v>
      </c>
      <c r="AR735">
        <v>206.53100000000001</v>
      </c>
      <c r="AS735">
        <v>266.01499999999999</v>
      </c>
      <c r="AT735">
        <v>303.12700000000001</v>
      </c>
      <c r="AU735">
        <v>286.625</v>
      </c>
      <c r="AV735">
        <v>276.20699999999999</v>
      </c>
      <c r="AW735">
        <v>294.28300000000002</v>
      </c>
      <c r="AX735">
        <v>313.14400000000001</v>
      </c>
      <c r="AY735">
        <v>2013</v>
      </c>
    </row>
    <row r="736" spans="1:51" x14ac:dyDescent="0.25">
      <c r="A736">
        <v>724</v>
      </c>
      <c r="B736" t="s">
        <v>746</v>
      </c>
      <c r="C736" t="s">
        <v>298</v>
      </c>
      <c r="D736" t="s">
        <v>197</v>
      </c>
      <c r="E736" t="s">
        <v>299</v>
      </c>
      <c r="F736" t="s">
        <v>300</v>
      </c>
      <c r="G736" t="s">
        <v>282</v>
      </c>
      <c r="H736" t="s">
        <v>283</v>
      </c>
      <c r="I736" t="s">
        <v>748</v>
      </c>
      <c r="J736" t="s">
        <v>285</v>
      </c>
      <c r="K736" t="s">
        <v>285</v>
      </c>
      <c r="L736" t="s">
        <v>285</v>
      </c>
      <c r="M736" t="s">
        <v>285</v>
      </c>
      <c r="N736" t="s">
        <v>285</v>
      </c>
      <c r="O736" t="s">
        <v>285</v>
      </c>
      <c r="P736" t="s">
        <v>285</v>
      </c>
      <c r="Q736" t="s">
        <v>285</v>
      </c>
      <c r="R736" t="s">
        <v>285</v>
      </c>
      <c r="S736" t="s">
        <v>285</v>
      </c>
      <c r="T736" t="s">
        <v>285</v>
      </c>
      <c r="U736" t="s">
        <v>285</v>
      </c>
      <c r="V736" t="s">
        <v>285</v>
      </c>
      <c r="W736" t="s">
        <v>285</v>
      </c>
      <c r="X736" t="s">
        <v>285</v>
      </c>
      <c r="Y736" t="s">
        <v>285</v>
      </c>
      <c r="Z736" t="s">
        <v>285</v>
      </c>
      <c r="AA736" t="s">
        <v>285</v>
      </c>
      <c r="AB736" t="s">
        <v>285</v>
      </c>
      <c r="AC736" t="s">
        <v>285</v>
      </c>
      <c r="AD736">
        <v>317.59699999999998</v>
      </c>
      <c r="AE736">
        <v>413.71</v>
      </c>
      <c r="AF736">
        <v>526.84299999999996</v>
      </c>
      <c r="AG736">
        <v>612.56299999999999</v>
      </c>
      <c r="AH736">
        <v>708.971</v>
      </c>
      <c r="AI736">
        <v>860.24599999999998</v>
      </c>
      <c r="AJ736">
        <v>928.86099999999999</v>
      </c>
      <c r="AK736">
        <v>834.71299999999997</v>
      </c>
      <c r="AL736" s="21">
        <v>1207.3320000000001</v>
      </c>
      <c r="AM736" s="21">
        <v>1451.9559999999999</v>
      </c>
      <c r="AN736" s="21">
        <v>2073.7640000000001</v>
      </c>
      <c r="AO736" s="21">
        <v>2751.942</v>
      </c>
      <c r="AP736" s="21">
        <v>3357.8589999999999</v>
      </c>
      <c r="AQ736" s="21">
        <v>3337.085</v>
      </c>
      <c r="AR736" s="21">
        <v>4003.5129999999999</v>
      </c>
      <c r="AS736" s="21">
        <v>4118.027</v>
      </c>
      <c r="AT736" s="21">
        <v>4622.0209999999997</v>
      </c>
      <c r="AU736" s="21">
        <v>5197.2489999999998</v>
      </c>
      <c r="AV736" s="21">
        <v>5985.9970000000003</v>
      </c>
      <c r="AW736" s="21">
        <v>6797.6030000000001</v>
      </c>
      <c r="AX736" s="21">
        <v>8022.5280000000002</v>
      </c>
      <c r="AY736">
        <v>2013</v>
      </c>
    </row>
    <row r="737" spans="1:51" x14ac:dyDescent="0.25">
      <c r="A737">
        <v>576</v>
      </c>
      <c r="B737" t="s">
        <v>749</v>
      </c>
      <c r="C737" t="s">
        <v>279</v>
      </c>
      <c r="D737" t="s">
        <v>198</v>
      </c>
      <c r="E737" t="s">
        <v>280</v>
      </c>
      <c r="F737" t="s">
        <v>281</v>
      </c>
      <c r="G737" t="s">
        <v>282</v>
      </c>
      <c r="H737" t="s">
        <v>283</v>
      </c>
      <c r="I737" t="s">
        <v>750</v>
      </c>
      <c r="J737">
        <v>43.805</v>
      </c>
      <c r="K737">
        <v>48.485999999999997</v>
      </c>
      <c r="L737">
        <v>51.963000000000001</v>
      </c>
      <c r="M737">
        <v>56.401000000000003</v>
      </c>
      <c r="N737">
        <v>61.365000000000002</v>
      </c>
      <c r="O737">
        <v>60.942999999999998</v>
      </c>
      <c r="P737">
        <v>61.752000000000002</v>
      </c>
      <c r="Q737">
        <v>68.394999999999996</v>
      </c>
      <c r="R737">
        <v>75.997</v>
      </c>
      <c r="S737">
        <v>83.736000000000004</v>
      </c>
      <c r="T737">
        <v>92.146000000000001</v>
      </c>
      <c r="U737">
        <v>98.308000000000007</v>
      </c>
      <c r="V737">
        <v>105.276</v>
      </c>
      <c r="W737">
        <v>117.422</v>
      </c>
      <c r="X737">
        <v>130.251</v>
      </c>
      <c r="Y737">
        <v>139.405</v>
      </c>
      <c r="Z737">
        <v>149.905</v>
      </c>
      <c r="AA737">
        <v>162.334</v>
      </c>
      <c r="AB737">
        <v>158.72200000000001</v>
      </c>
      <c r="AC737">
        <v>168.39599999999999</v>
      </c>
      <c r="AD737">
        <v>183.37899999999999</v>
      </c>
      <c r="AE737">
        <v>181.63300000000001</v>
      </c>
      <c r="AF737">
        <v>189.28299999999999</v>
      </c>
      <c r="AG737">
        <v>197.678</v>
      </c>
      <c r="AH737">
        <v>216.554</v>
      </c>
      <c r="AI737">
        <v>232.773</v>
      </c>
      <c r="AJ737">
        <v>253.39699999999999</v>
      </c>
      <c r="AK737">
        <v>276.48500000000001</v>
      </c>
      <c r="AL737">
        <v>281.42700000000002</v>
      </c>
      <c r="AM737">
        <v>279.72899999999998</v>
      </c>
      <c r="AN737">
        <v>322.36099999999999</v>
      </c>
      <c r="AO737">
        <v>342.37200000000001</v>
      </c>
      <c r="AP737">
        <v>354.06099999999998</v>
      </c>
      <c r="AQ737">
        <v>369.79300000000001</v>
      </c>
      <c r="AR737">
        <v>380.58499999999998</v>
      </c>
      <c r="AS737">
        <v>388.96699999999998</v>
      </c>
      <c r="AT737">
        <v>400.33600000000001</v>
      </c>
      <c r="AU737">
        <v>413.21300000000002</v>
      </c>
      <c r="AV737">
        <v>426.27499999999998</v>
      </c>
      <c r="AW737">
        <v>440.08</v>
      </c>
      <c r="AX737">
        <v>454.36500000000001</v>
      </c>
      <c r="AY737">
        <v>2014</v>
      </c>
    </row>
    <row r="738" spans="1:51" x14ac:dyDescent="0.25">
      <c r="A738">
        <v>576</v>
      </c>
      <c r="B738" t="s">
        <v>749</v>
      </c>
      <c r="C738" t="s">
        <v>286</v>
      </c>
      <c r="D738" t="s">
        <v>198</v>
      </c>
      <c r="E738" t="s">
        <v>287</v>
      </c>
      <c r="F738" t="s">
        <v>288</v>
      </c>
      <c r="G738" t="s">
        <v>282</v>
      </c>
      <c r="H738" t="s">
        <v>283</v>
      </c>
      <c r="I738" t="s">
        <v>750</v>
      </c>
      <c r="J738">
        <v>25.863</v>
      </c>
      <c r="K738">
        <v>30.344999999999999</v>
      </c>
      <c r="L738">
        <v>33.97</v>
      </c>
      <c r="M738">
        <v>38.039000000000001</v>
      </c>
      <c r="N738">
        <v>41.701999999999998</v>
      </c>
      <c r="O738">
        <v>40.823999999999998</v>
      </c>
      <c r="P738">
        <v>40.853999999999999</v>
      </c>
      <c r="Q738">
        <v>45.503</v>
      </c>
      <c r="R738">
        <v>53.36</v>
      </c>
      <c r="S738">
        <v>61.223999999999997</v>
      </c>
      <c r="T738">
        <v>70.507000000000005</v>
      </c>
      <c r="U738">
        <v>78.557000000000002</v>
      </c>
      <c r="V738">
        <v>84.962999999999994</v>
      </c>
      <c r="W738">
        <v>97.99</v>
      </c>
      <c r="X738">
        <v>112.688</v>
      </c>
      <c r="Y738">
        <v>124.575</v>
      </c>
      <c r="Z738">
        <v>135.929</v>
      </c>
      <c r="AA738">
        <v>148.72399999999999</v>
      </c>
      <c r="AB738">
        <v>143.44</v>
      </c>
      <c r="AC738">
        <v>146.25</v>
      </c>
      <c r="AD738">
        <v>165.21799999999999</v>
      </c>
      <c r="AE738">
        <v>159.97399999999999</v>
      </c>
      <c r="AF738">
        <v>164.63</v>
      </c>
      <c r="AG738">
        <v>168.99600000000001</v>
      </c>
      <c r="AH738">
        <v>193.00200000000001</v>
      </c>
      <c r="AI738">
        <v>212.07400000000001</v>
      </c>
      <c r="AJ738">
        <v>234.83500000000001</v>
      </c>
      <c r="AK738">
        <v>271.25</v>
      </c>
      <c r="AL738">
        <v>271.98</v>
      </c>
      <c r="AM738">
        <v>279.858</v>
      </c>
      <c r="AN738">
        <v>322.36099999999999</v>
      </c>
      <c r="AO738">
        <v>346.35399999999998</v>
      </c>
      <c r="AP738">
        <v>362.33300000000003</v>
      </c>
      <c r="AQ738">
        <v>378.2</v>
      </c>
      <c r="AR738">
        <v>390.089</v>
      </c>
      <c r="AS738">
        <v>398.65</v>
      </c>
      <c r="AT738">
        <v>421.42700000000002</v>
      </c>
      <c r="AU738">
        <v>447.37099999999998</v>
      </c>
      <c r="AV738">
        <v>474.52499999999998</v>
      </c>
      <c r="AW738">
        <v>503.70400000000001</v>
      </c>
      <c r="AX738">
        <v>534.67700000000002</v>
      </c>
      <c r="AY738">
        <v>2014</v>
      </c>
    </row>
    <row r="739" spans="1:51" x14ac:dyDescent="0.25">
      <c r="A739">
        <v>576</v>
      </c>
      <c r="B739" t="s">
        <v>749</v>
      </c>
      <c r="C739" t="s">
        <v>289</v>
      </c>
      <c r="D739" t="s">
        <v>198</v>
      </c>
      <c r="E739" t="s">
        <v>287</v>
      </c>
      <c r="F739" t="s">
        <v>290</v>
      </c>
      <c r="G739" t="s">
        <v>291</v>
      </c>
      <c r="H739" t="s">
        <v>283</v>
      </c>
      <c r="I739" t="s">
        <v>292</v>
      </c>
      <c r="J739">
        <v>12.079000000000001</v>
      </c>
      <c r="K739">
        <v>14.382999999999999</v>
      </c>
      <c r="L739">
        <v>15.887</v>
      </c>
      <c r="M739">
        <v>17.998000000000001</v>
      </c>
      <c r="N739">
        <v>19.552</v>
      </c>
      <c r="O739">
        <v>18.556999999999999</v>
      </c>
      <c r="P739">
        <v>18.763000000000002</v>
      </c>
      <c r="Q739">
        <v>21.611000000000001</v>
      </c>
      <c r="R739">
        <v>26.515000000000001</v>
      </c>
      <c r="S739">
        <v>31.393000000000001</v>
      </c>
      <c r="T739">
        <v>38.9</v>
      </c>
      <c r="U739">
        <v>45.472000000000001</v>
      </c>
      <c r="V739">
        <v>52.13</v>
      </c>
      <c r="W739">
        <v>60.642000000000003</v>
      </c>
      <c r="X739">
        <v>73.775999999999996</v>
      </c>
      <c r="Y739">
        <v>87.888000000000005</v>
      </c>
      <c r="Z739">
        <v>96.403000000000006</v>
      </c>
      <c r="AA739">
        <v>100.16800000000001</v>
      </c>
      <c r="AB739">
        <v>85.715000000000003</v>
      </c>
      <c r="AC739">
        <v>86.287000000000006</v>
      </c>
      <c r="AD739">
        <v>95.837000000000003</v>
      </c>
      <c r="AE739">
        <v>89.287999999999997</v>
      </c>
      <c r="AF739">
        <v>91.941999999999993</v>
      </c>
      <c r="AG739">
        <v>97.003</v>
      </c>
      <c r="AH739">
        <v>114.184</v>
      </c>
      <c r="AI739">
        <v>127.42</v>
      </c>
      <c r="AJ739">
        <v>147.79499999999999</v>
      </c>
      <c r="AK739">
        <v>179.98099999999999</v>
      </c>
      <c r="AL739">
        <v>192.23099999999999</v>
      </c>
      <c r="AM739">
        <v>192.40600000000001</v>
      </c>
      <c r="AN739">
        <v>236.42</v>
      </c>
      <c r="AO739">
        <v>275.37</v>
      </c>
      <c r="AP739">
        <v>289.94099999999997</v>
      </c>
      <c r="AQ739">
        <v>302.24599999999998</v>
      </c>
      <c r="AR739">
        <v>307.87200000000001</v>
      </c>
      <c r="AS739">
        <v>293.959</v>
      </c>
      <c r="AT739">
        <v>308.71600000000001</v>
      </c>
      <c r="AU739">
        <v>328.29899999999998</v>
      </c>
      <c r="AV739">
        <v>348.79599999999999</v>
      </c>
      <c r="AW739">
        <v>370.06299999999999</v>
      </c>
      <c r="AX739">
        <v>394.97699999999998</v>
      </c>
      <c r="AY739">
        <v>2014</v>
      </c>
    </row>
    <row r="740" spans="1:51" x14ac:dyDescent="0.25">
      <c r="A740">
        <v>576</v>
      </c>
      <c r="B740" t="s">
        <v>749</v>
      </c>
      <c r="C740" t="s">
        <v>293</v>
      </c>
      <c r="D740" t="s">
        <v>198</v>
      </c>
      <c r="E740" t="s">
        <v>294</v>
      </c>
      <c r="F740" t="s">
        <v>295</v>
      </c>
      <c r="G740" t="s">
        <v>296</v>
      </c>
      <c r="I740" t="s">
        <v>297</v>
      </c>
      <c r="J740">
        <v>59.042000000000002</v>
      </c>
      <c r="K740">
        <v>62.585000000000001</v>
      </c>
      <c r="L740">
        <v>65.373000000000005</v>
      </c>
      <c r="M740">
        <v>67.444000000000003</v>
      </c>
      <c r="N740">
        <v>67.957999999999998</v>
      </c>
      <c r="O740">
        <v>66.986999999999995</v>
      </c>
      <c r="P740">
        <v>66.159000000000006</v>
      </c>
      <c r="Q740">
        <v>66.528999999999996</v>
      </c>
      <c r="R740">
        <v>70.213999999999999</v>
      </c>
      <c r="S740">
        <v>73.116</v>
      </c>
      <c r="T740">
        <v>76.516999999999996</v>
      </c>
      <c r="U740">
        <v>79.909000000000006</v>
      </c>
      <c r="V740">
        <v>80.704999999999998</v>
      </c>
      <c r="W740">
        <v>83.450999999999993</v>
      </c>
      <c r="X740">
        <v>86.516000000000005</v>
      </c>
      <c r="Y740">
        <v>89.361999999999995</v>
      </c>
      <c r="Z740">
        <v>90.677000000000007</v>
      </c>
      <c r="AA740">
        <v>91.616</v>
      </c>
      <c r="AB740">
        <v>90.372</v>
      </c>
      <c r="AC740">
        <v>86.849000000000004</v>
      </c>
      <c r="AD740">
        <v>90.096000000000004</v>
      </c>
      <c r="AE740">
        <v>88.075999999999993</v>
      </c>
      <c r="AF740">
        <v>86.975999999999999</v>
      </c>
      <c r="AG740">
        <v>85.491</v>
      </c>
      <c r="AH740">
        <v>89.123999999999995</v>
      </c>
      <c r="AI740">
        <v>91.108000000000004</v>
      </c>
      <c r="AJ740">
        <v>92.674999999999997</v>
      </c>
      <c r="AK740">
        <v>98.106999999999999</v>
      </c>
      <c r="AL740">
        <v>96.643000000000001</v>
      </c>
      <c r="AM740">
        <v>100.04600000000001</v>
      </c>
      <c r="AN740">
        <v>100</v>
      </c>
      <c r="AO740">
        <v>101.163</v>
      </c>
      <c r="AP740">
        <v>102.336</v>
      </c>
      <c r="AQ740">
        <v>102.274</v>
      </c>
      <c r="AR740">
        <v>102.497</v>
      </c>
      <c r="AS740">
        <v>102.489</v>
      </c>
      <c r="AT740">
        <v>105.268</v>
      </c>
      <c r="AU740">
        <v>108.267</v>
      </c>
      <c r="AV740">
        <v>111.319</v>
      </c>
      <c r="AW740">
        <v>114.45699999999999</v>
      </c>
      <c r="AX740">
        <v>117.675</v>
      </c>
      <c r="AY740">
        <v>2014</v>
      </c>
    </row>
    <row r="741" spans="1:51" x14ac:dyDescent="0.25">
      <c r="A741">
        <v>576</v>
      </c>
      <c r="B741" t="s">
        <v>749</v>
      </c>
      <c r="C741" t="s">
        <v>298</v>
      </c>
      <c r="D741" t="s">
        <v>198</v>
      </c>
      <c r="E741" t="s">
        <v>299</v>
      </c>
      <c r="F741" t="s">
        <v>300</v>
      </c>
      <c r="G741" t="s">
        <v>282</v>
      </c>
      <c r="H741" t="s">
        <v>283</v>
      </c>
      <c r="I741" t="s">
        <v>751</v>
      </c>
      <c r="J741" t="s">
        <v>285</v>
      </c>
      <c r="K741" t="s">
        <v>285</v>
      </c>
      <c r="L741" t="s">
        <v>285</v>
      </c>
      <c r="M741" t="s">
        <v>285</v>
      </c>
      <c r="N741" t="s">
        <v>285</v>
      </c>
      <c r="O741" t="s">
        <v>285</v>
      </c>
      <c r="P741" t="s">
        <v>285</v>
      </c>
      <c r="Q741" t="s">
        <v>285</v>
      </c>
      <c r="R741" t="s">
        <v>285</v>
      </c>
      <c r="S741" t="s">
        <v>285</v>
      </c>
      <c r="T741">
        <v>13.144</v>
      </c>
      <c r="U741">
        <v>15.347</v>
      </c>
      <c r="V741">
        <v>14.863</v>
      </c>
      <c r="W741">
        <v>17.114000000000001</v>
      </c>
      <c r="X741">
        <v>20.954999999999998</v>
      </c>
      <c r="Y741">
        <v>26.141999999999999</v>
      </c>
      <c r="Z741">
        <v>36.043999999999997</v>
      </c>
      <c r="AA741">
        <v>38.091999999999999</v>
      </c>
      <c r="AB741">
        <v>39.112000000000002</v>
      </c>
      <c r="AC741">
        <v>34.316000000000003</v>
      </c>
      <c r="AD741">
        <v>32.4</v>
      </c>
      <c r="AE741">
        <v>35.262999999999998</v>
      </c>
      <c r="AF741">
        <v>29.091999999999999</v>
      </c>
      <c r="AG741">
        <v>23.573</v>
      </c>
      <c r="AH741">
        <v>26.052</v>
      </c>
      <c r="AI741">
        <v>26.321000000000002</v>
      </c>
      <c r="AJ741">
        <v>30.928000000000001</v>
      </c>
      <c r="AK741">
        <v>33.03</v>
      </c>
      <c r="AL741">
        <v>47.052</v>
      </c>
      <c r="AM741">
        <v>52.540999999999997</v>
      </c>
      <c r="AN741">
        <v>48.067999999999998</v>
      </c>
      <c r="AO741">
        <v>51.526000000000003</v>
      </c>
      <c r="AP741">
        <v>52.814999999999998</v>
      </c>
      <c r="AQ741">
        <v>61.152999999999999</v>
      </c>
      <c r="AR741">
        <v>71.326999999999998</v>
      </c>
      <c r="AS741">
        <v>82.224999999999994</v>
      </c>
      <c r="AT741">
        <v>83.811999999999998</v>
      </c>
      <c r="AU741">
        <v>89.698999999999998</v>
      </c>
      <c r="AV741">
        <v>96.132000000000005</v>
      </c>
      <c r="AW741">
        <v>98.313000000000002</v>
      </c>
      <c r="AX741">
        <v>100.304</v>
      </c>
      <c r="AY741">
        <v>2014</v>
      </c>
    </row>
    <row r="742" spans="1:51" x14ac:dyDescent="0.25">
      <c r="A742">
        <v>936</v>
      </c>
      <c r="B742" t="s">
        <v>752</v>
      </c>
      <c r="C742" t="s">
        <v>279</v>
      </c>
      <c r="D742" t="s">
        <v>199</v>
      </c>
      <c r="E742" t="s">
        <v>280</v>
      </c>
      <c r="F742" t="s">
        <v>281</v>
      </c>
      <c r="G742" t="s">
        <v>282</v>
      </c>
      <c r="H742" t="s">
        <v>283</v>
      </c>
      <c r="I742" t="s">
        <v>754</v>
      </c>
      <c r="J742" t="s">
        <v>285</v>
      </c>
      <c r="K742" t="s">
        <v>285</v>
      </c>
      <c r="L742" t="s">
        <v>285</v>
      </c>
      <c r="M742" t="s">
        <v>285</v>
      </c>
      <c r="N742" t="s">
        <v>285</v>
      </c>
      <c r="O742" t="s">
        <v>285</v>
      </c>
      <c r="P742" t="s">
        <v>285</v>
      </c>
      <c r="Q742" t="s">
        <v>285</v>
      </c>
      <c r="R742" t="s">
        <v>285</v>
      </c>
      <c r="S742" t="s">
        <v>285</v>
      </c>
      <c r="T742" t="s">
        <v>285</v>
      </c>
      <c r="U742" t="s">
        <v>285</v>
      </c>
      <c r="V742" t="s">
        <v>285</v>
      </c>
      <c r="W742">
        <v>31.167999999999999</v>
      </c>
      <c r="X742">
        <v>33.101999999999997</v>
      </c>
      <c r="Y742">
        <v>35.707999999999998</v>
      </c>
      <c r="Z742">
        <v>38.186999999999998</v>
      </c>
      <c r="AA742">
        <v>39.884</v>
      </c>
      <c r="AB742">
        <v>41.476999999999997</v>
      </c>
      <c r="AC742">
        <v>41.393000000000001</v>
      </c>
      <c r="AD742">
        <v>41.896000000000001</v>
      </c>
      <c r="AE742">
        <v>43.287999999999997</v>
      </c>
      <c r="AF742">
        <v>45.329000000000001</v>
      </c>
      <c r="AG742">
        <v>47.781999999999996</v>
      </c>
      <c r="AH742">
        <v>50.286000000000001</v>
      </c>
      <c r="AI742">
        <v>53.573999999999998</v>
      </c>
      <c r="AJ742">
        <v>57.999000000000002</v>
      </c>
      <c r="AK742">
        <v>64.194000000000003</v>
      </c>
      <c r="AL742">
        <v>67.69</v>
      </c>
      <c r="AM742">
        <v>64.108999999999995</v>
      </c>
      <c r="AN742">
        <v>67.203999999999994</v>
      </c>
      <c r="AO742">
        <v>69.021000000000001</v>
      </c>
      <c r="AP742">
        <v>70.126999999999995</v>
      </c>
      <c r="AQ742">
        <v>71.126000000000005</v>
      </c>
      <c r="AR742">
        <v>72.84</v>
      </c>
      <c r="AS742">
        <v>75.144000000000005</v>
      </c>
      <c r="AT742">
        <v>77.870999999999995</v>
      </c>
      <c r="AU742">
        <v>80.635000000000005</v>
      </c>
      <c r="AV742">
        <v>83.263999999999996</v>
      </c>
      <c r="AW742">
        <v>85.885000000000005</v>
      </c>
      <c r="AX742">
        <v>88.588999999999999</v>
      </c>
      <c r="AY742">
        <v>2014</v>
      </c>
    </row>
    <row r="743" spans="1:51" x14ac:dyDescent="0.25">
      <c r="A743">
        <v>936</v>
      </c>
      <c r="B743" t="s">
        <v>752</v>
      </c>
      <c r="C743" t="s">
        <v>286</v>
      </c>
      <c r="D743" t="s">
        <v>199</v>
      </c>
      <c r="E743" t="s">
        <v>287</v>
      </c>
      <c r="F743" t="s">
        <v>288</v>
      </c>
      <c r="G743" t="s">
        <v>282</v>
      </c>
      <c r="H743" t="s">
        <v>283</v>
      </c>
      <c r="I743" t="s">
        <v>754</v>
      </c>
      <c r="J743" t="s">
        <v>285</v>
      </c>
      <c r="K743" t="s">
        <v>285</v>
      </c>
      <c r="L743" t="s">
        <v>285</v>
      </c>
      <c r="M743" t="s">
        <v>285</v>
      </c>
      <c r="N743" t="s">
        <v>285</v>
      </c>
      <c r="O743" t="s">
        <v>285</v>
      </c>
      <c r="P743" t="s">
        <v>285</v>
      </c>
      <c r="Q743" t="s">
        <v>285</v>
      </c>
      <c r="R743" t="s">
        <v>285</v>
      </c>
      <c r="S743" t="s">
        <v>285</v>
      </c>
      <c r="T743" t="s">
        <v>285</v>
      </c>
      <c r="U743" t="s">
        <v>285</v>
      </c>
      <c r="V743" t="s">
        <v>285</v>
      </c>
      <c r="W743">
        <v>13.914</v>
      </c>
      <c r="X743">
        <v>16.765000000000001</v>
      </c>
      <c r="Y743">
        <v>19.686</v>
      </c>
      <c r="Z743">
        <v>21.952000000000002</v>
      </c>
      <c r="AA743">
        <v>24.414000000000001</v>
      </c>
      <c r="AB743">
        <v>26.658000000000001</v>
      </c>
      <c r="AC743">
        <v>28.542000000000002</v>
      </c>
      <c r="AD743">
        <v>31.596</v>
      </c>
      <c r="AE743">
        <v>34.307000000000002</v>
      </c>
      <c r="AF743">
        <v>37.344999999999999</v>
      </c>
      <c r="AG743">
        <v>41.475000000000001</v>
      </c>
      <c r="AH743">
        <v>46.173000000000002</v>
      </c>
      <c r="AI743">
        <v>50.398000000000003</v>
      </c>
      <c r="AJ743">
        <v>56.155999999999999</v>
      </c>
      <c r="AK743">
        <v>62.853999999999999</v>
      </c>
      <c r="AL743">
        <v>68.156000000000006</v>
      </c>
      <c r="AM743">
        <v>63.798999999999999</v>
      </c>
      <c r="AN743">
        <v>67.203999999999994</v>
      </c>
      <c r="AO743">
        <v>70.16</v>
      </c>
      <c r="AP743">
        <v>72.185000000000002</v>
      </c>
      <c r="AQ743">
        <v>73.593000000000004</v>
      </c>
      <c r="AR743">
        <v>75.215000000000003</v>
      </c>
      <c r="AS743">
        <v>77.475999999999999</v>
      </c>
      <c r="AT743">
        <v>80.995999999999995</v>
      </c>
      <c r="AU743">
        <v>85.069000000000003</v>
      </c>
      <c r="AV743">
        <v>89.272000000000006</v>
      </c>
      <c r="AW743">
        <v>93.772000000000006</v>
      </c>
      <c r="AX743">
        <v>98.569000000000003</v>
      </c>
      <c r="AY743">
        <v>2014</v>
      </c>
    </row>
    <row r="744" spans="1:51" x14ac:dyDescent="0.25">
      <c r="A744">
        <v>936</v>
      </c>
      <c r="B744" t="s">
        <v>752</v>
      </c>
      <c r="C744" t="s">
        <v>289</v>
      </c>
      <c r="D744" t="s">
        <v>199</v>
      </c>
      <c r="E744" t="s">
        <v>287</v>
      </c>
      <c r="F744" t="s">
        <v>290</v>
      </c>
      <c r="G744" t="s">
        <v>291</v>
      </c>
      <c r="H744" t="s">
        <v>283</v>
      </c>
      <c r="I744" t="s">
        <v>292</v>
      </c>
      <c r="J744" t="s">
        <v>285</v>
      </c>
      <c r="K744" t="s">
        <v>285</v>
      </c>
      <c r="L744" t="s">
        <v>285</v>
      </c>
      <c r="M744" t="s">
        <v>285</v>
      </c>
      <c r="N744" t="s">
        <v>285</v>
      </c>
      <c r="O744" t="s">
        <v>285</v>
      </c>
      <c r="P744" t="s">
        <v>285</v>
      </c>
      <c r="Q744" t="s">
        <v>285</v>
      </c>
      <c r="R744" t="s">
        <v>285</v>
      </c>
      <c r="S744" t="s">
        <v>285</v>
      </c>
      <c r="T744" t="s">
        <v>285</v>
      </c>
      <c r="U744" t="s">
        <v>285</v>
      </c>
      <c r="V744" t="s">
        <v>285</v>
      </c>
      <c r="W744">
        <v>13.669</v>
      </c>
      <c r="X744">
        <v>15.772</v>
      </c>
      <c r="Y744">
        <v>19.951000000000001</v>
      </c>
      <c r="Z744">
        <v>21.579000000000001</v>
      </c>
      <c r="AA744">
        <v>21.888999999999999</v>
      </c>
      <c r="AB744">
        <v>22.798999999999999</v>
      </c>
      <c r="AC744">
        <v>20.837</v>
      </c>
      <c r="AD744">
        <v>20.687000000000001</v>
      </c>
      <c r="AE744">
        <v>21.384</v>
      </c>
      <c r="AF744">
        <v>24.898</v>
      </c>
      <c r="AG744">
        <v>34.081000000000003</v>
      </c>
      <c r="AH744">
        <v>43.188000000000002</v>
      </c>
      <c r="AI744">
        <v>49.030999999999999</v>
      </c>
      <c r="AJ744">
        <v>57.283000000000001</v>
      </c>
      <c r="AK744">
        <v>76.86</v>
      </c>
      <c r="AL744">
        <v>96.554000000000002</v>
      </c>
      <c r="AM744">
        <v>88.858999999999995</v>
      </c>
      <c r="AN744">
        <v>89.18</v>
      </c>
      <c r="AO744">
        <v>97.62</v>
      </c>
      <c r="AP744">
        <v>92.843999999999994</v>
      </c>
      <c r="AQ744">
        <v>97.742999999999995</v>
      </c>
      <c r="AR744">
        <v>99.869</v>
      </c>
      <c r="AS744">
        <v>86.197999999999993</v>
      </c>
      <c r="AT744">
        <v>90.543999999999997</v>
      </c>
      <c r="AU744">
        <v>96.150999999999996</v>
      </c>
      <c r="AV744">
        <v>101.932</v>
      </c>
      <c r="AW744">
        <v>107.913</v>
      </c>
      <c r="AX744">
        <v>115.111</v>
      </c>
      <c r="AY744">
        <v>2014</v>
      </c>
    </row>
    <row r="745" spans="1:51" x14ac:dyDescent="0.25">
      <c r="A745">
        <v>936</v>
      </c>
      <c r="B745" t="s">
        <v>752</v>
      </c>
      <c r="C745" t="s">
        <v>293</v>
      </c>
      <c r="D745" t="s">
        <v>199</v>
      </c>
      <c r="E745" t="s">
        <v>294</v>
      </c>
      <c r="F745" t="s">
        <v>295</v>
      </c>
      <c r="G745" t="s">
        <v>296</v>
      </c>
      <c r="I745" t="s">
        <v>297</v>
      </c>
      <c r="J745" t="s">
        <v>285</v>
      </c>
      <c r="K745" t="s">
        <v>285</v>
      </c>
      <c r="L745" t="s">
        <v>285</v>
      </c>
      <c r="M745" t="s">
        <v>285</v>
      </c>
      <c r="N745" t="s">
        <v>285</v>
      </c>
      <c r="O745" t="s">
        <v>285</v>
      </c>
      <c r="P745" t="s">
        <v>285</v>
      </c>
      <c r="Q745" t="s">
        <v>285</v>
      </c>
      <c r="R745" t="s">
        <v>285</v>
      </c>
      <c r="S745" t="s">
        <v>285</v>
      </c>
      <c r="T745" t="s">
        <v>285</v>
      </c>
      <c r="U745" t="s">
        <v>285</v>
      </c>
      <c r="V745" t="s">
        <v>285</v>
      </c>
      <c r="W745">
        <v>44.64</v>
      </c>
      <c r="X745">
        <v>50.643999999999998</v>
      </c>
      <c r="Y745">
        <v>55.128999999999998</v>
      </c>
      <c r="Z745">
        <v>57.484000000000002</v>
      </c>
      <c r="AA745">
        <v>61.212000000000003</v>
      </c>
      <c r="AB745">
        <v>64.271000000000001</v>
      </c>
      <c r="AC745">
        <v>68.953000000000003</v>
      </c>
      <c r="AD745">
        <v>75.415999999999997</v>
      </c>
      <c r="AE745">
        <v>79.254000000000005</v>
      </c>
      <c r="AF745">
        <v>82.387</v>
      </c>
      <c r="AG745">
        <v>86.8</v>
      </c>
      <c r="AH745">
        <v>91.820999999999998</v>
      </c>
      <c r="AI745">
        <v>94.072000000000003</v>
      </c>
      <c r="AJ745">
        <v>96.822999999999993</v>
      </c>
      <c r="AK745">
        <v>97.912999999999997</v>
      </c>
      <c r="AL745">
        <v>100.688</v>
      </c>
      <c r="AM745">
        <v>99.516000000000005</v>
      </c>
      <c r="AN745">
        <v>100</v>
      </c>
      <c r="AO745">
        <v>101.649</v>
      </c>
      <c r="AP745">
        <v>102.934</v>
      </c>
      <c r="AQ745">
        <v>103.468</v>
      </c>
      <c r="AR745">
        <v>103.26</v>
      </c>
      <c r="AS745">
        <v>103.104</v>
      </c>
      <c r="AT745">
        <v>104.014</v>
      </c>
      <c r="AU745">
        <v>105.499</v>
      </c>
      <c r="AV745">
        <v>107.21599999999999</v>
      </c>
      <c r="AW745">
        <v>109.18300000000001</v>
      </c>
      <c r="AX745">
        <v>111.267</v>
      </c>
      <c r="AY745">
        <v>2014</v>
      </c>
    </row>
    <row r="746" spans="1:51" x14ac:dyDescent="0.25">
      <c r="A746">
        <v>936</v>
      </c>
      <c r="B746" t="s">
        <v>752</v>
      </c>
      <c r="C746" t="s">
        <v>298</v>
      </c>
      <c r="D746" t="s">
        <v>199</v>
      </c>
      <c r="E746" t="s">
        <v>299</v>
      </c>
      <c r="F746" t="s">
        <v>300</v>
      </c>
      <c r="G746" t="s">
        <v>282</v>
      </c>
      <c r="H746" t="s">
        <v>283</v>
      </c>
      <c r="I746" t="s">
        <v>755</v>
      </c>
      <c r="J746" t="s">
        <v>285</v>
      </c>
      <c r="K746" t="s">
        <v>285</v>
      </c>
      <c r="L746" t="s">
        <v>285</v>
      </c>
      <c r="M746" t="s">
        <v>285</v>
      </c>
      <c r="N746" t="s">
        <v>285</v>
      </c>
      <c r="O746" t="s">
        <v>285</v>
      </c>
      <c r="P746" t="s">
        <v>285</v>
      </c>
      <c r="Q746" t="s">
        <v>285</v>
      </c>
      <c r="R746" t="s">
        <v>285</v>
      </c>
      <c r="S746" t="s">
        <v>285</v>
      </c>
      <c r="T746" t="s">
        <v>285</v>
      </c>
      <c r="U746" t="s">
        <v>285</v>
      </c>
      <c r="V746" t="s">
        <v>285</v>
      </c>
      <c r="W746" t="s">
        <v>285</v>
      </c>
      <c r="X746" t="s">
        <v>285</v>
      </c>
      <c r="Y746">
        <v>9.4789999999999992</v>
      </c>
      <c r="Z746">
        <v>11.653</v>
      </c>
      <c r="AA746">
        <v>11.778</v>
      </c>
      <c r="AB746">
        <v>12.095000000000001</v>
      </c>
      <c r="AC746">
        <v>13.629</v>
      </c>
      <c r="AD746">
        <v>16.379000000000001</v>
      </c>
      <c r="AE746">
        <v>15.198</v>
      </c>
      <c r="AF746">
        <v>16.727</v>
      </c>
      <c r="AG746">
        <v>16.416</v>
      </c>
      <c r="AH746">
        <v>17.321999999999999</v>
      </c>
      <c r="AI746">
        <v>19.789000000000001</v>
      </c>
      <c r="AJ746">
        <v>21.594999999999999</v>
      </c>
      <c r="AK746">
        <v>22.670999999999999</v>
      </c>
      <c r="AL746">
        <v>24.986999999999998</v>
      </c>
      <c r="AM746">
        <v>27.969000000000001</v>
      </c>
      <c r="AN746">
        <v>28.216000000000001</v>
      </c>
      <c r="AO746">
        <v>28.456</v>
      </c>
      <c r="AP746">
        <v>29.018000000000001</v>
      </c>
      <c r="AQ746">
        <v>30.193000000000001</v>
      </c>
      <c r="AR746">
        <v>31.41</v>
      </c>
      <c r="AS746">
        <v>32.353999999999999</v>
      </c>
      <c r="AT746">
        <v>33.503999999999998</v>
      </c>
      <c r="AU746">
        <v>34.698</v>
      </c>
      <c r="AV746">
        <v>35.988999999999997</v>
      </c>
      <c r="AW746">
        <v>37.65</v>
      </c>
      <c r="AX746">
        <v>39.375</v>
      </c>
      <c r="AY746">
        <v>2014</v>
      </c>
    </row>
    <row r="747" spans="1:51" x14ac:dyDescent="0.25">
      <c r="A747">
        <v>961</v>
      </c>
      <c r="B747" t="s">
        <v>756</v>
      </c>
      <c r="C747" t="s">
        <v>279</v>
      </c>
      <c r="D747" t="s">
        <v>200</v>
      </c>
      <c r="E747" t="s">
        <v>280</v>
      </c>
      <c r="F747" t="s">
        <v>281</v>
      </c>
      <c r="G747" t="s">
        <v>282</v>
      </c>
      <c r="H747" t="s">
        <v>283</v>
      </c>
      <c r="I747" t="s">
        <v>757</v>
      </c>
      <c r="J747" t="s">
        <v>285</v>
      </c>
      <c r="K747" t="s">
        <v>285</v>
      </c>
      <c r="L747" t="s">
        <v>285</v>
      </c>
      <c r="M747" t="s">
        <v>285</v>
      </c>
      <c r="N747" t="s">
        <v>285</v>
      </c>
      <c r="O747" t="s">
        <v>285</v>
      </c>
      <c r="P747" t="s">
        <v>285</v>
      </c>
      <c r="Q747" t="s">
        <v>285</v>
      </c>
      <c r="R747" t="s">
        <v>285</v>
      </c>
      <c r="S747" t="s">
        <v>285</v>
      </c>
      <c r="T747" t="s">
        <v>285</v>
      </c>
      <c r="U747" t="s">
        <v>285</v>
      </c>
      <c r="V747">
        <v>20.067</v>
      </c>
      <c r="W747">
        <v>20.628</v>
      </c>
      <c r="X747">
        <v>21.722000000000001</v>
      </c>
      <c r="Y747">
        <v>22.611999999999998</v>
      </c>
      <c r="Z747">
        <v>23.427</v>
      </c>
      <c r="AA747">
        <v>24.625</v>
      </c>
      <c r="AB747">
        <v>25.434000000000001</v>
      </c>
      <c r="AC747">
        <v>26.776</v>
      </c>
      <c r="AD747">
        <v>27.888000000000002</v>
      </c>
      <c r="AE747">
        <v>28.710999999999999</v>
      </c>
      <c r="AF747">
        <v>29.812000000000001</v>
      </c>
      <c r="AG747">
        <v>30.658999999999999</v>
      </c>
      <c r="AH747">
        <v>31.994</v>
      </c>
      <c r="AI747">
        <v>33.274000000000001</v>
      </c>
      <c r="AJ747">
        <v>35.155999999999999</v>
      </c>
      <c r="AK747">
        <v>37.597000000000001</v>
      </c>
      <c r="AL747">
        <v>38.838000000000001</v>
      </c>
      <c r="AM747">
        <v>35.808999999999997</v>
      </c>
      <c r="AN747">
        <v>36.252000000000002</v>
      </c>
      <c r="AO747">
        <v>36.488</v>
      </c>
      <c r="AP747">
        <v>35.496000000000002</v>
      </c>
      <c r="AQ747">
        <v>35.121000000000002</v>
      </c>
      <c r="AR747">
        <v>36.191000000000003</v>
      </c>
      <c r="AS747">
        <v>37.03</v>
      </c>
      <c r="AT747">
        <v>37.698999999999998</v>
      </c>
      <c r="AU747">
        <v>38.44</v>
      </c>
      <c r="AV747">
        <v>39.207000000000001</v>
      </c>
      <c r="AW747">
        <v>39.993000000000002</v>
      </c>
      <c r="AX747">
        <v>40.783999999999999</v>
      </c>
      <c r="AY747">
        <v>2014</v>
      </c>
    </row>
    <row r="748" spans="1:51" x14ac:dyDescent="0.25">
      <c r="A748">
        <v>961</v>
      </c>
      <c r="B748" t="s">
        <v>756</v>
      </c>
      <c r="C748" t="s">
        <v>286</v>
      </c>
      <c r="D748" t="s">
        <v>200</v>
      </c>
      <c r="E748" t="s">
        <v>287</v>
      </c>
      <c r="F748" t="s">
        <v>288</v>
      </c>
      <c r="G748" t="s">
        <v>282</v>
      </c>
      <c r="H748" t="s">
        <v>283</v>
      </c>
      <c r="I748" t="s">
        <v>757</v>
      </c>
      <c r="J748" t="s">
        <v>285</v>
      </c>
      <c r="K748" t="s">
        <v>285</v>
      </c>
      <c r="L748" t="s">
        <v>285</v>
      </c>
      <c r="M748" t="s">
        <v>285</v>
      </c>
      <c r="N748" t="s">
        <v>285</v>
      </c>
      <c r="O748" t="s">
        <v>285</v>
      </c>
      <c r="P748" t="s">
        <v>285</v>
      </c>
      <c r="Q748" t="s">
        <v>285</v>
      </c>
      <c r="R748" t="s">
        <v>285</v>
      </c>
      <c r="S748" t="s">
        <v>285</v>
      </c>
      <c r="T748" t="s">
        <v>285</v>
      </c>
      <c r="U748" t="s">
        <v>285</v>
      </c>
      <c r="V748">
        <v>6.4189999999999996</v>
      </c>
      <c r="W748">
        <v>7.7729999999999997</v>
      </c>
      <c r="X748">
        <v>9.0109999999999992</v>
      </c>
      <c r="Y748">
        <v>10.522</v>
      </c>
      <c r="Z748">
        <v>12.132</v>
      </c>
      <c r="AA748">
        <v>13.827</v>
      </c>
      <c r="AB748">
        <v>15.337</v>
      </c>
      <c r="AC748">
        <v>17.21</v>
      </c>
      <c r="AD748">
        <v>18.902000000000001</v>
      </c>
      <c r="AE748">
        <v>21.146999999999998</v>
      </c>
      <c r="AF748">
        <v>23.623000000000001</v>
      </c>
      <c r="AG748">
        <v>25.667999999999999</v>
      </c>
      <c r="AH748">
        <v>27.672999999999998</v>
      </c>
      <c r="AI748">
        <v>29.227</v>
      </c>
      <c r="AJ748">
        <v>31.555</v>
      </c>
      <c r="AK748">
        <v>35.152999999999999</v>
      </c>
      <c r="AL748">
        <v>37.951000000000001</v>
      </c>
      <c r="AM748">
        <v>36.165999999999997</v>
      </c>
      <c r="AN748">
        <v>36.252000000000002</v>
      </c>
      <c r="AO748">
        <v>36.896000000000001</v>
      </c>
      <c r="AP748">
        <v>35.988</v>
      </c>
      <c r="AQ748">
        <v>35.908000000000001</v>
      </c>
      <c r="AR748">
        <v>37.302999999999997</v>
      </c>
      <c r="AS748">
        <v>38.411999999999999</v>
      </c>
      <c r="AT748">
        <v>39.372999999999998</v>
      </c>
      <c r="AU748">
        <v>40.753</v>
      </c>
      <c r="AV748">
        <v>42.185000000000002</v>
      </c>
      <c r="AW748">
        <v>43.719000000000001</v>
      </c>
      <c r="AX748">
        <v>45.341999999999999</v>
      </c>
      <c r="AY748">
        <v>2014</v>
      </c>
    </row>
    <row r="749" spans="1:51" x14ac:dyDescent="0.25">
      <c r="A749">
        <v>961</v>
      </c>
      <c r="B749" t="s">
        <v>756</v>
      </c>
      <c r="C749" t="s">
        <v>289</v>
      </c>
      <c r="D749" t="s">
        <v>200</v>
      </c>
      <c r="E749" t="s">
        <v>287</v>
      </c>
      <c r="F749" t="s">
        <v>290</v>
      </c>
      <c r="G749" t="s">
        <v>291</v>
      </c>
      <c r="H749" t="s">
        <v>283</v>
      </c>
      <c r="I749" t="s">
        <v>292</v>
      </c>
      <c r="J749" t="s">
        <v>285</v>
      </c>
      <c r="K749" t="s">
        <v>285</v>
      </c>
      <c r="L749" t="s">
        <v>285</v>
      </c>
      <c r="M749" t="s">
        <v>285</v>
      </c>
      <c r="N749" t="s">
        <v>285</v>
      </c>
      <c r="O749" t="s">
        <v>285</v>
      </c>
      <c r="P749" t="s">
        <v>285</v>
      </c>
      <c r="Q749" t="s">
        <v>285</v>
      </c>
      <c r="R749" t="s">
        <v>285</v>
      </c>
      <c r="S749" t="s">
        <v>285</v>
      </c>
      <c r="T749" t="s">
        <v>285</v>
      </c>
      <c r="U749" t="s">
        <v>285</v>
      </c>
      <c r="V749">
        <v>19.2</v>
      </c>
      <c r="W749">
        <v>16.564</v>
      </c>
      <c r="X749">
        <v>16.783000000000001</v>
      </c>
      <c r="Y749">
        <v>21.303999999999998</v>
      </c>
      <c r="Z749">
        <v>21.492999999999999</v>
      </c>
      <c r="AA749">
        <v>20.978000000000002</v>
      </c>
      <c r="AB749">
        <v>22.146999999999998</v>
      </c>
      <c r="AC749">
        <v>22.745999999999999</v>
      </c>
      <c r="AD749">
        <v>20.446000000000002</v>
      </c>
      <c r="AE749">
        <v>20.9</v>
      </c>
      <c r="AF749">
        <v>23.603000000000002</v>
      </c>
      <c r="AG749">
        <v>29.738</v>
      </c>
      <c r="AH749">
        <v>34.503999999999998</v>
      </c>
      <c r="AI749">
        <v>36.401000000000003</v>
      </c>
      <c r="AJ749">
        <v>39.621000000000002</v>
      </c>
      <c r="AK749">
        <v>48.167000000000002</v>
      </c>
      <c r="AL749">
        <v>55.853000000000002</v>
      </c>
      <c r="AM749">
        <v>50.372</v>
      </c>
      <c r="AN749">
        <v>48.103000000000002</v>
      </c>
      <c r="AO749">
        <v>51.338000000000001</v>
      </c>
      <c r="AP749">
        <v>46.265999999999998</v>
      </c>
      <c r="AQ749">
        <v>47.691000000000003</v>
      </c>
      <c r="AR749">
        <v>49.57</v>
      </c>
      <c r="AS749">
        <v>42.735999999999997</v>
      </c>
      <c r="AT749">
        <v>44.015000000000001</v>
      </c>
      <c r="AU749">
        <v>46.061999999999998</v>
      </c>
      <c r="AV749">
        <v>48.167999999999999</v>
      </c>
      <c r="AW749">
        <v>50.311999999999998</v>
      </c>
      <c r="AX749">
        <v>52.951000000000001</v>
      </c>
      <c r="AY749">
        <v>2014</v>
      </c>
    </row>
    <row r="750" spans="1:51" x14ac:dyDescent="0.25">
      <c r="A750">
        <v>961</v>
      </c>
      <c r="B750" t="s">
        <v>756</v>
      </c>
      <c r="C750" t="s">
        <v>293</v>
      </c>
      <c r="D750" t="s">
        <v>200</v>
      </c>
      <c r="E750" t="s">
        <v>294</v>
      </c>
      <c r="F750" t="s">
        <v>295</v>
      </c>
      <c r="G750" t="s">
        <v>296</v>
      </c>
      <c r="I750" t="s">
        <v>297</v>
      </c>
      <c r="J750" t="s">
        <v>285</v>
      </c>
      <c r="K750" t="s">
        <v>285</v>
      </c>
      <c r="L750" t="s">
        <v>285</v>
      </c>
      <c r="M750" t="s">
        <v>285</v>
      </c>
      <c r="N750" t="s">
        <v>285</v>
      </c>
      <c r="O750" t="s">
        <v>285</v>
      </c>
      <c r="P750" t="s">
        <v>285</v>
      </c>
      <c r="Q750" t="s">
        <v>285</v>
      </c>
      <c r="R750" t="s">
        <v>285</v>
      </c>
      <c r="S750" t="s">
        <v>285</v>
      </c>
      <c r="T750" t="s">
        <v>285</v>
      </c>
      <c r="U750" t="s">
        <v>285</v>
      </c>
      <c r="V750">
        <v>31.991</v>
      </c>
      <c r="W750">
        <v>37.682000000000002</v>
      </c>
      <c r="X750">
        <v>41.484999999999999</v>
      </c>
      <c r="Y750">
        <v>46.530999999999999</v>
      </c>
      <c r="Z750">
        <v>51.786000000000001</v>
      </c>
      <c r="AA750">
        <v>56.151000000000003</v>
      </c>
      <c r="AB750">
        <v>60.302999999999997</v>
      </c>
      <c r="AC750">
        <v>64.277000000000001</v>
      </c>
      <c r="AD750">
        <v>67.778000000000006</v>
      </c>
      <c r="AE750">
        <v>73.655000000000001</v>
      </c>
      <c r="AF750">
        <v>79.238</v>
      </c>
      <c r="AG750">
        <v>83.718000000000004</v>
      </c>
      <c r="AH750">
        <v>86.494</v>
      </c>
      <c r="AI750">
        <v>87.834999999999994</v>
      </c>
      <c r="AJ750">
        <v>89.757000000000005</v>
      </c>
      <c r="AK750">
        <v>93.498999999999995</v>
      </c>
      <c r="AL750">
        <v>97.718000000000004</v>
      </c>
      <c r="AM750">
        <v>100.997</v>
      </c>
      <c r="AN750">
        <v>100</v>
      </c>
      <c r="AO750">
        <v>101.12</v>
      </c>
      <c r="AP750">
        <v>101.387</v>
      </c>
      <c r="AQ750">
        <v>102.241</v>
      </c>
      <c r="AR750">
        <v>103.07299999999999</v>
      </c>
      <c r="AS750">
        <v>103.732</v>
      </c>
      <c r="AT750">
        <v>104.44</v>
      </c>
      <c r="AU750">
        <v>106.018</v>
      </c>
      <c r="AV750">
        <v>107.59699999999999</v>
      </c>
      <c r="AW750">
        <v>109.318</v>
      </c>
      <c r="AX750">
        <v>111.176</v>
      </c>
      <c r="AY750">
        <v>2014</v>
      </c>
    </row>
    <row r="751" spans="1:51" x14ac:dyDescent="0.25">
      <c r="A751">
        <v>961</v>
      </c>
      <c r="B751" t="s">
        <v>756</v>
      </c>
      <c r="C751" t="s">
        <v>298</v>
      </c>
      <c r="D751" t="s">
        <v>200</v>
      </c>
      <c r="E751" t="s">
        <v>299</v>
      </c>
      <c r="F751" t="s">
        <v>300</v>
      </c>
      <c r="G751" t="s">
        <v>282</v>
      </c>
      <c r="H751" t="s">
        <v>283</v>
      </c>
      <c r="I751" t="s">
        <v>758</v>
      </c>
      <c r="J751" t="s">
        <v>285</v>
      </c>
      <c r="K751" t="s">
        <v>285</v>
      </c>
      <c r="L751" t="s">
        <v>285</v>
      </c>
      <c r="M751" t="s">
        <v>285</v>
      </c>
      <c r="N751" t="s">
        <v>285</v>
      </c>
      <c r="O751" t="s">
        <v>285</v>
      </c>
      <c r="P751" t="s">
        <v>285</v>
      </c>
      <c r="Q751" t="s">
        <v>285</v>
      </c>
      <c r="R751" t="s">
        <v>285</v>
      </c>
      <c r="S751" t="s">
        <v>285</v>
      </c>
      <c r="T751" t="s">
        <v>285</v>
      </c>
      <c r="U751" t="s">
        <v>285</v>
      </c>
      <c r="V751" t="s">
        <v>285</v>
      </c>
      <c r="W751" t="s">
        <v>285</v>
      </c>
      <c r="X751" t="s">
        <v>285</v>
      </c>
      <c r="Y751">
        <v>4.173</v>
      </c>
      <c r="Z751">
        <v>4.7050000000000001</v>
      </c>
      <c r="AA751">
        <v>5.4420000000000002</v>
      </c>
      <c r="AB751">
        <v>6.16</v>
      </c>
      <c r="AC751">
        <v>6.9740000000000002</v>
      </c>
      <c r="AD751">
        <v>7.7130000000000001</v>
      </c>
      <c r="AE751">
        <v>8.8109999999999999</v>
      </c>
      <c r="AF751">
        <v>9.7330000000000005</v>
      </c>
      <c r="AG751">
        <v>10.666</v>
      </c>
      <c r="AH751">
        <v>11.552</v>
      </c>
      <c r="AI751">
        <v>12.276</v>
      </c>
      <c r="AJ751">
        <v>13.209</v>
      </c>
      <c r="AK751">
        <v>13.914999999999999</v>
      </c>
      <c r="AL751">
        <v>15.442</v>
      </c>
      <c r="AM751">
        <v>16.367999999999999</v>
      </c>
      <c r="AN751">
        <v>16.693000000000001</v>
      </c>
      <c r="AO751">
        <v>17.010999999999999</v>
      </c>
      <c r="AP751">
        <v>16.13</v>
      </c>
      <c r="AQ751">
        <v>19.716000000000001</v>
      </c>
      <c r="AR751">
        <v>17.664000000000001</v>
      </c>
      <c r="AS751">
        <v>17.085999999999999</v>
      </c>
      <c r="AT751">
        <v>17.329000000000001</v>
      </c>
      <c r="AU751">
        <v>17.693000000000001</v>
      </c>
      <c r="AV751">
        <v>18.324000000000002</v>
      </c>
      <c r="AW751">
        <v>19.021000000000001</v>
      </c>
      <c r="AX751">
        <v>19.731999999999999</v>
      </c>
      <c r="AY751">
        <v>2014</v>
      </c>
    </row>
    <row r="752" spans="1:51" x14ac:dyDescent="0.25">
      <c r="A752">
        <v>813</v>
      </c>
      <c r="B752" t="s">
        <v>759</v>
      </c>
      <c r="C752" t="s">
        <v>279</v>
      </c>
      <c r="D752" t="s">
        <v>201</v>
      </c>
      <c r="E752" t="s">
        <v>280</v>
      </c>
      <c r="F752" t="s">
        <v>281</v>
      </c>
      <c r="G752" t="s">
        <v>282</v>
      </c>
      <c r="H752" t="s">
        <v>283</v>
      </c>
      <c r="I752" t="s">
        <v>760</v>
      </c>
      <c r="J752">
        <v>1.8069999999999999</v>
      </c>
      <c r="K752">
        <v>1.774</v>
      </c>
      <c r="L752">
        <v>1.7450000000000001</v>
      </c>
      <c r="M752">
        <v>1.8129999999999999</v>
      </c>
      <c r="N752">
        <v>1.8160000000000001</v>
      </c>
      <c r="O752">
        <v>1.7589999999999999</v>
      </c>
      <c r="P752">
        <v>1.7549999999999999</v>
      </c>
      <c r="Q752">
        <v>1.903</v>
      </c>
      <c r="R752">
        <v>1.927</v>
      </c>
      <c r="S752">
        <v>2.0089999999999999</v>
      </c>
      <c r="T752">
        <v>2.0529999999999999</v>
      </c>
      <c r="U752">
        <v>2.177</v>
      </c>
      <c r="V752">
        <v>2.4529999999999998</v>
      </c>
      <c r="W752">
        <v>2.5510000000000002</v>
      </c>
      <c r="X752">
        <v>2.758</v>
      </c>
      <c r="Y752">
        <v>3.036</v>
      </c>
      <c r="Z752">
        <v>3.085</v>
      </c>
      <c r="AA752">
        <v>3.0569999999999999</v>
      </c>
      <c r="AB752">
        <v>3.0960000000000001</v>
      </c>
      <c r="AC752">
        <v>3.081</v>
      </c>
      <c r="AD752">
        <v>2.641</v>
      </c>
      <c r="AE752">
        <v>2.431</v>
      </c>
      <c r="AF752">
        <v>2.363</v>
      </c>
      <c r="AG752">
        <v>2.5169999999999999</v>
      </c>
      <c r="AH752">
        <v>2.7210000000000001</v>
      </c>
      <c r="AI752">
        <v>3.07</v>
      </c>
      <c r="AJ752">
        <v>3.1930000000000001</v>
      </c>
      <c r="AK752">
        <v>3.3969999999999998</v>
      </c>
      <c r="AL752">
        <v>3.6379999999999999</v>
      </c>
      <c r="AM752">
        <v>3.4660000000000002</v>
      </c>
      <c r="AN752">
        <v>3.7050000000000001</v>
      </c>
      <c r="AO752">
        <v>4.1840000000000002</v>
      </c>
      <c r="AP752">
        <v>4.3789999999999996</v>
      </c>
      <c r="AQ752">
        <v>4.5110000000000001</v>
      </c>
      <c r="AR752">
        <v>4.5789999999999997</v>
      </c>
      <c r="AS752">
        <v>4.7279999999999998</v>
      </c>
      <c r="AT752">
        <v>4.8719999999999999</v>
      </c>
      <c r="AU752">
        <v>5.0439999999999996</v>
      </c>
      <c r="AV752">
        <v>5.2270000000000003</v>
      </c>
      <c r="AW752">
        <v>5.41</v>
      </c>
      <c r="AX752">
        <v>5.6040000000000001</v>
      </c>
      <c r="AY752">
        <v>2013</v>
      </c>
    </row>
    <row r="753" spans="1:51" x14ac:dyDescent="0.25">
      <c r="A753">
        <v>813</v>
      </c>
      <c r="B753" t="s">
        <v>759</v>
      </c>
      <c r="C753" t="s">
        <v>286</v>
      </c>
      <c r="D753" t="s">
        <v>201</v>
      </c>
      <c r="E753" t="s">
        <v>287</v>
      </c>
      <c r="F753" t="s">
        <v>288</v>
      </c>
      <c r="G753" t="s">
        <v>282</v>
      </c>
      <c r="H753" t="s">
        <v>283</v>
      </c>
      <c r="I753" t="s">
        <v>760</v>
      </c>
      <c r="J753">
        <v>0.14699999999999999</v>
      </c>
      <c r="K753">
        <v>0.16300000000000001</v>
      </c>
      <c r="L753">
        <v>0.18099999999999999</v>
      </c>
      <c r="M753">
        <v>0.20200000000000001</v>
      </c>
      <c r="N753">
        <v>0.224</v>
      </c>
      <c r="O753">
        <v>0.23699999999999999</v>
      </c>
      <c r="P753">
        <v>0.249</v>
      </c>
      <c r="Q753">
        <v>0.30099999999999999</v>
      </c>
      <c r="R753">
        <v>0.35599999999999998</v>
      </c>
      <c r="S753">
        <v>0.38400000000000001</v>
      </c>
      <c r="T753">
        <v>0.52600000000000002</v>
      </c>
      <c r="U753">
        <v>0.59799999999999998</v>
      </c>
      <c r="V753">
        <v>0.76300000000000001</v>
      </c>
      <c r="W753">
        <v>0.92900000000000005</v>
      </c>
      <c r="X753">
        <v>1.2150000000000001</v>
      </c>
      <c r="Y753">
        <v>1.4630000000000001</v>
      </c>
      <c r="Z753">
        <v>1.6859999999999999</v>
      </c>
      <c r="AA753">
        <v>1.84</v>
      </c>
      <c r="AB753">
        <v>2.0379999999999998</v>
      </c>
      <c r="AC753">
        <v>2.1669999999999998</v>
      </c>
      <c r="AD753">
        <v>1.9379999999999999</v>
      </c>
      <c r="AE753">
        <v>2.0059999999999998</v>
      </c>
      <c r="AF753">
        <v>2.1840000000000002</v>
      </c>
      <c r="AG753">
        <v>2.359</v>
      </c>
      <c r="AH753">
        <v>2.7210000000000001</v>
      </c>
      <c r="AI753">
        <v>3.234</v>
      </c>
      <c r="AJ753">
        <v>3.585</v>
      </c>
      <c r="AK753">
        <v>3.9489999999999998</v>
      </c>
      <c r="AL753">
        <v>4.7130000000000001</v>
      </c>
      <c r="AM753">
        <v>4.8150000000000004</v>
      </c>
      <c r="AN753">
        <v>5.4160000000000004</v>
      </c>
      <c r="AO753">
        <v>6.774</v>
      </c>
      <c r="AP753">
        <v>7.54</v>
      </c>
      <c r="AQ753">
        <v>7.7380000000000004</v>
      </c>
      <c r="AR753">
        <v>8.5429999999999993</v>
      </c>
      <c r="AS753">
        <v>9.1560000000000006</v>
      </c>
      <c r="AT753">
        <v>9.7949999999999999</v>
      </c>
      <c r="AU753">
        <v>10.535</v>
      </c>
      <c r="AV753">
        <v>11.339</v>
      </c>
      <c r="AW753">
        <v>12.241</v>
      </c>
      <c r="AX753">
        <v>13.305999999999999</v>
      </c>
      <c r="AY753">
        <v>2013</v>
      </c>
    </row>
    <row r="754" spans="1:51" x14ac:dyDescent="0.25">
      <c r="A754">
        <v>813</v>
      </c>
      <c r="B754" t="s">
        <v>759</v>
      </c>
      <c r="C754" t="s">
        <v>289</v>
      </c>
      <c r="D754" t="s">
        <v>201</v>
      </c>
      <c r="E754" t="s">
        <v>287</v>
      </c>
      <c r="F754" t="s">
        <v>290</v>
      </c>
      <c r="G754" t="s">
        <v>291</v>
      </c>
      <c r="H754" t="s">
        <v>283</v>
      </c>
      <c r="I754" t="s">
        <v>292</v>
      </c>
      <c r="J754">
        <v>0.17699999999999999</v>
      </c>
      <c r="K754">
        <v>0.188</v>
      </c>
      <c r="L754">
        <v>0.187</v>
      </c>
      <c r="M754">
        <v>0.17599999999999999</v>
      </c>
      <c r="N754">
        <v>0.17599999999999999</v>
      </c>
      <c r="O754">
        <v>0.16</v>
      </c>
      <c r="P754">
        <v>0.14299999999999999</v>
      </c>
      <c r="Q754">
        <v>0.15</v>
      </c>
      <c r="R754">
        <v>0.17100000000000001</v>
      </c>
      <c r="S754">
        <v>0.16700000000000001</v>
      </c>
      <c r="T754">
        <v>0.20799999999999999</v>
      </c>
      <c r="U754">
        <v>0.22</v>
      </c>
      <c r="V754">
        <v>0.26100000000000001</v>
      </c>
      <c r="W754">
        <v>0.29099999999999998</v>
      </c>
      <c r="X754">
        <v>0.36899999999999999</v>
      </c>
      <c r="Y754">
        <v>0.42899999999999999</v>
      </c>
      <c r="Z754">
        <v>0.47299999999999998</v>
      </c>
      <c r="AA754">
        <v>0.495</v>
      </c>
      <c r="AB754">
        <v>0.42299999999999999</v>
      </c>
      <c r="AC754">
        <v>0.44800000000000001</v>
      </c>
      <c r="AD754">
        <v>0.38100000000000001</v>
      </c>
      <c r="AE754">
        <v>0.38</v>
      </c>
      <c r="AF754">
        <v>0.32400000000000001</v>
      </c>
      <c r="AG754">
        <v>0.314</v>
      </c>
      <c r="AH754">
        <v>0.36299999999999999</v>
      </c>
      <c r="AI754">
        <v>0.42899999999999999</v>
      </c>
      <c r="AJ754">
        <v>0.47099999999999997</v>
      </c>
      <c r="AK754">
        <v>0.51600000000000001</v>
      </c>
      <c r="AL754">
        <v>0.60799999999999998</v>
      </c>
      <c r="AM754">
        <v>0.59799999999999998</v>
      </c>
      <c r="AN754">
        <v>0.67200000000000004</v>
      </c>
      <c r="AO754">
        <v>0.88700000000000001</v>
      </c>
      <c r="AP754">
        <v>1.0249999999999999</v>
      </c>
      <c r="AQ754">
        <v>1.06</v>
      </c>
      <c r="AR754">
        <v>1.155</v>
      </c>
      <c r="AS754">
        <v>1.2050000000000001</v>
      </c>
      <c r="AT754">
        <v>1.2889999999999999</v>
      </c>
      <c r="AU754">
        <v>1.3859999999999999</v>
      </c>
      <c r="AV754">
        <v>1.492</v>
      </c>
      <c r="AW754">
        <v>1.611</v>
      </c>
      <c r="AX754">
        <v>1.7509999999999999</v>
      </c>
      <c r="AY754">
        <v>2013</v>
      </c>
    </row>
    <row r="755" spans="1:51" x14ac:dyDescent="0.25">
      <c r="A755">
        <v>813</v>
      </c>
      <c r="B755" t="s">
        <v>759</v>
      </c>
      <c r="C755" t="s">
        <v>293</v>
      </c>
      <c r="D755" t="s">
        <v>201</v>
      </c>
      <c r="E755" t="s">
        <v>294</v>
      </c>
      <c r="F755" t="s">
        <v>295</v>
      </c>
      <c r="G755" t="s">
        <v>296</v>
      </c>
      <c r="I755" t="s">
        <v>297</v>
      </c>
      <c r="J755">
        <v>8.1340000000000003</v>
      </c>
      <c r="K755">
        <v>9.2029999999999994</v>
      </c>
      <c r="L755">
        <v>10.398999999999999</v>
      </c>
      <c r="M755">
        <v>11.122</v>
      </c>
      <c r="N755">
        <v>12.336</v>
      </c>
      <c r="O755">
        <v>13.497</v>
      </c>
      <c r="P755">
        <v>14.185</v>
      </c>
      <c r="Q755">
        <v>15.816000000000001</v>
      </c>
      <c r="R755">
        <v>18.475000000000001</v>
      </c>
      <c r="S755">
        <v>19.113</v>
      </c>
      <c r="T755">
        <v>25.631</v>
      </c>
      <c r="U755">
        <v>27.489000000000001</v>
      </c>
      <c r="V755">
        <v>31.105</v>
      </c>
      <c r="W755">
        <v>36.399000000000001</v>
      </c>
      <c r="X755">
        <v>44.064</v>
      </c>
      <c r="Y755">
        <v>48.176000000000002</v>
      </c>
      <c r="Z755">
        <v>54.661000000000001</v>
      </c>
      <c r="AA755">
        <v>60.21</v>
      </c>
      <c r="AB755">
        <v>65.837000000000003</v>
      </c>
      <c r="AC755">
        <v>70.334999999999994</v>
      </c>
      <c r="AD755">
        <v>73.37</v>
      </c>
      <c r="AE755">
        <v>82.537000000000006</v>
      </c>
      <c r="AF755">
        <v>92.42</v>
      </c>
      <c r="AG755">
        <v>93.710999999999999</v>
      </c>
      <c r="AH755">
        <v>100</v>
      </c>
      <c r="AI755">
        <v>105.328</v>
      </c>
      <c r="AJ755">
        <v>112.283</v>
      </c>
      <c r="AK755">
        <v>116.253</v>
      </c>
      <c r="AL755">
        <v>129.52099999999999</v>
      </c>
      <c r="AM755">
        <v>138.92099999999999</v>
      </c>
      <c r="AN755">
        <v>146.20099999999999</v>
      </c>
      <c r="AO755">
        <v>161.89599999999999</v>
      </c>
      <c r="AP755">
        <v>172.19499999999999</v>
      </c>
      <c r="AQ755">
        <v>171.536</v>
      </c>
      <c r="AR755">
        <v>186.58799999999999</v>
      </c>
      <c r="AS755">
        <v>193.661</v>
      </c>
      <c r="AT755">
        <v>201.05</v>
      </c>
      <c r="AU755">
        <v>208.86600000000001</v>
      </c>
      <c r="AV755">
        <v>216.92599999999999</v>
      </c>
      <c r="AW755">
        <v>226.25899999999999</v>
      </c>
      <c r="AX755">
        <v>237.423</v>
      </c>
      <c r="AY755">
        <v>2013</v>
      </c>
    </row>
    <row r="756" spans="1:51" x14ac:dyDescent="0.25">
      <c r="A756">
        <v>813</v>
      </c>
      <c r="B756" t="s">
        <v>759</v>
      </c>
      <c r="C756" t="s">
        <v>298</v>
      </c>
      <c r="D756" t="s">
        <v>201</v>
      </c>
      <c r="E756" t="s">
        <v>299</v>
      </c>
      <c r="F756" t="s">
        <v>300</v>
      </c>
      <c r="G756" t="s">
        <v>282</v>
      </c>
      <c r="H756" t="s">
        <v>283</v>
      </c>
      <c r="I756" t="s">
        <v>761</v>
      </c>
      <c r="J756">
        <v>2.9000000000000001E-2</v>
      </c>
      <c r="K756">
        <v>3.5999999999999997E-2</v>
      </c>
      <c r="L756">
        <v>3.6999999999999998E-2</v>
      </c>
      <c r="M756">
        <v>3.9E-2</v>
      </c>
      <c r="N756">
        <v>5.8999999999999997E-2</v>
      </c>
      <c r="O756">
        <v>6.9000000000000006E-2</v>
      </c>
      <c r="P756">
        <v>7.9000000000000001E-2</v>
      </c>
      <c r="Q756">
        <v>0.14299999999999999</v>
      </c>
      <c r="R756">
        <v>0.14399999999999999</v>
      </c>
      <c r="S756">
        <v>0.16200000000000001</v>
      </c>
      <c r="T756">
        <v>0.151</v>
      </c>
      <c r="U756">
        <v>0.22600000000000001</v>
      </c>
      <c r="V756">
        <v>0.25700000000000001</v>
      </c>
      <c r="W756">
        <v>0.29599999999999999</v>
      </c>
      <c r="X756">
        <v>0.371</v>
      </c>
      <c r="Y756">
        <v>0.36599999999999999</v>
      </c>
      <c r="Z756">
        <v>0.40799999999999997</v>
      </c>
      <c r="AA756">
        <v>0.35099999999999998</v>
      </c>
      <c r="AB756">
        <v>0.38900000000000001</v>
      </c>
      <c r="AC756">
        <v>0.28499999999999998</v>
      </c>
      <c r="AD756">
        <v>0.41099999999999998</v>
      </c>
      <c r="AE756">
        <v>0.36199999999999999</v>
      </c>
      <c r="AF756">
        <v>0.31900000000000001</v>
      </c>
      <c r="AG756">
        <v>0.53</v>
      </c>
      <c r="AH756">
        <v>0.79700000000000004</v>
      </c>
      <c r="AI756">
        <v>1.1519999999999999</v>
      </c>
      <c r="AJ756">
        <v>1.395</v>
      </c>
      <c r="AK756">
        <v>1.76</v>
      </c>
      <c r="AL756">
        <v>2.2010000000000001</v>
      </c>
      <c r="AM756">
        <v>2.5739999999999998</v>
      </c>
      <c r="AN756">
        <v>3.0990000000000002</v>
      </c>
      <c r="AO756">
        <v>3.4</v>
      </c>
      <c r="AP756">
        <v>3.819</v>
      </c>
      <c r="AQ756">
        <v>3.863</v>
      </c>
      <c r="AR756">
        <v>3.7719999999999998</v>
      </c>
      <c r="AS756">
        <v>4.383</v>
      </c>
      <c r="AT756">
        <v>4.444</v>
      </c>
      <c r="AU756">
        <v>4.5970000000000004</v>
      </c>
      <c r="AV756">
        <v>4.8079999999999998</v>
      </c>
      <c r="AW756">
        <v>5.0030000000000001</v>
      </c>
      <c r="AX756">
        <v>5.28</v>
      </c>
      <c r="AY756">
        <v>2013</v>
      </c>
    </row>
    <row r="757" spans="1:51" x14ac:dyDescent="0.25">
      <c r="A757">
        <v>199</v>
      </c>
      <c r="B757" t="s">
        <v>762</v>
      </c>
      <c r="C757" t="s">
        <v>279</v>
      </c>
      <c r="D757" t="s">
        <v>203</v>
      </c>
      <c r="E757" t="s">
        <v>280</v>
      </c>
      <c r="F757" t="s">
        <v>281</v>
      </c>
      <c r="G757" t="s">
        <v>282</v>
      </c>
      <c r="H757" t="s">
        <v>283</v>
      </c>
      <c r="I757" t="s">
        <v>763</v>
      </c>
      <c r="J757" s="21">
        <v>1404.9</v>
      </c>
      <c r="K757" s="21">
        <v>1480.213</v>
      </c>
      <c r="L757" s="21">
        <v>1474.538</v>
      </c>
      <c r="M757" s="21">
        <v>1447.31</v>
      </c>
      <c r="N757" s="21">
        <v>1521.11</v>
      </c>
      <c r="O757" s="21">
        <v>1502.682</v>
      </c>
      <c r="P757" s="21">
        <v>1502.95</v>
      </c>
      <c r="Q757" s="21">
        <v>1534.5229999999999</v>
      </c>
      <c r="R757" s="21">
        <v>1598.9749999999999</v>
      </c>
      <c r="S757" s="21">
        <v>1637.2670000000001</v>
      </c>
      <c r="T757" s="21">
        <v>1632.0640000000001</v>
      </c>
      <c r="U757" s="21">
        <v>1615.4449999999999</v>
      </c>
      <c r="V757" s="21">
        <v>1580.923</v>
      </c>
      <c r="W757" s="21">
        <v>1600.424</v>
      </c>
      <c r="X757" s="21">
        <v>1652.184</v>
      </c>
      <c r="Y757" s="21">
        <v>1703.66</v>
      </c>
      <c r="Z757" s="21">
        <v>1777.0319999999999</v>
      </c>
      <c r="AA757" s="21">
        <v>1824.067</v>
      </c>
      <c r="AB757" s="21">
        <v>1833.5039999999999</v>
      </c>
      <c r="AC757" s="21">
        <v>1876.74</v>
      </c>
      <c r="AD757" s="21">
        <v>1954.71</v>
      </c>
      <c r="AE757" s="21">
        <v>2008.181</v>
      </c>
      <c r="AF757" s="21">
        <v>2081.837</v>
      </c>
      <c r="AG757" s="21">
        <v>2143.232</v>
      </c>
      <c r="AH757" s="21">
        <v>2240.8470000000002</v>
      </c>
      <c r="AI757" s="21">
        <v>2359.0990000000002</v>
      </c>
      <c r="AJ757" s="21">
        <v>2491.2950000000001</v>
      </c>
      <c r="AK757" s="21">
        <v>2624.84</v>
      </c>
      <c r="AL757" s="21">
        <v>2708.6</v>
      </c>
      <c r="AM757" s="21">
        <v>2666.9389999999999</v>
      </c>
      <c r="AN757" s="21">
        <v>2748.0079999999998</v>
      </c>
      <c r="AO757" s="21">
        <v>2836.2860000000001</v>
      </c>
      <c r="AP757" s="21">
        <v>2899.248</v>
      </c>
      <c r="AQ757" s="21">
        <v>2963.3890000000001</v>
      </c>
      <c r="AR757" s="21">
        <v>3008.576</v>
      </c>
      <c r="AS757" s="21">
        <v>3050.6019999999999</v>
      </c>
      <c r="AT757" s="21">
        <v>3091.6</v>
      </c>
      <c r="AU757" s="21">
        <v>3156.9319999999998</v>
      </c>
      <c r="AV757" s="21">
        <v>3236.06</v>
      </c>
      <c r="AW757" s="21">
        <v>3319.9969999999998</v>
      </c>
      <c r="AX757" s="21">
        <v>3406.317</v>
      </c>
      <c r="AY757">
        <v>2014</v>
      </c>
    </row>
    <row r="758" spans="1:51" x14ac:dyDescent="0.25">
      <c r="A758">
        <v>199</v>
      </c>
      <c r="B758" t="s">
        <v>762</v>
      </c>
      <c r="C758" t="s">
        <v>286</v>
      </c>
      <c r="D758" t="s">
        <v>203</v>
      </c>
      <c r="E758" t="s">
        <v>287</v>
      </c>
      <c r="F758" t="s">
        <v>288</v>
      </c>
      <c r="G758" t="s">
        <v>282</v>
      </c>
      <c r="H758" t="s">
        <v>283</v>
      </c>
      <c r="I758" t="s">
        <v>763</v>
      </c>
      <c r="J758">
        <v>64.628</v>
      </c>
      <c r="K758">
        <v>74.992999999999995</v>
      </c>
      <c r="L758">
        <v>85.153000000000006</v>
      </c>
      <c r="M758">
        <v>97.391000000000005</v>
      </c>
      <c r="N758">
        <v>114.104</v>
      </c>
      <c r="O758">
        <v>131.67599999999999</v>
      </c>
      <c r="P758">
        <v>154.28899999999999</v>
      </c>
      <c r="Q758">
        <v>180.339</v>
      </c>
      <c r="R758">
        <v>216.381</v>
      </c>
      <c r="S758">
        <v>259.726</v>
      </c>
      <c r="T758">
        <v>298.971</v>
      </c>
      <c r="U758">
        <v>342.245</v>
      </c>
      <c r="V758">
        <v>383.72300000000001</v>
      </c>
      <c r="W758">
        <v>438.88400000000001</v>
      </c>
      <c r="X758">
        <v>496.233</v>
      </c>
      <c r="Y758">
        <v>563.87</v>
      </c>
      <c r="Z758">
        <v>634.61099999999999</v>
      </c>
      <c r="AA758">
        <v>703.11699999999996</v>
      </c>
      <c r="AB758">
        <v>761.65800000000002</v>
      </c>
      <c r="AC758">
        <v>834.75300000000004</v>
      </c>
      <c r="AD758">
        <v>946.32399999999996</v>
      </c>
      <c r="AE758" s="21">
        <v>1046.144</v>
      </c>
      <c r="AF758" s="21">
        <v>1217.2650000000001</v>
      </c>
      <c r="AG758" s="21">
        <v>1325.7660000000001</v>
      </c>
      <c r="AH758" s="21">
        <v>1476.623</v>
      </c>
      <c r="AI758" s="21">
        <v>1639.2539999999999</v>
      </c>
      <c r="AJ758" s="21">
        <v>1839.4</v>
      </c>
      <c r="AK758" s="21">
        <v>2109.502</v>
      </c>
      <c r="AL758" s="21">
        <v>2369.0630000000001</v>
      </c>
      <c r="AM758" s="21">
        <v>2507.6770000000001</v>
      </c>
      <c r="AN758" s="21">
        <v>2748.0079999999998</v>
      </c>
      <c r="AO758" s="21">
        <v>3024.951</v>
      </c>
      <c r="AP758" s="21">
        <v>3262.5450000000001</v>
      </c>
      <c r="AQ758" s="21">
        <v>3534.3270000000002</v>
      </c>
      <c r="AR758" s="21">
        <v>3796.46</v>
      </c>
      <c r="AS758" s="21">
        <v>4034.7930000000001</v>
      </c>
      <c r="AT758" s="21">
        <v>4326.9480000000003</v>
      </c>
      <c r="AU758" s="21">
        <v>4670.2349999999997</v>
      </c>
      <c r="AV758" s="21">
        <v>5055.3819999999996</v>
      </c>
      <c r="AW758" s="21">
        <v>5476.9530000000004</v>
      </c>
      <c r="AX758" s="21">
        <v>5934.0379999999996</v>
      </c>
      <c r="AY758">
        <v>2014</v>
      </c>
    </row>
    <row r="759" spans="1:51" x14ac:dyDescent="0.25">
      <c r="A759">
        <v>199</v>
      </c>
      <c r="B759" t="s">
        <v>762</v>
      </c>
      <c r="C759" t="s">
        <v>289</v>
      </c>
      <c r="D759" t="s">
        <v>203</v>
      </c>
      <c r="E759" t="s">
        <v>287</v>
      </c>
      <c r="F759" t="s">
        <v>290</v>
      </c>
      <c r="G759" t="s">
        <v>291</v>
      </c>
      <c r="H759" t="s">
        <v>283</v>
      </c>
      <c r="I759" t="s">
        <v>292</v>
      </c>
      <c r="J759">
        <v>82.980999999999995</v>
      </c>
      <c r="K759">
        <v>85.462000000000003</v>
      </c>
      <c r="L759">
        <v>78.415999999999997</v>
      </c>
      <c r="M759">
        <v>87.418000000000006</v>
      </c>
      <c r="N759">
        <v>77.314999999999998</v>
      </c>
      <c r="O759">
        <v>59.103000000000002</v>
      </c>
      <c r="P759">
        <v>67.561999999999998</v>
      </c>
      <c r="Q759">
        <v>88.570999999999998</v>
      </c>
      <c r="R759">
        <v>95.206999999999994</v>
      </c>
      <c r="S759">
        <v>99.043999999999997</v>
      </c>
      <c r="T759">
        <v>115.533</v>
      </c>
      <c r="U759">
        <v>123.964</v>
      </c>
      <c r="V759">
        <v>134.55699999999999</v>
      </c>
      <c r="W759">
        <v>134.345</v>
      </c>
      <c r="X759">
        <v>139.804</v>
      </c>
      <c r="Y759">
        <v>155.46100000000001</v>
      </c>
      <c r="Z759">
        <v>147.70099999999999</v>
      </c>
      <c r="AA759">
        <v>152.61099999999999</v>
      </c>
      <c r="AB759">
        <v>137.68600000000001</v>
      </c>
      <c r="AC759">
        <v>136.55000000000001</v>
      </c>
      <c r="AD759">
        <v>136.453</v>
      </c>
      <c r="AE759">
        <v>121.602</v>
      </c>
      <c r="AF759">
        <v>115.748</v>
      </c>
      <c r="AG759">
        <v>175.25399999999999</v>
      </c>
      <c r="AH759">
        <v>228.93100000000001</v>
      </c>
      <c r="AI759">
        <v>257.66699999999997</v>
      </c>
      <c r="AJ759">
        <v>271.81200000000001</v>
      </c>
      <c r="AK759">
        <v>299.03300000000002</v>
      </c>
      <c r="AL759">
        <v>287.09500000000003</v>
      </c>
      <c r="AM759">
        <v>297.221</v>
      </c>
      <c r="AN759">
        <v>375.30399999999997</v>
      </c>
      <c r="AO759">
        <v>417.05700000000002</v>
      </c>
      <c r="AP759">
        <v>397.39100000000002</v>
      </c>
      <c r="AQ759">
        <v>366.23599999999999</v>
      </c>
      <c r="AR759">
        <v>350.08199999999999</v>
      </c>
      <c r="AS759">
        <v>317.28500000000003</v>
      </c>
      <c r="AT759">
        <v>326.541</v>
      </c>
      <c r="AU759">
        <v>340.529</v>
      </c>
      <c r="AV759">
        <v>357.04599999999999</v>
      </c>
      <c r="AW759">
        <v>374.48200000000003</v>
      </c>
      <c r="AX759">
        <v>394.71499999999997</v>
      </c>
      <c r="AY759">
        <v>2014</v>
      </c>
    </row>
    <row r="760" spans="1:51" x14ac:dyDescent="0.25">
      <c r="A760">
        <v>199</v>
      </c>
      <c r="B760" t="s">
        <v>762</v>
      </c>
      <c r="C760" t="s">
        <v>293</v>
      </c>
      <c r="D760" t="s">
        <v>203</v>
      </c>
      <c r="E760" t="s">
        <v>294</v>
      </c>
      <c r="F760" t="s">
        <v>295</v>
      </c>
      <c r="G760" t="s">
        <v>296</v>
      </c>
      <c r="I760" t="s">
        <v>297</v>
      </c>
      <c r="J760">
        <v>4.5999999999999996</v>
      </c>
      <c r="K760">
        <v>5.0659999999999998</v>
      </c>
      <c r="L760">
        <v>5.7750000000000004</v>
      </c>
      <c r="M760">
        <v>6.7290000000000001</v>
      </c>
      <c r="N760">
        <v>7.5010000000000003</v>
      </c>
      <c r="O760">
        <v>8.7629999999999999</v>
      </c>
      <c r="P760">
        <v>10.266</v>
      </c>
      <c r="Q760">
        <v>11.752000000000001</v>
      </c>
      <c r="R760">
        <v>13.532</v>
      </c>
      <c r="S760">
        <v>15.863</v>
      </c>
      <c r="T760">
        <v>18.318999999999999</v>
      </c>
      <c r="U760">
        <v>21.186</v>
      </c>
      <c r="V760">
        <v>24.271999999999998</v>
      </c>
      <c r="W760">
        <v>27.422999999999998</v>
      </c>
      <c r="X760">
        <v>30.035</v>
      </c>
      <c r="Y760">
        <v>33.097999999999999</v>
      </c>
      <c r="Z760">
        <v>35.712000000000003</v>
      </c>
      <c r="AA760">
        <v>38.546999999999997</v>
      </c>
      <c r="AB760">
        <v>41.540999999999997</v>
      </c>
      <c r="AC760">
        <v>44.478999999999999</v>
      </c>
      <c r="AD760">
        <v>48.412999999999997</v>
      </c>
      <c r="AE760">
        <v>52.094000000000001</v>
      </c>
      <c r="AF760">
        <v>58.470999999999997</v>
      </c>
      <c r="AG760">
        <v>61.857999999999997</v>
      </c>
      <c r="AH760">
        <v>65.896000000000001</v>
      </c>
      <c r="AI760">
        <v>69.486000000000004</v>
      </c>
      <c r="AJ760">
        <v>73.832999999999998</v>
      </c>
      <c r="AK760">
        <v>80.367000000000004</v>
      </c>
      <c r="AL760">
        <v>87.463999999999999</v>
      </c>
      <c r="AM760">
        <v>94.028000000000006</v>
      </c>
      <c r="AN760">
        <v>100</v>
      </c>
      <c r="AO760">
        <v>106.652</v>
      </c>
      <c r="AP760">
        <v>112.53100000000001</v>
      </c>
      <c r="AQ760">
        <v>119.26600000000001</v>
      </c>
      <c r="AR760">
        <v>126.188</v>
      </c>
      <c r="AS760">
        <v>132.262</v>
      </c>
      <c r="AT760">
        <v>139.958</v>
      </c>
      <c r="AU760">
        <v>147.93600000000001</v>
      </c>
      <c r="AV760">
        <v>156.22</v>
      </c>
      <c r="AW760">
        <v>164.96899999999999</v>
      </c>
      <c r="AX760">
        <v>174.20699999999999</v>
      </c>
      <c r="AY760">
        <v>2014</v>
      </c>
    </row>
    <row r="761" spans="1:51" x14ac:dyDescent="0.25">
      <c r="A761">
        <v>199</v>
      </c>
      <c r="B761" t="s">
        <v>762</v>
      </c>
      <c r="C761" t="s">
        <v>298</v>
      </c>
      <c r="D761" t="s">
        <v>203</v>
      </c>
      <c r="E761" t="s">
        <v>299</v>
      </c>
      <c r="F761" t="s">
        <v>300</v>
      </c>
      <c r="G761" t="s">
        <v>282</v>
      </c>
      <c r="H761" t="s">
        <v>283</v>
      </c>
      <c r="I761" t="s">
        <v>764</v>
      </c>
      <c r="J761" t="s">
        <v>285</v>
      </c>
      <c r="K761" t="s">
        <v>285</v>
      </c>
      <c r="L761" t="s">
        <v>285</v>
      </c>
      <c r="M761" t="s">
        <v>285</v>
      </c>
      <c r="N761" t="s">
        <v>285</v>
      </c>
      <c r="O761" t="s">
        <v>285</v>
      </c>
      <c r="P761" t="s">
        <v>285</v>
      </c>
      <c r="Q761" t="s">
        <v>285</v>
      </c>
      <c r="R761" t="s">
        <v>285</v>
      </c>
      <c r="S761" t="s">
        <v>285</v>
      </c>
      <c r="T761" t="s">
        <v>285</v>
      </c>
      <c r="U761" t="s">
        <v>285</v>
      </c>
      <c r="V761" t="s">
        <v>285</v>
      </c>
      <c r="W761" t="s">
        <v>285</v>
      </c>
      <c r="X761" t="s">
        <v>285</v>
      </c>
      <c r="Y761" t="s">
        <v>285</v>
      </c>
      <c r="Z761" t="s">
        <v>285</v>
      </c>
      <c r="AA761" t="s">
        <v>285</v>
      </c>
      <c r="AB761" t="s">
        <v>285</v>
      </c>
      <c r="AC761" t="s">
        <v>285</v>
      </c>
      <c r="AD761">
        <v>238.49799999999999</v>
      </c>
      <c r="AE761">
        <v>263.738</v>
      </c>
      <c r="AF761">
        <v>302.25200000000001</v>
      </c>
      <c r="AG761">
        <v>337.11099999999999</v>
      </c>
      <c r="AH761">
        <v>375.22899999999998</v>
      </c>
      <c r="AI761">
        <v>422.48200000000003</v>
      </c>
      <c r="AJ761">
        <v>497.73500000000001</v>
      </c>
      <c r="AK761">
        <v>573.25300000000004</v>
      </c>
      <c r="AL761">
        <v>679.24699999999996</v>
      </c>
      <c r="AM761">
        <v>795.16600000000005</v>
      </c>
      <c r="AN761">
        <v>865.97699999999998</v>
      </c>
      <c r="AO761">
        <v>934.21900000000005</v>
      </c>
      <c r="AP761" s="21">
        <v>1021.504</v>
      </c>
      <c r="AQ761" s="21">
        <v>1120.1410000000001</v>
      </c>
      <c r="AR761" s="21">
        <v>1215.508</v>
      </c>
      <c r="AS761" s="21">
        <v>1339.9290000000001</v>
      </c>
      <c r="AT761" s="21">
        <v>1434.9960000000001</v>
      </c>
      <c r="AU761" s="21">
        <v>1539.395</v>
      </c>
      <c r="AV761" s="21">
        <v>1666.5219999999999</v>
      </c>
      <c r="AW761" s="21">
        <v>1808.577</v>
      </c>
      <c r="AX761" s="21">
        <v>1958.97</v>
      </c>
      <c r="AY761">
        <v>2014</v>
      </c>
    </row>
    <row r="762" spans="1:51" x14ac:dyDescent="0.25">
      <c r="A762">
        <v>733</v>
      </c>
      <c r="B762" t="s">
        <v>765</v>
      </c>
      <c r="C762" t="s">
        <v>279</v>
      </c>
      <c r="D762" t="s">
        <v>766</v>
      </c>
      <c r="E762" t="s">
        <v>280</v>
      </c>
      <c r="F762" t="s">
        <v>281</v>
      </c>
      <c r="G762" t="s">
        <v>282</v>
      </c>
      <c r="H762" t="s">
        <v>283</v>
      </c>
      <c r="I762" t="s">
        <v>767</v>
      </c>
      <c r="J762" t="s">
        <v>285</v>
      </c>
      <c r="K762" t="s">
        <v>285</v>
      </c>
      <c r="L762" t="s">
        <v>285</v>
      </c>
      <c r="M762" t="s">
        <v>285</v>
      </c>
      <c r="N762" t="s">
        <v>285</v>
      </c>
      <c r="O762" t="s">
        <v>285</v>
      </c>
      <c r="P762" t="s">
        <v>285</v>
      </c>
      <c r="Q762" t="s">
        <v>285</v>
      </c>
      <c r="R762" t="s">
        <v>285</v>
      </c>
      <c r="S762" t="s">
        <v>285</v>
      </c>
      <c r="T762" t="s">
        <v>285</v>
      </c>
      <c r="U762" t="s">
        <v>285</v>
      </c>
      <c r="V762" t="s">
        <v>285</v>
      </c>
      <c r="W762" t="s">
        <v>285</v>
      </c>
      <c r="X762" t="s">
        <v>285</v>
      </c>
      <c r="Y762" t="s">
        <v>285</v>
      </c>
      <c r="Z762" t="s">
        <v>285</v>
      </c>
      <c r="AA762" t="s">
        <v>285</v>
      </c>
      <c r="AB762" t="s">
        <v>285</v>
      </c>
      <c r="AC762" t="s">
        <v>285</v>
      </c>
      <c r="AD762" t="s">
        <v>285</v>
      </c>
      <c r="AE762" t="s">
        <v>285</v>
      </c>
      <c r="AF762" t="s">
        <v>285</v>
      </c>
      <c r="AG762" t="s">
        <v>285</v>
      </c>
      <c r="AH762" t="s">
        <v>285</v>
      </c>
      <c r="AI762" t="s">
        <v>285</v>
      </c>
      <c r="AJ762" t="s">
        <v>285</v>
      </c>
      <c r="AK762" t="s">
        <v>285</v>
      </c>
      <c r="AL762" t="s">
        <v>285</v>
      </c>
      <c r="AM762" t="s">
        <v>285</v>
      </c>
      <c r="AN762" t="s">
        <v>285</v>
      </c>
      <c r="AO762">
        <v>32.502000000000002</v>
      </c>
      <c r="AP762">
        <v>15.462</v>
      </c>
      <c r="AQ762">
        <v>19.995999999999999</v>
      </c>
      <c r="AR762">
        <v>20.58</v>
      </c>
      <c r="AS762">
        <v>19.481999999999999</v>
      </c>
      <c r="AT762">
        <v>19.611999999999998</v>
      </c>
      <c r="AU762">
        <v>21.334</v>
      </c>
      <c r="AV762">
        <v>22.536999999999999</v>
      </c>
      <c r="AW762">
        <v>24.954000000000001</v>
      </c>
      <c r="AX762">
        <v>26.789000000000001</v>
      </c>
      <c r="AY762">
        <v>2014</v>
      </c>
    </row>
    <row r="763" spans="1:51" x14ac:dyDescent="0.25">
      <c r="A763">
        <v>733</v>
      </c>
      <c r="B763" t="s">
        <v>765</v>
      </c>
      <c r="C763" t="s">
        <v>286</v>
      </c>
      <c r="D763" t="s">
        <v>766</v>
      </c>
      <c r="E763" t="s">
        <v>287</v>
      </c>
      <c r="F763" t="s">
        <v>288</v>
      </c>
      <c r="G763" t="s">
        <v>282</v>
      </c>
      <c r="H763" t="s">
        <v>283</v>
      </c>
      <c r="I763" t="s">
        <v>767</v>
      </c>
      <c r="J763" t="s">
        <v>285</v>
      </c>
      <c r="K763" t="s">
        <v>285</v>
      </c>
      <c r="L763" t="s">
        <v>285</v>
      </c>
      <c r="M763" t="s">
        <v>285</v>
      </c>
      <c r="N763" t="s">
        <v>285</v>
      </c>
      <c r="O763" t="s">
        <v>285</v>
      </c>
      <c r="P763" t="s">
        <v>285</v>
      </c>
      <c r="Q763" t="s">
        <v>285</v>
      </c>
      <c r="R763" t="s">
        <v>285</v>
      </c>
      <c r="S763" t="s">
        <v>285</v>
      </c>
      <c r="T763" t="s">
        <v>285</v>
      </c>
      <c r="U763" t="s">
        <v>285</v>
      </c>
      <c r="V763" t="s">
        <v>285</v>
      </c>
      <c r="W763" t="s">
        <v>285</v>
      </c>
      <c r="X763" t="s">
        <v>285</v>
      </c>
      <c r="Y763" t="s">
        <v>285</v>
      </c>
      <c r="Z763" t="s">
        <v>285</v>
      </c>
      <c r="AA763" t="s">
        <v>285</v>
      </c>
      <c r="AB763" t="s">
        <v>285</v>
      </c>
      <c r="AC763" t="s">
        <v>285</v>
      </c>
      <c r="AD763" t="s">
        <v>285</v>
      </c>
      <c r="AE763" t="s">
        <v>285</v>
      </c>
      <c r="AF763" t="s">
        <v>285</v>
      </c>
      <c r="AG763" t="s">
        <v>285</v>
      </c>
      <c r="AH763" t="s">
        <v>285</v>
      </c>
      <c r="AI763" t="s">
        <v>285</v>
      </c>
      <c r="AJ763" t="s">
        <v>285</v>
      </c>
      <c r="AK763" t="s">
        <v>285</v>
      </c>
      <c r="AL763" t="s">
        <v>285</v>
      </c>
      <c r="AM763" t="s">
        <v>285</v>
      </c>
      <c r="AN763" t="s">
        <v>285</v>
      </c>
      <c r="AO763">
        <v>51.656999999999996</v>
      </c>
      <c r="AP763">
        <v>33.237000000000002</v>
      </c>
      <c r="AQ763">
        <v>45.253999999999998</v>
      </c>
      <c r="AR763">
        <v>42.195999999999998</v>
      </c>
      <c r="AS763">
        <v>38.003</v>
      </c>
      <c r="AT763">
        <v>40.784999999999997</v>
      </c>
      <c r="AU763">
        <v>41.347999999999999</v>
      </c>
      <c r="AV763">
        <v>36.167999999999999</v>
      </c>
      <c r="AW763">
        <v>38.972000000000001</v>
      </c>
      <c r="AX763">
        <v>38.771999999999998</v>
      </c>
      <c r="AY763">
        <v>2014</v>
      </c>
    </row>
    <row r="764" spans="1:51" x14ac:dyDescent="0.25">
      <c r="A764">
        <v>733</v>
      </c>
      <c r="B764" t="s">
        <v>765</v>
      </c>
      <c r="C764" t="s">
        <v>289</v>
      </c>
      <c r="D764" t="s">
        <v>766</v>
      </c>
      <c r="E764" t="s">
        <v>287</v>
      </c>
      <c r="F764" t="s">
        <v>290</v>
      </c>
      <c r="G764" t="s">
        <v>291</v>
      </c>
      <c r="H764" t="s">
        <v>283</v>
      </c>
      <c r="I764" t="s">
        <v>292</v>
      </c>
      <c r="J764" t="s">
        <v>285</v>
      </c>
      <c r="K764" t="s">
        <v>285</v>
      </c>
      <c r="L764" t="s">
        <v>285</v>
      </c>
      <c r="M764" t="s">
        <v>285</v>
      </c>
      <c r="N764" t="s">
        <v>285</v>
      </c>
      <c r="O764" t="s">
        <v>285</v>
      </c>
      <c r="P764" t="s">
        <v>285</v>
      </c>
      <c r="Q764" t="s">
        <v>285</v>
      </c>
      <c r="R764" t="s">
        <v>285</v>
      </c>
      <c r="S764" t="s">
        <v>285</v>
      </c>
      <c r="T764" t="s">
        <v>285</v>
      </c>
      <c r="U764" t="s">
        <v>285</v>
      </c>
      <c r="V764" t="s">
        <v>285</v>
      </c>
      <c r="W764" t="s">
        <v>285</v>
      </c>
      <c r="X764" t="s">
        <v>285</v>
      </c>
      <c r="Y764" t="s">
        <v>285</v>
      </c>
      <c r="Z764" t="s">
        <v>285</v>
      </c>
      <c r="AA764" t="s">
        <v>285</v>
      </c>
      <c r="AB764" t="s">
        <v>285</v>
      </c>
      <c r="AC764" t="s">
        <v>285</v>
      </c>
      <c r="AD764" t="s">
        <v>285</v>
      </c>
      <c r="AE764" t="s">
        <v>285</v>
      </c>
      <c r="AF764" t="s">
        <v>285</v>
      </c>
      <c r="AG764" t="s">
        <v>285</v>
      </c>
      <c r="AH764" t="s">
        <v>285</v>
      </c>
      <c r="AI764" t="s">
        <v>285</v>
      </c>
      <c r="AJ764" t="s">
        <v>285</v>
      </c>
      <c r="AK764" t="s">
        <v>285</v>
      </c>
      <c r="AL764" t="s">
        <v>285</v>
      </c>
      <c r="AM764" t="s">
        <v>285</v>
      </c>
      <c r="AN764" t="s">
        <v>285</v>
      </c>
      <c r="AO764">
        <v>17.195</v>
      </c>
      <c r="AP764">
        <v>11.266999999999999</v>
      </c>
      <c r="AQ764">
        <v>15.34</v>
      </c>
      <c r="AR764">
        <v>14.304</v>
      </c>
      <c r="AS764">
        <v>12.882</v>
      </c>
      <c r="AT764">
        <v>13.824999999999999</v>
      </c>
      <c r="AU764">
        <v>14.016</v>
      </c>
      <c r="AV764">
        <v>12.26</v>
      </c>
      <c r="AW764">
        <v>13.211</v>
      </c>
      <c r="AX764">
        <v>13.143000000000001</v>
      </c>
      <c r="AY764">
        <v>2014</v>
      </c>
    </row>
    <row r="765" spans="1:51" x14ac:dyDescent="0.25">
      <c r="A765">
        <v>733</v>
      </c>
      <c r="B765" t="s">
        <v>765</v>
      </c>
      <c r="C765" t="s">
        <v>293</v>
      </c>
      <c r="D765" t="s">
        <v>766</v>
      </c>
      <c r="E765" t="s">
        <v>294</v>
      </c>
      <c r="F765" t="s">
        <v>295</v>
      </c>
      <c r="G765" t="s">
        <v>296</v>
      </c>
      <c r="I765" t="s">
        <v>297</v>
      </c>
      <c r="J765" t="s">
        <v>285</v>
      </c>
      <c r="K765" t="s">
        <v>285</v>
      </c>
      <c r="L765" t="s">
        <v>285</v>
      </c>
      <c r="M765" t="s">
        <v>285</v>
      </c>
      <c r="N765" t="s">
        <v>285</v>
      </c>
      <c r="O765" t="s">
        <v>285</v>
      </c>
      <c r="P765" t="s">
        <v>285</v>
      </c>
      <c r="Q765" t="s">
        <v>285</v>
      </c>
      <c r="R765" t="s">
        <v>285</v>
      </c>
      <c r="S765" t="s">
        <v>285</v>
      </c>
      <c r="T765" t="s">
        <v>285</v>
      </c>
      <c r="U765" t="s">
        <v>285</v>
      </c>
      <c r="V765" t="s">
        <v>285</v>
      </c>
      <c r="W765" t="s">
        <v>285</v>
      </c>
      <c r="X765" t="s">
        <v>285</v>
      </c>
      <c r="Y765" t="s">
        <v>285</v>
      </c>
      <c r="Z765" t="s">
        <v>285</v>
      </c>
      <c r="AA765" t="s">
        <v>285</v>
      </c>
      <c r="AB765" t="s">
        <v>285</v>
      </c>
      <c r="AC765" t="s">
        <v>285</v>
      </c>
      <c r="AD765" t="s">
        <v>285</v>
      </c>
      <c r="AE765" t="s">
        <v>285</v>
      </c>
      <c r="AF765" t="s">
        <v>285</v>
      </c>
      <c r="AG765" t="s">
        <v>285</v>
      </c>
      <c r="AH765" t="s">
        <v>285</v>
      </c>
      <c r="AI765" t="s">
        <v>285</v>
      </c>
      <c r="AJ765" t="s">
        <v>285</v>
      </c>
      <c r="AK765" t="s">
        <v>285</v>
      </c>
      <c r="AL765" t="s">
        <v>285</v>
      </c>
      <c r="AM765" t="s">
        <v>285</v>
      </c>
      <c r="AN765" t="s">
        <v>285</v>
      </c>
      <c r="AO765">
        <v>158.934</v>
      </c>
      <c r="AP765">
        <v>214.965</v>
      </c>
      <c r="AQ765">
        <v>226.30799999999999</v>
      </c>
      <c r="AR765">
        <v>205.03200000000001</v>
      </c>
      <c r="AS765">
        <v>195.06399999999999</v>
      </c>
      <c r="AT765">
        <v>207.95500000000001</v>
      </c>
      <c r="AU765">
        <v>193.80799999999999</v>
      </c>
      <c r="AV765">
        <v>160.483</v>
      </c>
      <c r="AW765">
        <v>156.178</v>
      </c>
      <c r="AX765">
        <v>144.733</v>
      </c>
      <c r="AY765">
        <v>2014</v>
      </c>
    </row>
    <row r="766" spans="1:51" x14ac:dyDescent="0.25">
      <c r="A766">
        <v>733</v>
      </c>
      <c r="B766" t="s">
        <v>765</v>
      </c>
      <c r="C766" t="s">
        <v>298</v>
      </c>
      <c r="D766" t="s">
        <v>766</v>
      </c>
      <c r="E766" t="s">
        <v>299</v>
      </c>
      <c r="F766" t="s">
        <v>300</v>
      </c>
      <c r="G766" t="s">
        <v>282</v>
      </c>
      <c r="H766" t="s">
        <v>283</v>
      </c>
      <c r="I766" t="s">
        <v>768</v>
      </c>
      <c r="J766" t="s">
        <v>285</v>
      </c>
      <c r="K766" t="s">
        <v>285</v>
      </c>
      <c r="L766" t="s">
        <v>285</v>
      </c>
      <c r="M766" t="s">
        <v>285</v>
      </c>
      <c r="N766" t="s">
        <v>285</v>
      </c>
      <c r="O766" t="s">
        <v>285</v>
      </c>
      <c r="P766" t="s">
        <v>285</v>
      </c>
      <c r="Q766" t="s">
        <v>285</v>
      </c>
      <c r="R766" t="s">
        <v>285</v>
      </c>
      <c r="S766" t="s">
        <v>285</v>
      </c>
      <c r="T766" t="s">
        <v>285</v>
      </c>
      <c r="U766" t="s">
        <v>285</v>
      </c>
      <c r="V766" t="s">
        <v>285</v>
      </c>
      <c r="W766" t="s">
        <v>285</v>
      </c>
      <c r="X766" t="s">
        <v>285</v>
      </c>
      <c r="Y766" t="s">
        <v>285</v>
      </c>
      <c r="Z766" t="s">
        <v>285</v>
      </c>
      <c r="AA766" t="s">
        <v>285</v>
      </c>
      <c r="AB766" t="s">
        <v>285</v>
      </c>
      <c r="AC766" t="s">
        <v>285</v>
      </c>
      <c r="AD766" t="s">
        <v>285</v>
      </c>
      <c r="AE766" t="s">
        <v>285</v>
      </c>
      <c r="AF766" t="s">
        <v>285</v>
      </c>
      <c r="AG766" t="s">
        <v>285</v>
      </c>
      <c r="AH766" t="s">
        <v>285</v>
      </c>
      <c r="AI766" t="s">
        <v>285</v>
      </c>
      <c r="AJ766" t="s">
        <v>285</v>
      </c>
      <c r="AK766" t="s">
        <v>285</v>
      </c>
      <c r="AL766" t="s">
        <v>285</v>
      </c>
      <c r="AM766" t="s">
        <v>285</v>
      </c>
      <c r="AN766" t="s">
        <v>285</v>
      </c>
      <c r="AO766">
        <v>10.916</v>
      </c>
      <c r="AP766">
        <v>10.509</v>
      </c>
      <c r="AQ766">
        <v>11.271000000000001</v>
      </c>
      <c r="AR766">
        <v>16.059000000000001</v>
      </c>
      <c r="AS766">
        <v>14.372999999999999</v>
      </c>
      <c r="AT766">
        <v>16.853999999999999</v>
      </c>
      <c r="AU766">
        <v>18.048999999999999</v>
      </c>
      <c r="AV766">
        <v>19.917000000000002</v>
      </c>
      <c r="AW766">
        <v>15.946999999999999</v>
      </c>
      <c r="AX766">
        <v>18.648</v>
      </c>
      <c r="AY766">
        <v>2014</v>
      </c>
    </row>
    <row r="767" spans="1:51" x14ac:dyDescent="0.25">
      <c r="A767">
        <v>184</v>
      </c>
      <c r="B767" t="s">
        <v>769</v>
      </c>
      <c r="C767" t="s">
        <v>279</v>
      </c>
      <c r="D767" t="s">
        <v>204</v>
      </c>
      <c r="E767" t="s">
        <v>280</v>
      </c>
      <c r="F767" t="s">
        <v>281</v>
      </c>
      <c r="G767" t="s">
        <v>282</v>
      </c>
      <c r="H767" t="s">
        <v>283</v>
      </c>
      <c r="I767" t="s">
        <v>325</v>
      </c>
      <c r="J767">
        <v>487.387</v>
      </c>
      <c r="K767">
        <v>485.399</v>
      </c>
      <c r="L767">
        <v>491.411</v>
      </c>
      <c r="M767">
        <v>499.53100000000001</v>
      </c>
      <c r="N767">
        <v>508.01299999999998</v>
      </c>
      <c r="O767">
        <v>520.01199999999994</v>
      </c>
      <c r="P767">
        <v>537.85799999999995</v>
      </c>
      <c r="Q767">
        <v>568.56399999999996</v>
      </c>
      <c r="R767">
        <v>598.61</v>
      </c>
      <c r="S767">
        <v>628.56399999999996</v>
      </c>
      <c r="T767">
        <v>652.74300000000005</v>
      </c>
      <c r="U767">
        <v>669.22799999999995</v>
      </c>
      <c r="V767">
        <v>674.92</v>
      </c>
      <c r="W767">
        <v>666.05399999999997</v>
      </c>
      <c r="X767">
        <v>681.60400000000004</v>
      </c>
      <c r="Y767">
        <v>709.7</v>
      </c>
      <c r="Z767">
        <v>726.88400000000001</v>
      </c>
      <c r="AA767">
        <v>754.98099999999999</v>
      </c>
      <c r="AB767">
        <v>788.72</v>
      </c>
      <c r="AC767">
        <v>826.14599999999996</v>
      </c>
      <c r="AD767">
        <v>867.89099999999996</v>
      </c>
      <c r="AE767">
        <v>902.64400000000001</v>
      </c>
      <c r="AF767">
        <v>928.64</v>
      </c>
      <c r="AG767">
        <v>958.22900000000004</v>
      </c>
      <c r="AH767">
        <v>988.60299999999995</v>
      </c>
      <c r="AI767" s="21">
        <v>1025.354</v>
      </c>
      <c r="AJ767" s="21">
        <v>1068.1849999999999</v>
      </c>
      <c r="AK767" s="21">
        <v>1108.4490000000001</v>
      </c>
      <c r="AL767" s="21">
        <v>1120.825</v>
      </c>
      <c r="AM767" s="21">
        <v>1080.75</v>
      </c>
      <c r="AN767" s="21">
        <v>1080.9390000000001</v>
      </c>
      <c r="AO767" s="21">
        <v>1074.2380000000001</v>
      </c>
      <c r="AP767" s="21">
        <v>1051.7829999999999</v>
      </c>
      <c r="AQ767" s="21">
        <v>1038.865</v>
      </c>
      <c r="AR767" s="21">
        <v>1053.296</v>
      </c>
      <c r="AS767" s="21">
        <v>1085.634</v>
      </c>
      <c r="AT767" s="21">
        <v>1113.231</v>
      </c>
      <c r="AU767" s="21">
        <v>1138.02</v>
      </c>
      <c r="AV767" s="21">
        <v>1160.8679999999999</v>
      </c>
      <c r="AW767" s="21">
        <v>1182.9739999999999</v>
      </c>
      <c r="AX767" s="21">
        <v>1204.028</v>
      </c>
      <c r="AY767">
        <v>2014</v>
      </c>
    </row>
    <row r="768" spans="1:51" x14ac:dyDescent="0.25">
      <c r="A768">
        <v>184</v>
      </c>
      <c r="B768" t="s">
        <v>769</v>
      </c>
      <c r="C768" t="s">
        <v>286</v>
      </c>
      <c r="D768" t="s">
        <v>204</v>
      </c>
      <c r="E768" t="s">
        <v>287</v>
      </c>
      <c r="F768" t="s">
        <v>288</v>
      </c>
      <c r="G768" t="s">
        <v>282</v>
      </c>
      <c r="H768" t="s">
        <v>283</v>
      </c>
      <c r="I768" t="s">
        <v>325</v>
      </c>
      <c r="J768">
        <v>98.951999999999998</v>
      </c>
      <c r="K768">
        <v>112.77800000000001</v>
      </c>
      <c r="L768">
        <v>129.566</v>
      </c>
      <c r="M768">
        <v>147.899</v>
      </c>
      <c r="N768">
        <v>165.73599999999999</v>
      </c>
      <c r="O768">
        <v>184.72</v>
      </c>
      <c r="P768">
        <v>210.64400000000001</v>
      </c>
      <c r="Q768">
        <v>235.12100000000001</v>
      </c>
      <c r="R768">
        <v>260.822</v>
      </c>
      <c r="S768">
        <v>292.517</v>
      </c>
      <c r="T768">
        <v>326.11200000000002</v>
      </c>
      <c r="U768">
        <v>357.94600000000003</v>
      </c>
      <c r="V768">
        <v>385.435</v>
      </c>
      <c r="W768">
        <v>401.72500000000002</v>
      </c>
      <c r="X768">
        <v>425.89400000000001</v>
      </c>
      <c r="Y768">
        <v>458.54899999999998</v>
      </c>
      <c r="Z768">
        <v>485.875</v>
      </c>
      <c r="AA768">
        <v>516.70299999999997</v>
      </c>
      <c r="AB768">
        <v>553.178</v>
      </c>
      <c r="AC768">
        <v>594.65300000000002</v>
      </c>
      <c r="AD768">
        <v>646.25</v>
      </c>
      <c r="AE768">
        <v>699.52800000000002</v>
      </c>
      <c r="AF768">
        <v>749.28800000000001</v>
      </c>
      <c r="AG768">
        <v>803.47199999999998</v>
      </c>
      <c r="AH768">
        <v>861.42</v>
      </c>
      <c r="AI768">
        <v>930.56600000000003</v>
      </c>
      <c r="AJ768" s="21">
        <v>1007.974</v>
      </c>
      <c r="AK768" s="21">
        <v>1080.807</v>
      </c>
      <c r="AL768" s="21">
        <v>1116.2070000000001</v>
      </c>
      <c r="AM768" s="21">
        <v>1079.0340000000001</v>
      </c>
      <c r="AN768" s="21">
        <v>1080.913</v>
      </c>
      <c r="AO768" s="21">
        <v>1075.1469999999999</v>
      </c>
      <c r="AP768" s="21">
        <v>1055.1579999999999</v>
      </c>
      <c r="AQ768" s="21">
        <v>1049.181</v>
      </c>
      <c r="AR768" s="21">
        <v>1058.4690000000001</v>
      </c>
      <c r="AS768" s="21">
        <v>1097.796</v>
      </c>
      <c r="AT768" s="21">
        <v>1131.7139999999999</v>
      </c>
      <c r="AU768" s="21">
        <v>1166.8150000000001</v>
      </c>
      <c r="AV768" s="21">
        <v>1201.7470000000001</v>
      </c>
      <c r="AW768" s="21">
        <v>1240.646</v>
      </c>
      <c r="AX768" s="21">
        <v>1282.462</v>
      </c>
      <c r="AY768">
        <v>2014</v>
      </c>
    </row>
    <row r="769" spans="1:51" x14ac:dyDescent="0.25">
      <c r="A769">
        <v>184</v>
      </c>
      <c r="B769" t="s">
        <v>769</v>
      </c>
      <c r="C769" t="s">
        <v>289</v>
      </c>
      <c r="D769" t="s">
        <v>204</v>
      </c>
      <c r="E769" t="s">
        <v>287</v>
      </c>
      <c r="F769" t="s">
        <v>290</v>
      </c>
      <c r="G769" t="s">
        <v>291</v>
      </c>
      <c r="H769" t="s">
        <v>283</v>
      </c>
      <c r="I769" t="s">
        <v>292</v>
      </c>
      <c r="J769">
        <v>230.18899999999999</v>
      </c>
      <c r="K769">
        <v>204.08199999999999</v>
      </c>
      <c r="L769">
        <v>197.154</v>
      </c>
      <c r="M769">
        <v>172.429</v>
      </c>
      <c r="N769">
        <v>171.95500000000001</v>
      </c>
      <c r="O769">
        <v>181.172</v>
      </c>
      <c r="P769">
        <v>250.68299999999999</v>
      </c>
      <c r="Q769">
        <v>317.60199999999998</v>
      </c>
      <c r="R769">
        <v>373.14299999999997</v>
      </c>
      <c r="S769">
        <v>411.57100000000003</v>
      </c>
      <c r="T769">
        <v>533.94500000000005</v>
      </c>
      <c r="U769">
        <v>575.18399999999997</v>
      </c>
      <c r="V769">
        <v>628.61099999999999</v>
      </c>
      <c r="W769">
        <v>528.00800000000004</v>
      </c>
      <c r="X769">
        <v>529.82399999999996</v>
      </c>
      <c r="Y769">
        <v>612.41300000000001</v>
      </c>
      <c r="Z769">
        <v>638.5</v>
      </c>
      <c r="AA769">
        <v>587.96699999999998</v>
      </c>
      <c r="AB769">
        <v>616.95699999999999</v>
      </c>
      <c r="AC769">
        <v>634.38400000000001</v>
      </c>
      <c r="AD769">
        <v>597.149</v>
      </c>
      <c r="AE769">
        <v>626.51400000000001</v>
      </c>
      <c r="AF769">
        <v>707.64200000000005</v>
      </c>
      <c r="AG769">
        <v>908.58799999999997</v>
      </c>
      <c r="AH769" s="21">
        <v>1071.0070000000001</v>
      </c>
      <c r="AI769" s="21">
        <v>1159.2570000000001</v>
      </c>
      <c r="AJ769" s="21">
        <v>1265.6610000000001</v>
      </c>
      <c r="AK769" s="21">
        <v>1481.393</v>
      </c>
      <c r="AL769" s="21">
        <v>1642.7380000000001</v>
      </c>
      <c r="AM769" s="21">
        <v>1502.876</v>
      </c>
      <c r="AN769" s="21">
        <v>1434.2570000000001</v>
      </c>
      <c r="AO769" s="21">
        <v>1495.9680000000001</v>
      </c>
      <c r="AP769" s="21">
        <v>1356.4829999999999</v>
      </c>
      <c r="AQ769" s="21">
        <v>1393.4760000000001</v>
      </c>
      <c r="AR769" s="21">
        <v>1406.538</v>
      </c>
      <c r="AS769" s="21">
        <v>1221.3869999999999</v>
      </c>
      <c r="AT769" s="21">
        <v>1265.1220000000001</v>
      </c>
      <c r="AU769" s="21">
        <v>1318.826</v>
      </c>
      <c r="AV769" s="21">
        <v>1372.1759999999999</v>
      </c>
      <c r="AW769" s="21">
        <v>1427.7370000000001</v>
      </c>
      <c r="AX769" s="21">
        <v>1497.674</v>
      </c>
      <c r="AY769">
        <v>2014</v>
      </c>
    </row>
    <row r="770" spans="1:51" x14ac:dyDescent="0.25">
      <c r="A770">
        <v>184</v>
      </c>
      <c r="B770" t="s">
        <v>769</v>
      </c>
      <c r="C770" t="s">
        <v>293</v>
      </c>
      <c r="D770" t="s">
        <v>204</v>
      </c>
      <c r="E770" t="s">
        <v>294</v>
      </c>
      <c r="F770" t="s">
        <v>295</v>
      </c>
      <c r="G770" t="s">
        <v>296</v>
      </c>
      <c r="I770" t="s">
        <v>297</v>
      </c>
      <c r="J770">
        <v>20.303000000000001</v>
      </c>
      <c r="K770">
        <v>23.234000000000002</v>
      </c>
      <c r="L770">
        <v>26.366</v>
      </c>
      <c r="M770">
        <v>29.608000000000001</v>
      </c>
      <c r="N770">
        <v>32.624000000000002</v>
      </c>
      <c r="O770">
        <v>35.521999999999998</v>
      </c>
      <c r="P770">
        <v>39.162999999999997</v>
      </c>
      <c r="Q770">
        <v>41.353000000000002</v>
      </c>
      <c r="R770">
        <v>43.570999999999998</v>
      </c>
      <c r="S770">
        <v>46.536999999999999</v>
      </c>
      <c r="T770">
        <v>49.96</v>
      </c>
      <c r="U770">
        <v>53.485999999999997</v>
      </c>
      <c r="V770">
        <v>57.107999999999997</v>
      </c>
      <c r="W770">
        <v>60.314</v>
      </c>
      <c r="X770">
        <v>62.484000000000002</v>
      </c>
      <c r="Y770">
        <v>64.611999999999995</v>
      </c>
      <c r="Z770">
        <v>66.843000000000004</v>
      </c>
      <c r="AA770">
        <v>68.438999999999993</v>
      </c>
      <c r="AB770">
        <v>70.135999999999996</v>
      </c>
      <c r="AC770">
        <v>71.978999999999999</v>
      </c>
      <c r="AD770">
        <v>74.462000000000003</v>
      </c>
      <c r="AE770">
        <v>77.498000000000005</v>
      </c>
      <c r="AF770">
        <v>80.686999999999998</v>
      </c>
      <c r="AG770">
        <v>83.85</v>
      </c>
      <c r="AH770">
        <v>87.135000000000005</v>
      </c>
      <c r="AI770">
        <v>90.756</v>
      </c>
      <c r="AJ770">
        <v>94.363</v>
      </c>
      <c r="AK770">
        <v>97.506</v>
      </c>
      <c r="AL770">
        <v>99.587999999999994</v>
      </c>
      <c r="AM770">
        <v>99.840999999999994</v>
      </c>
      <c r="AN770">
        <v>99.998000000000005</v>
      </c>
      <c r="AO770">
        <v>100.08499999999999</v>
      </c>
      <c r="AP770">
        <v>100.321</v>
      </c>
      <c r="AQ770">
        <v>100.99299999999999</v>
      </c>
      <c r="AR770">
        <v>100.491</v>
      </c>
      <c r="AS770">
        <v>101.12</v>
      </c>
      <c r="AT770">
        <v>101.66</v>
      </c>
      <c r="AU770">
        <v>102.53</v>
      </c>
      <c r="AV770">
        <v>103.521</v>
      </c>
      <c r="AW770">
        <v>104.875</v>
      </c>
      <c r="AX770">
        <v>106.514</v>
      </c>
      <c r="AY770">
        <v>2014</v>
      </c>
    </row>
    <row r="771" spans="1:51" x14ac:dyDescent="0.25">
      <c r="A771">
        <v>184</v>
      </c>
      <c r="B771" t="s">
        <v>769</v>
      </c>
      <c r="C771" t="s">
        <v>298</v>
      </c>
      <c r="D771" t="s">
        <v>204</v>
      </c>
      <c r="E771" t="s">
        <v>299</v>
      </c>
      <c r="F771" t="s">
        <v>300</v>
      </c>
      <c r="G771" t="s">
        <v>282</v>
      </c>
      <c r="H771" t="s">
        <v>283</v>
      </c>
      <c r="I771" t="s">
        <v>770</v>
      </c>
      <c r="J771">
        <v>30.065999999999999</v>
      </c>
      <c r="K771">
        <v>35.555999999999997</v>
      </c>
      <c r="L771">
        <v>45.447000000000003</v>
      </c>
      <c r="M771">
        <v>53.439</v>
      </c>
      <c r="N771">
        <v>61.207000000000001</v>
      </c>
      <c r="O771">
        <v>73.962000000000003</v>
      </c>
      <c r="P771">
        <v>83.882000000000005</v>
      </c>
      <c r="Q771">
        <v>91.158000000000001</v>
      </c>
      <c r="R771">
        <v>101.59099999999999</v>
      </c>
      <c r="S771">
        <v>118.054</v>
      </c>
      <c r="T771">
        <v>134.797</v>
      </c>
      <c r="U771">
        <v>153.47</v>
      </c>
      <c r="V771">
        <v>170.11500000000001</v>
      </c>
      <c r="W771">
        <v>187.05099999999999</v>
      </c>
      <c r="X771">
        <v>192.119</v>
      </c>
      <c r="Y771">
        <v>203.62799999999999</v>
      </c>
      <c r="Z771">
        <v>209.767</v>
      </c>
      <c r="AA771">
        <v>215.53899999999999</v>
      </c>
      <c r="AB771">
        <v>227.32599999999999</v>
      </c>
      <c r="AC771">
        <v>237.33500000000001</v>
      </c>
      <c r="AD771">
        <v>252.608</v>
      </c>
      <c r="AE771">
        <v>269.02600000000001</v>
      </c>
      <c r="AF771">
        <v>289.39</v>
      </c>
      <c r="AG771">
        <v>307.52600000000001</v>
      </c>
      <c r="AH771">
        <v>333.14600000000002</v>
      </c>
      <c r="AI771">
        <v>356.47</v>
      </c>
      <c r="AJ771">
        <v>385.79300000000001</v>
      </c>
      <c r="AK771">
        <v>420.68</v>
      </c>
      <c r="AL771">
        <v>459.29399999999998</v>
      </c>
      <c r="AM771">
        <v>493.86500000000001</v>
      </c>
      <c r="AN771">
        <v>493.10599999999999</v>
      </c>
      <c r="AO771">
        <v>488.61799999999999</v>
      </c>
      <c r="AP771">
        <v>499.28800000000001</v>
      </c>
      <c r="AQ771">
        <v>464.75900000000001</v>
      </c>
      <c r="AR771">
        <v>461.12400000000002</v>
      </c>
      <c r="AS771">
        <v>461.46100000000001</v>
      </c>
      <c r="AT771">
        <v>461.541</v>
      </c>
      <c r="AU771">
        <v>467.79899999999998</v>
      </c>
      <c r="AV771">
        <v>476.86900000000003</v>
      </c>
      <c r="AW771">
        <v>485.70800000000003</v>
      </c>
      <c r="AX771">
        <v>500.23099999999999</v>
      </c>
      <c r="AY771">
        <v>2014</v>
      </c>
    </row>
    <row r="772" spans="1:51" x14ac:dyDescent="0.25">
      <c r="A772">
        <v>524</v>
      </c>
      <c r="B772" t="s">
        <v>771</v>
      </c>
      <c r="C772" t="s">
        <v>279</v>
      </c>
      <c r="D772" t="s">
        <v>205</v>
      </c>
      <c r="E772" t="s">
        <v>280</v>
      </c>
      <c r="F772" t="s">
        <v>281</v>
      </c>
      <c r="G772" t="s">
        <v>282</v>
      </c>
      <c r="H772" t="s">
        <v>283</v>
      </c>
      <c r="I772" t="s">
        <v>772</v>
      </c>
      <c r="J772">
        <v>592.55999999999995</v>
      </c>
      <c r="K772">
        <v>624.23299999999995</v>
      </c>
      <c r="L772">
        <v>656.89800000000002</v>
      </c>
      <c r="M772">
        <v>678.67</v>
      </c>
      <c r="N772">
        <v>724.30899999999997</v>
      </c>
      <c r="O772">
        <v>760.21400000000006</v>
      </c>
      <c r="P772">
        <v>792.76099999999997</v>
      </c>
      <c r="Q772">
        <v>804.28499999999997</v>
      </c>
      <c r="R772">
        <v>825.98800000000006</v>
      </c>
      <c r="S772">
        <v>844.57500000000005</v>
      </c>
      <c r="T772">
        <v>896.71600000000001</v>
      </c>
      <c r="U772">
        <v>993.74599999999998</v>
      </c>
      <c r="V772">
        <v>962.59199999999998</v>
      </c>
      <c r="W772" s="21">
        <v>1034.56</v>
      </c>
      <c r="X772" s="21">
        <v>1117.6949999999999</v>
      </c>
      <c r="Y772" s="21">
        <v>1185.329</v>
      </c>
      <c r="Z772" s="21">
        <v>1345.376</v>
      </c>
      <c r="AA772" s="21">
        <v>1430.106</v>
      </c>
      <c r="AB772" s="21">
        <v>1496.671</v>
      </c>
      <c r="AC772" s="21">
        <v>1562.6780000000001</v>
      </c>
      <c r="AD772" s="21">
        <v>1656.8150000000001</v>
      </c>
      <c r="AE772" s="21">
        <v>1631.2180000000001</v>
      </c>
      <c r="AF772" s="21">
        <v>1636.0360000000001</v>
      </c>
      <c r="AG772" s="21">
        <v>1733.222</v>
      </c>
      <c r="AH772" s="21">
        <v>1827.597</v>
      </c>
      <c r="AI772" s="21">
        <v>1941.672</v>
      </c>
      <c r="AJ772" s="21">
        <v>2090.5650000000001</v>
      </c>
      <c r="AK772" s="21">
        <v>2232.6559999999999</v>
      </c>
      <c r="AL772" s="21">
        <v>2365.5010000000002</v>
      </c>
      <c r="AM772" s="21">
        <v>2449.2130000000002</v>
      </c>
      <c r="AN772" s="21">
        <v>2645.5419999999999</v>
      </c>
      <c r="AO772" s="21">
        <v>2863.6909999999998</v>
      </c>
      <c r="AP772" s="21">
        <v>3045.288</v>
      </c>
      <c r="AQ772" s="21">
        <v>3267.5940000000001</v>
      </c>
      <c r="AR772" s="21">
        <v>3509.3960000000002</v>
      </c>
      <c r="AS772" s="21">
        <v>3737.5070000000001</v>
      </c>
      <c r="AT772" s="21">
        <v>3980.4450000000002</v>
      </c>
      <c r="AU772" s="21">
        <v>4239.174</v>
      </c>
      <c r="AV772" s="21">
        <v>4514.72</v>
      </c>
      <c r="AW772" s="21">
        <v>4808.1769999999997</v>
      </c>
      <c r="AX772" s="21">
        <v>5120.7079999999996</v>
      </c>
      <c r="AY772">
        <v>2014</v>
      </c>
    </row>
    <row r="773" spans="1:51" x14ac:dyDescent="0.25">
      <c r="A773">
        <v>524</v>
      </c>
      <c r="B773" t="s">
        <v>771</v>
      </c>
      <c r="C773" t="s">
        <v>286</v>
      </c>
      <c r="D773" t="s">
        <v>205</v>
      </c>
      <c r="E773" t="s">
        <v>287</v>
      </c>
      <c r="F773" t="s">
        <v>288</v>
      </c>
      <c r="G773" t="s">
        <v>282</v>
      </c>
      <c r="H773" t="s">
        <v>283</v>
      </c>
      <c r="I773" t="s">
        <v>772</v>
      </c>
      <c r="J773">
        <v>72.587000000000003</v>
      </c>
      <c r="K773">
        <v>87.915000000000006</v>
      </c>
      <c r="L773">
        <v>102.63500000000001</v>
      </c>
      <c r="M773">
        <v>125.764</v>
      </c>
      <c r="N773">
        <v>159.00899999999999</v>
      </c>
      <c r="O773">
        <v>167.934</v>
      </c>
      <c r="P773">
        <v>185.61799999999999</v>
      </c>
      <c r="Q773">
        <v>203.45699999999999</v>
      </c>
      <c r="R773">
        <v>229.58099999999999</v>
      </c>
      <c r="S773">
        <v>260.51400000000001</v>
      </c>
      <c r="T773">
        <v>332.79899999999998</v>
      </c>
      <c r="U773">
        <v>385.09100000000001</v>
      </c>
      <c r="V773">
        <v>439.84199999999998</v>
      </c>
      <c r="W773">
        <v>516.66600000000005</v>
      </c>
      <c r="X773">
        <v>598.90800000000002</v>
      </c>
      <c r="Y773">
        <v>690.63199999999995</v>
      </c>
      <c r="Z773">
        <v>794.423</v>
      </c>
      <c r="AA773">
        <v>920.74900000000002</v>
      </c>
      <c r="AB773" s="21">
        <v>1052.8340000000001</v>
      </c>
      <c r="AC773" s="21">
        <v>1143.8240000000001</v>
      </c>
      <c r="AD773" s="21">
        <v>1300.6890000000001</v>
      </c>
      <c r="AE773" s="21">
        <v>1455.576</v>
      </c>
      <c r="AF773" s="21">
        <v>1636.037</v>
      </c>
      <c r="AG773" s="21">
        <v>1822.4680000000001</v>
      </c>
      <c r="AH773" s="21">
        <v>2090.8409999999999</v>
      </c>
      <c r="AI773" s="21">
        <v>2452.7820000000002</v>
      </c>
      <c r="AJ773" s="21">
        <v>2938.68</v>
      </c>
      <c r="AK773" s="21">
        <v>3578.6880000000001</v>
      </c>
      <c r="AL773" s="21">
        <v>4410.6819999999998</v>
      </c>
      <c r="AM773" s="21">
        <v>4835.2929999999997</v>
      </c>
      <c r="AN773" s="21">
        <v>5604.1040000000003</v>
      </c>
      <c r="AO773" s="21">
        <v>6543.3130000000001</v>
      </c>
      <c r="AP773" s="21">
        <v>7578.5540000000001</v>
      </c>
      <c r="AQ773" s="21">
        <v>8673.8700000000008</v>
      </c>
      <c r="AR773" s="21">
        <v>9784.6720000000005</v>
      </c>
      <c r="AS773" s="21">
        <v>10624.368</v>
      </c>
      <c r="AT773" s="21">
        <v>11703.356</v>
      </c>
      <c r="AU773" s="21">
        <v>13002.172</v>
      </c>
      <c r="AV773" s="21">
        <v>14539.679</v>
      </c>
      <c r="AW773" s="21">
        <v>16258.995999999999</v>
      </c>
      <c r="AX773" s="21">
        <v>18181.621999999999</v>
      </c>
      <c r="AY773">
        <v>2014</v>
      </c>
    </row>
    <row r="774" spans="1:51" x14ac:dyDescent="0.25">
      <c r="A774">
        <v>524</v>
      </c>
      <c r="B774" t="s">
        <v>771</v>
      </c>
      <c r="C774" t="s">
        <v>289</v>
      </c>
      <c r="D774" t="s">
        <v>205</v>
      </c>
      <c r="E774" t="s">
        <v>287</v>
      </c>
      <c r="F774" t="s">
        <v>290</v>
      </c>
      <c r="G774" t="s">
        <v>291</v>
      </c>
      <c r="H774" t="s">
        <v>283</v>
      </c>
      <c r="I774" t="s">
        <v>292</v>
      </c>
      <c r="J774">
        <v>4.3899999999999997</v>
      </c>
      <c r="K774">
        <v>4.5679999999999996</v>
      </c>
      <c r="L774">
        <v>4.9320000000000004</v>
      </c>
      <c r="M774">
        <v>5.3239999999999998</v>
      </c>
      <c r="N774">
        <v>6.24</v>
      </c>
      <c r="O774">
        <v>6.173</v>
      </c>
      <c r="P774">
        <v>6.6150000000000002</v>
      </c>
      <c r="Q774">
        <v>6.8890000000000002</v>
      </c>
      <c r="R774">
        <v>7.2</v>
      </c>
      <c r="S774">
        <v>7.2270000000000003</v>
      </c>
      <c r="T774">
        <v>8.2729999999999997</v>
      </c>
      <c r="U774">
        <v>9.0579999999999998</v>
      </c>
      <c r="V774">
        <v>9.7650000000000006</v>
      </c>
      <c r="W774">
        <v>10.44</v>
      </c>
      <c r="X774">
        <v>12.041</v>
      </c>
      <c r="Y774">
        <v>12.787000000000001</v>
      </c>
      <c r="Z774">
        <v>14.025</v>
      </c>
      <c r="AA774">
        <v>15.63</v>
      </c>
      <c r="AB774">
        <v>16.103000000000002</v>
      </c>
      <c r="AC774">
        <v>16.193000000000001</v>
      </c>
      <c r="AD774">
        <v>16.925999999999998</v>
      </c>
      <c r="AE774">
        <v>16.260999999999999</v>
      </c>
      <c r="AF774">
        <v>17.113</v>
      </c>
      <c r="AG774">
        <v>18.891999999999999</v>
      </c>
      <c r="AH774">
        <v>20.67</v>
      </c>
      <c r="AI774">
        <v>24.417999999999999</v>
      </c>
      <c r="AJ774">
        <v>28.274000000000001</v>
      </c>
      <c r="AK774">
        <v>32.366999999999997</v>
      </c>
      <c r="AL774">
        <v>40.72</v>
      </c>
      <c r="AM774">
        <v>42.04</v>
      </c>
      <c r="AN774">
        <v>49.552</v>
      </c>
      <c r="AO774">
        <v>59.156999999999996</v>
      </c>
      <c r="AP774">
        <v>59.378</v>
      </c>
      <c r="AQ774">
        <v>67.450999999999993</v>
      </c>
      <c r="AR774">
        <v>74.924000000000007</v>
      </c>
      <c r="AS774">
        <v>79.524000000000001</v>
      </c>
      <c r="AT774">
        <v>86.302000000000007</v>
      </c>
      <c r="AU774">
        <v>94.209000000000003</v>
      </c>
      <c r="AV774">
        <v>102.84099999999999</v>
      </c>
      <c r="AW774">
        <v>112.264</v>
      </c>
      <c r="AX774">
        <v>122.55</v>
      </c>
      <c r="AY774">
        <v>2014</v>
      </c>
    </row>
    <row r="775" spans="1:51" x14ac:dyDescent="0.25">
      <c r="A775">
        <v>524</v>
      </c>
      <c r="B775" t="s">
        <v>771</v>
      </c>
      <c r="C775" t="s">
        <v>293</v>
      </c>
      <c r="D775" t="s">
        <v>205</v>
      </c>
      <c r="E775" t="s">
        <v>294</v>
      </c>
      <c r="F775" t="s">
        <v>295</v>
      </c>
      <c r="G775" t="s">
        <v>296</v>
      </c>
      <c r="I775" t="s">
        <v>297</v>
      </c>
      <c r="J775">
        <v>12.25</v>
      </c>
      <c r="K775">
        <v>14.084</v>
      </c>
      <c r="L775">
        <v>15.624000000000001</v>
      </c>
      <c r="M775">
        <v>18.530999999999999</v>
      </c>
      <c r="N775">
        <v>21.952999999999999</v>
      </c>
      <c r="O775">
        <v>22.09</v>
      </c>
      <c r="P775">
        <v>23.414000000000001</v>
      </c>
      <c r="Q775">
        <v>25.297000000000001</v>
      </c>
      <c r="R775">
        <v>27.795000000000002</v>
      </c>
      <c r="S775">
        <v>30.846</v>
      </c>
      <c r="T775">
        <v>37.113</v>
      </c>
      <c r="U775">
        <v>38.752000000000002</v>
      </c>
      <c r="V775">
        <v>45.692999999999998</v>
      </c>
      <c r="W775">
        <v>49.941000000000003</v>
      </c>
      <c r="X775">
        <v>53.584000000000003</v>
      </c>
      <c r="Y775">
        <v>58.265000000000001</v>
      </c>
      <c r="Z775">
        <v>59.048000000000002</v>
      </c>
      <c r="AA775">
        <v>64.382999999999996</v>
      </c>
      <c r="AB775">
        <v>70.344999999999999</v>
      </c>
      <c r="AC775">
        <v>73.195999999999998</v>
      </c>
      <c r="AD775">
        <v>78.504999999999995</v>
      </c>
      <c r="AE775">
        <v>89.231999999999999</v>
      </c>
      <c r="AF775">
        <v>100</v>
      </c>
      <c r="AG775">
        <v>105.149</v>
      </c>
      <c r="AH775">
        <v>114.404</v>
      </c>
      <c r="AI775">
        <v>126.32299999999999</v>
      </c>
      <c r="AJ775">
        <v>140.56899999999999</v>
      </c>
      <c r="AK775">
        <v>160.28800000000001</v>
      </c>
      <c r="AL775">
        <v>186.459</v>
      </c>
      <c r="AM775">
        <v>197.422</v>
      </c>
      <c r="AN775">
        <v>211.83199999999999</v>
      </c>
      <c r="AO775">
        <v>228.49199999999999</v>
      </c>
      <c r="AP775">
        <v>248.86199999999999</v>
      </c>
      <c r="AQ775">
        <v>265.45100000000002</v>
      </c>
      <c r="AR775">
        <v>278.81400000000002</v>
      </c>
      <c r="AS775">
        <v>284.26400000000001</v>
      </c>
      <c r="AT775">
        <v>294.02100000000002</v>
      </c>
      <c r="AU775">
        <v>306.71499999999997</v>
      </c>
      <c r="AV775">
        <v>322.05099999999999</v>
      </c>
      <c r="AW775">
        <v>338.15300000000002</v>
      </c>
      <c r="AX775">
        <v>355.06099999999998</v>
      </c>
      <c r="AY775">
        <v>2014</v>
      </c>
    </row>
    <row r="776" spans="1:51" x14ac:dyDescent="0.25">
      <c r="A776">
        <v>524</v>
      </c>
      <c r="B776" t="s">
        <v>771</v>
      </c>
      <c r="C776" t="s">
        <v>298</v>
      </c>
      <c r="D776" t="s">
        <v>205</v>
      </c>
      <c r="E776" t="s">
        <v>299</v>
      </c>
      <c r="F776" t="s">
        <v>300</v>
      </c>
      <c r="G776" t="s">
        <v>282</v>
      </c>
      <c r="H776" t="s">
        <v>283</v>
      </c>
      <c r="I776" t="s">
        <v>773</v>
      </c>
      <c r="J776" t="s">
        <v>285</v>
      </c>
      <c r="K776" t="s">
        <v>285</v>
      </c>
      <c r="L776" t="s">
        <v>285</v>
      </c>
      <c r="M776" t="s">
        <v>285</v>
      </c>
      <c r="N776" t="s">
        <v>285</v>
      </c>
      <c r="O776" t="s">
        <v>285</v>
      </c>
      <c r="P776" t="s">
        <v>285</v>
      </c>
      <c r="Q776" t="s">
        <v>285</v>
      </c>
      <c r="R776" t="s">
        <v>285</v>
      </c>
      <c r="S776" t="s">
        <v>285</v>
      </c>
      <c r="T776">
        <v>99.813999999999993</v>
      </c>
      <c r="U776">
        <v>120.369</v>
      </c>
      <c r="V776">
        <v>119.824</v>
      </c>
      <c r="W776">
        <v>141.65899999999999</v>
      </c>
      <c r="X776">
        <v>170.76400000000001</v>
      </c>
      <c r="Y776">
        <v>203.48400000000001</v>
      </c>
      <c r="Z776">
        <v>218.65799999999999</v>
      </c>
      <c r="AA776">
        <v>235.09899999999999</v>
      </c>
      <c r="AB776">
        <v>268.18200000000002</v>
      </c>
      <c r="AC776">
        <v>279.15800000000002</v>
      </c>
      <c r="AD776">
        <v>335.82299999999998</v>
      </c>
      <c r="AE776">
        <v>386.51900000000001</v>
      </c>
      <c r="AF776">
        <v>402.98899999999998</v>
      </c>
      <c r="AG776">
        <v>417.67399999999998</v>
      </c>
      <c r="AH776">
        <v>476.90699999999998</v>
      </c>
      <c r="AI776">
        <v>584.78399999999999</v>
      </c>
      <c r="AJ776">
        <v>713.64700000000005</v>
      </c>
      <c r="AK776">
        <v>841.60299999999995</v>
      </c>
      <c r="AL776">
        <v>996.12599999999998</v>
      </c>
      <c r="AM776" s="21">
        <v>1201.9269999999999</v>
      </c>
      <c r="AN776" s="21">
        <v>1280.2049999999999</v>
      </c>
      <c r="AO776" s="21">
        <v>1400.133</v>
      </c>
      <c r="AP776" s="21">
        <v>1492.8810000000001</v>
      </c>
      <c r="AQ776" s="21">
        <v>1583.6289999999999</v>
      </c>
      <c r="AR776" s="21">
        <v>1733.4269999999999</v>
      </c>
      <c r="AS776" s="21">
        <v>1988.78</v>
      </c>
      <c r="AT776" s="21">
        <v>2234.4659999999999</v>
      </c>
      <c r="AU776" s="21">
        <v>2492.0619999999999</v>
      </c>
      <c r="AV776" s="21">
        <v>2813.3229999999999</v>
      </c>
      <c r="AW776" s="21">
        <v>3170.7109999999998</v>
      </c>
      <c r="AX776" s="21">
        <v>3564.9589999999998</v>
      </c>
      <c r="AY776">
        <v>2014</v>
      </c>
    </row>
    <row r="777" spans="1:51" x14ac:dyDescent="0.25">
      <c r="A777">
        <v>361</v>
      </c>
      <c r="B777" t="s">
        <v>774</v>
      </c>
      <c r="C777" t="s">
        <v>279</v>
      </c>
      <c r="D777" t="s">
        <v>187</v>
      </c>
      <c r="E777" t="s">
        <v>280</v>
      </c>
      <c r="F777" t="s">
        <v>281</v>
      </c>
      <c r="G777" t="s">
        <v>282</v>
      </c>
      <c r="H777" t="s">
        <v>283</v>
      </c>
      <c r="I777" t="s">
        <v>775</v>
      </c>
      <c r="J777">
        <v>0.437</v>
      </c>
      <c r="K777">
        <v>0.44900000000000001</v>
      </c>
      <c r="L777">
        <v>0.47599999999999998</v>
      </c>
      <c r="M777">
        <v>0.46700000000000003</v>
      </c>
      <c r="N777">
        <v>0.51200000000000001</v>
      </c>
      <c r="O777">
        <v>0.54500000000000004</v>
      </c>
      <c r="P777">
        <v>0.59299999999999997</v>
      </c>
      <c r="Q777">
        <v>0.64200000000000002</v>
      </c>
      <c r="R777">
        <v>0.70799999999999996</v>
      </c>
      <c r="S777">
        <v>0.751</v>
      </c>
      <c r="T777">
        <v>0.79200000000000004</v>
      </c>
      <c r="U777">
        <v>0.81</v>
      </c>
      <c r="V777">
        <v>0.83499999999999996</v>
      </c>
      <c r="W777">
        <v>0.88</v>
      </c>
      <c r="X777">
        <v>0.92700000000000005</v>
      </c>
      <c r="Y777">
        <v>0.96</v>
      </c>
      <c r="Z777">
        <v>1.016</v>
      </c>
      <c r="AA777">
        <v>1.091</v>
      </c>
      <c r="AB777">
        <v>1.1020000000000001</v>
      </c>
      <c r="AC777">
        <v>1.145</v>
      </c>
      <c r="AD777">
        <v>1.22</v>
      </c>
      <c r="AE777">
        <v>1.284</v>
      </c>
      <c r="AF777">
        <v>1.2989999999999999</v>
      </c>
      <c r="AG777">
        <v>1.242</v>
      </c>
      <c r="AH777">
        <v>1.2909999999999999</v>
      </c>
      <c r="AI777">
        <v>1.403</v>
      </c>
      <c r="AJ777">
        <v>1.4670000000000001</v>
      </c>
      <c r="AK777">
        <v>1.538</v>
      </c>
      <c r="AL777">
        <v>1.591</v>
      </c>
      <c r="AM777">
        <v>1.5309999999999999</v>
      </c>
      <c r="AN777">
        <v>1.472</v>
      </c>
      <c r="AO777">
        <v>1.444</v>
      </c>
      <c r="AP777">
        <v>1.4319999999999999</v>
      </c>
      <c r="AQ777">
        <v>1.5209999999999999</v>
      </c>
      <c r="AR777">
        <v>1.613</v>
      </c>
      <c r="AS777">
        <v>1.694</v>
      </c>
      <c r="AT777">
        <v>1.7529999999999999</v>
      </c>
      <c r="AU777">
        <v>1.7969999999999999</v>
      </c>
      <c r="AV777">
        <v>1.8420000000000001</v>
      </c>
      <c r="AW777">
        <v>1.889</v>
      </c>
      <c r="AX777">
        <v>1.9359999999999999</v>
      </c>
      <c r="AY777">
        <v>2013</v>
      </c>
    </row>
    <row r="778" spans="1:51" x14ac:dyDescent="0.25">
      <c r="A778">
        <v>361</v>
      </c>
      <c r="B778" t="s">
        <v>774</v>
      </c>
      <c r="C778" t="s">
        <v>286</v>
      </c>
      <c r="D778" t="s">
        <v>187</v>
      </c>
      <c r="E778" t="s">
        <v>287</v>
      </c>
      <c r="F778" t="s">
        <v>288</v>
      </c>
      <c r="G778" t="s">
        <v>282</v>
      </c>
      <c r="H778" t="s">
        <v>283</v>
      </c>
      <c r="I778" t="s">
        <v>775</v>
      </c>
      <c r="J778">
        <v>0.156</v>
      </c>
      <c r="K778">
        <v>0.187</v>
      </c>
      <c r="L778">
        <v>0.21299999999999999</v>
      </c>
      <c r="M778">
        <v>0.21</v>
      </c>
      <c r="N778">
        <v>0.245</v>
      </c>
      <c r="O778">
        <v>0.27300000000000002</v>
      </c>
      <c r="P778">
        <v>0.32100000000000001</v>
      </c>
      <c r="Q778">
        <v>0.36699999999999999</v>
      </c>
      <c r="R778">
        <v>0.435</v>
      </c>
      <c r="S778">
        <v>0.48499999999999999</v>
      </c>
      <c r="T778">
        <v>0.54800000000000004</v>
      </c>
      <c r="U778">
        <v>0.54400000000000004</v>
      </c>
      <c r="V778">
        <v>0.60199999999999998</v>
      </c>
      <c r="W778">
        <v>0.65600000000000003</v>
      </c>
      <c r="X778">
        <v>0.73299999999999998</v>
      </c>
      <c r="Y778">
        <v>0.79</v>
      </c>
      <c r="Z778">
        <v>0.84299999999999997</v>
      </c>
      <c r="AA778">
        <v>0.94799999999999995</v>
      </c>
      <c r="AB778">
        <v>0.98799999999999999</v>
      </c>
      <c r="AC778">
        <v>1.0489999999999999</v>
      </c>
      <c r="AD778">
        <v>1.133</v>
      </c>
      <c r="AE778">
        <v>1.242</v>
      </c>
      <c r="AF778">
        <v>1.2969999999999999</v>
      </c>
      <c r="AG778">
        <v>1.25</v>
      </c>
      <c r="AH778">
        <v>1.353</v>
      </c>
      <c r="AI778">
        <v>1.4670000000000001</v>
      </c>
      <c r="AJ778">
        <v>1.7170000000000001</v>
      </c>
      <c r="AK778">
        <v>1.847</v>
      </c>
      <c r="AL778">
        <v>1.984</v>
      </c>
      <c r="AM778">
        <v>1.9139999999999999</v>
      </c>
      <c r="AN778">
        <v>1.87</v>
      </c>
      <c r="AO778">
        <v>1.966</v>
      </c>
      <c r="AP778">
        <v>1.976</v>
      </c>
      <c r="AQ778">
        <v>2.1259999999999999</v>
      </c>
      <c r="AR778">
        <v>2.3010000000000002</v>
      </c>
      <c r="AS778">
        <v>2.4009999999999998</v>
      </c>
      <c r="AT778">
        <v>2.5110000000000001</v>
      </c>
      <c r="AU778">
        <v>2.629</v>
      </c>
      <c r="AV778">
        <v>2.754</v>
      </c>
      <c r="AW778">
        <v>2.8820000000000001</v>
      </c>
      <c r="AX778">
        <v>3.016</v>
      </c>
      <c r="AY778">
        <v>2013</v>
      </c>
    </row>
    <row r="779" spans="1:51" x14ac:dyDescent="0.25">
      <c r="A779">
        <v>361</v>
      </c>
      <c r="B779" t="s">
        <v>774</v>
      </c>
      <c r="C779" t="s">
        <v>289</v>
      </c>
      <c r="D779" t="s">
        <v>187</v>
      </c>
      <c r="E779" t="s">
        <v>287</v>
      </c>
      <c r="F779" t="s">
        <v>290</v>
      </c>
      <c r="G779" t="s">
        <v>291</v>
      </c>
      <c r="H779" t="s">
        <v>283</v>
      </c>
      <c r="I779" t="s">
        <v>292</v>
      </c>
      <c r="J779">
        <v>5.8000000000000003E-2</v>
      </c>
      <c r="K779">
        <v>6.9000000000000006E-2</v>
      </c>
      <c r="L779">
        <v>7.9000000000000001E-2</v>
      </c>
      <c r="M779">
        <v>7.8E-2</v>
      </c>
      <c r="N779">
        <v>9.0999999999999998E-2</v>
      </c>
      <c r="O779">
        <v>0.10100000000000001</v>
      </c>
      <c r="P779">
        <v>0.11899999999999999</v>
      </c>
      <c r="Q779">
        <v>0.13600000000000001</v>
      </c>
      <c r="R779">
        <v>0.161</v>
      </c>
      <c r="S779">
        <v>0.17899999999999999</v>
      </c>
      <c r="T779">
        <v>0.20300000000000001</v>
      </c>
      <c r="U779">
        <v>0.20100000000000001</v>
      </c>
      <c r="V779">
        <v>0.223</v>
      </c>
      <c r="W779">
        <v>0.24299999999999999</v>
      </c>
      <c r="X779">
        <v>0.27200000000000002</v>
      </c>
      <c r="Y779">
        <v>0.29299999999999998</v>
      </c>
      <c r="Z779">
        <v>0.312</v>
      </c>
      <c r="AA779">
        <v>0.35099999999999998</v>
      </c>
      <c r="AB779">
        <v>0.36599999999999999</v>
      </c>
      <c r="AC779">
        <v>0.38900000000000001</v>
      </c>
      <c r="AD779">
        <v>0.42</v>
      </c>
      <c r="AE779">
        <v>0.46</v>
      </c>
      <c r="AF779">
        <v>0.48</v>
      </c>
      <c r="AG779">
        <v>0.46300000000000002</v>
      </c>
      <c r="AH779">
        <v>0.501</v>
      </c>
      <c r="AI779">
        <v>0.54300000000000004</v>
      </c>
      <c r="AJ779">
        <v>0.63600000000000001</v>
      </c>
      <c r="AK779">
        <v>0.68400000000000005</v>
      </c>
      <c r="AL779">
        <v>0.73499999999999999</v>
      </c>
      <c r="AM779">
        <v>0.70899999999999996</v>
      </c>
      <c r="AN779">
        <v>0.69199999999999995</v>
      </c>
      <c r="AO779">
        <v>0.72799999999999998</v>
      </c>
      <c r="AP779">
        <v>0.73199999999999998</v>
      </c>
      <c r="AQ779">
        <v>0.78700000000000003</v>
      </c>
      <c r="AR779">
        <v>0.85199999999999998</v>
      </c>
      <c r="AS779">
        <v>0.88900000000000001</v>
      </c>
      <c r="AT779">
        <v>0.93</v>
      </c>
      <c r="AU779">
        <v>0.97399999999999998</v>
      </c>
      <c r="AV779">
        <v>1.02</v>
      </c>
      <c r="AW779">
        <v>1.0680000000000001</v>
      </c>
      <c r="AX779">
        <v>1.117</v>
      </c>
      <c r="AY779">
        <v>2013</v>
      </c>
    </row>
    <row r="780" spans="1:51" x14ac:dyDescent="0.25">
      <c r="A780">
        <v>361</v>
      </c>
      <c r="B780" t="s">
        <v>774</v>
      </c>
      <c r="C780" t="s">
        <v>293</v>
      </c>
      <c r="D780" t="s">
        <v>187</v>
      </c>
      <c r="E780" t="s">
        <v>294</v>
      </c>
      <c r="F780" t="s">
        <v>295</v>
      </c>
      <c r="G780" t="s">
        <v>296</v>
      </c>
      <c r="I780" t="s">
        <v>297</v>
      </c>
      <c r="J780">
        <v>35.720999999999997</v>
      </c>
      <c r="K780">
        <v>41.601999999999997</v>
      </c>
      <c r="L780">
        <v>44.762999999999998</v>
      </c>
      <c r="M780">
        <v>45.037999999999997</v>
      </c>
      <c r="N780">
        <v>47.866</v>
      </c>
      <c r="O780">
        <v>50.116</v>
      </c>
      <c r="P780">
        <v>54.152000000000001</v>
      </c>
      <c r="Q780">
        <v>57.218000000000004</v>
      </c>
      <c r="R780">
        <v>61.451000000000001</v>
      </c>
      <c r="S780">
        <v>64.533000000000001</v>
      </c>
      <c r="T780">
        <v>69.203999999999994</v>
      </c>
      <c r="U780">
        <v>67.185000000000002</v>
      </c>
      <c r="V780">
        <v>72.075000000000003</v>
      </c>
      <c r="W780">
        <v>74.554000000000002</v>
      </c>
      <c r="X780">
        <v>79.042000000000002</v>
      </c>
      <c r="Y780">
        <v>82.305999999999997</v>
      </c>
      <c r="Z780">
        <v>82.923000000000002</v>
      </c>
      <c r="AA780">
        <v>86.953999999999994</v>
      </c>
      <c r="AB780">
        <v>89.718000000000004</v>
      </c>
      <c r="AC780">
        <v>91.634</v>
      </c>
      <c r="AD780">
        <v>92.914000000000001</v>
      </c>
      <c r="AE780">
        <v>96.736000000000004</v>
      </c>
      <c r="AF780">
        <v>99.846999999999994</v>
      </c>
      <c r="AG780">
        <v>100.645</v>
      </c>
      <c r="AH780">
        <v>104.82299999999999</v>
      </c>
      <c r="AI780">
        <v>104.498</v>
      </c>
      <c r="AJ780">
        <v>117.032</v>
      </c>
      <c r="AK780">
        <v>120.09</v>
      </c>
      <c r="AL780">
        <v>124.69199999999999</v>
      </c>
      <c r="AM780">
        <v>125.036</v>
      </c>
      <c r="AN780">
        <v>126.997</v>
      </c>
      <c r="AO780">
        <v>136.08600000000001</v>
      </c>
      <c r="AP780">
        <v>137.99700000000001</v>
      </c>
      <c r="AQ780">
        <v>139.768</v>
      </c>
      <c r="AR780">
        <v>142.63999999999999</v>
      </c>
      <c r="AS780">
        <v>141.76900000000001</v>
      </c>
      <c r="AT780">
        <v>143.26300000000001</v>
      </c>
      <c r="AU780">
        <v>146.29499999999999</v>
      </c>
      <c r="AV780">
        <v>149.50700000000001</v>
      </c>
      <c r="AW780">
        <v>152.62799999999999</v>
      </c>
      <c r="AX780">
        <v>155.749</v>
      </c>
      <c r="AY780">
        <v>2013</v>
      </c>
    </row>
    <row r="781" spans="1:51" x14ac:dyDescent="0.25">
      <c r="A781">
        <v>361</v>
      </c>
      <c r="B781" t="s">
        <v>774</v>
      </c>
      <c r="C781" t="s">
        <v>298</v>
      </c>
      <c r="D781" t="s">
        <v>187</v>
      </c>
      <c r="E781" t="s">
        <v>299</v>
      </c>
      <c r="F781" t="s">
        <v>300</v>
      </c>
      <c r="G781" t="s">
        <v>282</v>
      </c>
      <c r="H781" t="s">
        <v>283</v>
      </c>
      <c r="I781" t="s">
        <v>776</v>
      </c>
      <c r="J781">
        <v>7.3999999999999996E-2</v>
      </c>
      <c r="K781">
        <v>6.2E-2</v>
      </c>
      <c r="L781">
        <v>6.2E-2</v>
      </c>
      <c r="M781">
        <v>6.0999999999999999E-2</v>
      </c>
      <c r="N781">
        <v>6.2E-2</v>
      </c>
      <c r="O781">
        <v>7.6999999999999999E-2</v>
      </c>
      <c r="P781">
        <v>8.1000000000000003E-2</v>
      </c>
      <c r="Q781">
        <v>0.14199999999999999</v>
      </c>
      <c r="R781">
        <v>0.125</v>
      </c>
      <c r="S781">
        <v>0.11600000000000001</v>
      </c>
      <c r="T781">
        <v>0.106</v>
      </c>
      <c r="U781">
        <v>9.9000000000000005E-2</v>
      </c>
      <c r="V781">
        <v>0.11899999999999999</v>
      </c>
      <c r="W781">
        <v>0.14000000000000001</v>
      </c>
      <c r="X781">
        <v>0.16300000000000001</v>
      </c>
      <c r="Y781">
        <v>0.187</v>
      </c>
      <c r="Z781">
        <v>0.22600000000000001</v>
      </c>
      <c r="AA781">
        <v>0.25</v>
      </c>
      <c r="AB781">
        <v>0.28799999999999998</v>
      </c>
      <c r="AC781">
        <v>0.35299999999999998</v>
      </c>
      <c r="AD781">
        <v>0.39400000000000002</v>
      </c>
      <c r="AE781">
        <v>0.38500000000000001</v>
      </c>
      <c r="AF781">
        <v>0.51100000000000001</v>
      </c>
      <c r="AG781">
        <v>0.40500000000000003</v>
      </c>
      <c r="AH781">
        <v>0.47099999999999997</v>
      </c>
      <c r="AI781">
        <v>0.51200000000000001</v>
      </c>
      <c r="AJ781">
        <v>0.57499999999999996</v>
      </c>
      <c r="AK781">
        <v>0.61199999999999999</v>
      </c>
      <c r="AL781">
        <v>0.65</v>
      </c>
      <c r="AM781">
        <v>0.66400000000000003</v>
      </c>
      <c r="AN781">
        <v>0.70799999999999996</v>
      </c>
      <c r="AO781">
        <v>0.68300000000000005</v>
      </c>
      <c r="AP781">
        <v>0.62</v>
      </c>
      <c r="AQ781">
        <v>0.70299999999999996</v>
      </c>
      <c r="AR781">
        <v>0.748</v>
      </c>
      <c r="AS781">
        <v>0.77300000000000002</v>
      </c>
      <c r="AT781">
        <v>0.76800000000000002</v>
      </c>
      <c r="AU781">
        <v>0.78700000000000003</v>
      </c>
      <c r="AV781">
        <v>0.81899999999999995</v>
      </c>
      <c r="AW781">
        <v>0.85499999999999998</v>
      </c>
      <c r="AX781">
        <v>0.89</v>
      </c>
      <c r="AY781">
        <v>2013</v>
      </c>
    </row>
    <row r="782" spans="1:51" x14ac:dyDescent="0.25">
      <c r="A782">
        <v>362</v>
      </c>
      <c r="B782" t="s">
        <v>777</v>
      </c>
      <c r="C782" t="s">
        <v>279</v>
      </c>
      <c r="D782" t="s">
        <v>188</v>
      </c>
      <c r="E782" t="s">
        <v>280</v>
      </c>
      <c r="F782" t="s">
        <v>281</v>
      </c>
      <c r="G782" t="s">
        <v>282</v>
      </c>
      <c r="H782" t="s">
        <v>283</v>
      </c>
      <c r="I782" t="s">
        <v>778</v>
      </c>
      <c r="J782">
        <v>0.90700000000000003</v>
      </c>
      <c r="K782">
        <v>0.95299999999999996</v>
      </c>
      <c r="L782">
        <v>0.97299999999999998</v>
      </c>
      <c r="M782">
        <v>1.0129999999999999</v>
      </c>
      <c r="N782">
        <v>1.0940000000000001</v>
      </c>
      <c r="O782">
        <v>1.232</v>
      </c>
      <c r="P782">
        <v>1.4179999999999999</v>
      </c>
      <c r="Q782">
        <v>1.476</v>
      </c>
      <c r="R782">
        <v>1.6870000000000001</v>
      </c>
      <c r="S782">
        <v>1.8420000000000001</v>
      </c>
      <c r="T782">
        <v>1.9850000000000001</v>
      </c>
      <c r="U782">
        <v>1.992</v>
      </c>
      <c r="V782">
        <v>2.1520000000000001</v>
      </c>
      <c r="W782">
        <v>2.1589999999999998</v>
      </c>
      <c r="X782">
        <v>2.194</v>
      </c>
      <c r="Y782">
        <v>2.2309999999999999</v>
      </c>
      <c r="Z782">
        <v>2.2949999999999999</v>
      </c>
      <c r="AA782">
        <v>2.2759999999999998</v>
      </c>
      <c r="AB782">
        <v>2.4209999999999998</v>
      </c>
      <c r="AC782">
        <v>2.4860000000000002</v>
      </c>
      <c r="AD782">
        <v>2.472</v>
      </c>
      <c r="AE782">
        <v>2.3820000000000001</v>
      </c>
      <c r="AF782">
        <v>2.383</v>
      </c>
      <c r="AG782">
        <v>2.4969999999999999</v>
      </c>
      <c r="AH782">
        <v>2.7029999999999998</v>
      </c>
      <c r="AI782">
        <v>2.681</v>
      </c>
      <c r="AJ782">
        <v>2.9020000000000001</v>
      </c>
      <c r="AK782">
        <v>2.92</v>
      </c>
      <c r="AL782">
        <v>3.0009999999999999</v>
      </c>
      <c r="AM782">
        <v>2.988</v>
      </c>
      <c r="AN782">
        <v>2.9359999999999999</v>
      </c>
      <c r="AO782">
        <v>2.9569999999999999</v>
      </c>
      <c r="AP782">
        <v>2.9260000000000002</v>
      </c>
      <c r="AQ782">
        <v>2.93</v>
      </c>
      <c r="AR782">
        <v>2.9430000000000001</v>
      </c>
      <c r="AS782">
        <v>2.9950000000000001</v>
      </c>
      <c r="AT782">
        <v>3.0379999999999998</v>
      </c>
      <c r="AU782">
        <v>3.0939999999999999</v>
      </c>
      <c r="AV782">
        <v>3.157</v>
      </c>
      <c r="AW782">
        <v>3.2280000000000002</v>
      </c>
      <c r="AX782">
        <v>3.2989999999999999</v>
      </c>
      <c r="AY782">
        <v>2014</v>
      </c>
    </row>
    <row r="783" spans="1:51" x14ac:dyDescent="0.25">
      <c r="A783">
        <v>362</v>
      </c>
      <c r="B783" t="s">
        <v>777</v>
      </c>
      <c r="C783" t="s">
        <v>286</v>
      </c>
      <c r="D783" t="s">
        <v>188</v>
      </c>
      <c r="E783" t="s">
        <v>287</v>
      </c>
      <c r="F783" t="s">
        <v>288</v>
      </c>
      <c r="G783" t="s">
        <v>282</v>
      </c>
      <c r="H783" t="s">
        <v>283</v>
      </c>
      <c r="I783" t="s">
        <v>778</v>
      </c>
      <c r="J783">
        <v>0.39</v>
      </c>
      <c r="K783">
        <v>0.44500000000000001</v>
      </c>
      <c r="L783">
        <v>0.42</v>
      </c>
      <c r="M783">
        <v>0.45200000000000001</v>
      </c>
      <c r="N783">
        <v>0.57599999999999996</v>
      </c>
      <c r="O783">
        <v>0.65100000000000002</v>
      </c>
      <c r="P783">
        <v>0.78200000000000003</v>
      </c>
      <c r="Q783">
        <v>0.86399999999999999</v>
      </c>
      <c r="R783">
        <v>0.99</v>
      </c>
      <c r="S783">
        <v>1.1220000000000001</v>
      </c>
      <c r="T783">
        <v>1.3069999999999999</v>
      </c>
      <c r="U783">
        <v>1.387</v>
      </c>
      <c r="V783">
        <v>1.5309999999999999</v>
      </c>
      <c r="W783">
        <v>1.552</v>
      </c>
      <c r="X783">
        <v>1.62</v>
      </c>
      <c r="Y783">
        <v>1.7290000000000001</v>
      </c>
      <c r="Z783">
        <v>1.788</v>
      </c>
      <c r="AA783">
        <v>1.8280000000000001</v>
      </c>
      <c r="AB783">
        <v>1.9910000000000001</v>
      </c>
      <c r="AC783">
        <v>2.0950000000000002</v>
      </c>
      <c r="AD783">
        <v>2.117</v>
      </c>
      <c r="AE783">
        <v>2.004</v>
      </c>
      <c r="AF783">
        <v>2.0139999999999998</v>
      </c>
      <c r="AG783">
        <v>2.1869999999999998</v>
      </c>
      <c r="AH783">
        <v>2.4049999999999998</v>
      </c>
      <c r="AI783">
        <v>2.556</v>
      </c>
      <c r="AJ783">
        <v>2.9020000000000001</v>
      </c>
      <c r="AK783">
        <v>3.1680000000000001</v>
      </c>
      <c r="AL783">
        <v>3.2250000000000001</v>
      </c>
      <c r="AM783">
        <v>3.2040000000000002</v>
      </c>
      <c r="AN783">
        <v>3.3740000000000001</v>
      </c>
      <c r="AO783">
        <v>3.4830000000000001</v>
      </c>
      <c r="AP783">
        <v>3.54</v>
      </c>
      <c r="AQ783">
        <v>3.6030000000000002</v>
      </c>
      <c r="AR783">
        <v>3.7919999999999998</v>
      </c>
      <c r="AS783">
        <v>3.8820000000000001</v>
      </c>
      <c r="AT783">
        <v>4.0449999999999999</v>
      </c>
      <c r="AU783">
        <v>4.2249999999999996</v>
      </c>
      <c r="AV783">
        <v>4.4059999999999997</v>
      </c>
      <c r="AW783">
        <v>4.5970000000000004</v>
      </c>
      <c r="AX783">
        <v>4.7699999999999996</v>
      </c>
      <c r="AY783">
        <v>2014</v>
      </c>
    </row>
    <row r="784" spans="1:51" x14ac:dyDescent="0.25">
      <c r="A784">
        <v>362</v>
      </c>
      <c r="B784" t="s">
        <v>777</v>
      </c>
      <c r="C784" t="s">
        <v>289</v>
      </c>
      <c r="D784" t="s">
        <v>188</v>
      </c>
      <c r="E784" t="s">
        <v>287</v>
      </c>
      <c r="F784" t="s">
        <v>290</v>
      </c>
      <c r="G784" t="s">
        <v>291</v>
      </c>
      <c r="H784" t="s">
        <v>283</v>
      </c>
      <c r="I784" t="s">
        <v>292</v>
      </c>
      <c r="J784">
        <v>0.14399999999999999</v>
      </c>
      <c r="K784">
        <v>0.16500000000000001</v>
      </c>
      <c r="L784">
        <v>0.155</v>
      </c>
      <c r="M784">
        <v>0.16700000000000001</v>
      </c>
      <c r="N784">
        <v>0.21299999999999999</v>
      </c>
      <c r="O784">
        <v>0.24099999999999999</v>
      </c>
      <c r="P784">
        <v>0.28999999999999998</v>
      </c>
      <c r="Q784">
        <v>0.32</v>
      </c>
      <c r="R784">
        <v>0.36699999999999999</v>
      </c>
      <c r="S784">
        <v>0.41599999999999998</v>
      </c>
      <c r="T784">
        <v>0.48399999999999999</v>
      </c>
      <c r="U784">
        <v>0.51400000000000001</v>
      </c>
      <c r="V784">
        <v>0.56699999999999995</v>
      </c>
      <c r="W784">
        <v>0.57499999999999996</v>
      </c>
      <c r="X784">
        <v>0.6</v>
      </c>
      <c r="Y784">
        <v>0.64</v>
      </c>
      <c r="Z784">
        <v>0.66200000000000003</v>
      </c>
      <c r="AA784">
        <v>0.67700000000000005</v>
      </c>
      <c r="AB784">
        <v>0.73799999999999999</v>
      </c>
      <c r="AC784">
        <v>0.77600000000000002</v>
      </c>
      <c r="AD784">
        <v>0.78400000000000003</v>
      </c>
      <c r="AE784">
        <v>0.74199999999999999</v>
      </c>
      <c r="AF784">
        <v>0.746</v>
      </c>
      <c r="AG784">
        <v>0.81</v>
      </c>
      <c r="AH784">
        <v>0.89100000000000001</v>
      </c>
      <c r="AI784">
        <v>0.94699999999999995</v>
      </c>
      <c r="AJ784">
        <v>1.075</v>
      </c>
      <c r="AK784">
        <v>1.173</v>
      </c>
      <c r="AL784">
        <v>1.194</v>
      </c>
      <c r="AM784">
        <v>1.1870000000000001</v>
      </c>
      <c r="AN784">
        <v>1.2490000000000001</v>
      </c>
      <c r="AO784">
        <v>1.29</v>
      </c>
      <c r="AP784">
        <v>1.3109999999999999</v>
      </c>
      <c r="AQ784">
        <v>1.3340000000000001</v>
      </c>
      <c r="AR784">
        <v>1.4039999999999999</v>
      </c>
      <c r="AS784">
        <v>1.4379999999999999</v>
      </c>
      <c r="AT784">
        <v>1.498</v>
      </c>
      <c r="AU784">
        <v>1.5649999999999999</v>
      </c>
      <c r="AV784">
        <v>1.6319999999999999</v>
      </c>
      <c r="AW784">
        <v>1.702</v>
      </c>
      <c r="AX784">
        <v>1.7669999999999999</v>
      </c>
      <c r="AY784">
        <v>2014</v>
      </c>
    </row>
    <row r="785" spans="1:51" x14ac:dyDescent="0.25">
      <c r="A785">
        <v>362</v>
      </c>
      <c r="B785" t="s">
        <v>777</v>
      </c>
      <c r="C785" t="s">
        <v>293</v>
      </c>
      <c r="D785" t="s">
        <v>188</v>
      </c>
      <c r="E785" t="s">
        <v>294</v>
      </c>
      <c r="F785" t="s">
        <v>295</v>
      </c>
      <c r="G785" t="s">
        <v>296</v>
      </c>
      <c r="I785" t="s">
        <v>297</v>
      </c>
      <c r="J785">
        <v>42.993000000000002</v>
      </c>
      <c r="K785">
        <v>46.686</v>
      </c>
      <c r="L785">
        <v>43.116999999999997</v>
      </c>
      <c r="M785">
        <v>44.588000000000001</v>
      </c>
      <c r="N785">
        <v>52.65</v>
      </c>
      <c r="O785">
        <v>52.892000000000003</v>
      </c>
      <c r="P785">
        <v>55.148000000000003</v>
      </c>
      <c r="Q785">
        <v>58.533000000000001</v>
      </c>
      <c r="R785">
        <v>58.673999999999999</v>
      </c>
      <c r="S785">
        <v>60.905999999999999</v>
      </c>
      <c r="T785">
        <v>65.83</v>
      </c>
      <c r="U785">
        <v>69.62</v>
      </c>
      <c r="V785">
        <v>71.108999999999995</v>
      </c>
      <c r="W785">
        <v>71.887</v>
      </c>
      <c r="X785">
        <v>73.852999999999994</v>
      </c>
      <c r="Y785">
        <v>77.515000000000001</v>
      </c>
      <c r="Z785">
        <v>77.89</v>
      </c>
      <c r="AA785">
        <v>80.293999999999997</v>
      </c>
      <c r="AB785">
        <v>82.241</v>
      </c>
      <c r="AC785">
        <v>84.268000000000001</v>
      </c>
      <c r="AD785">
        <v>85.647000000000006</v>
      </c>
      <c r="AE785">
        <v>84.14</v>
      </c>
      <c r="AF785">
        <v>84.516999999999996</v>
      </c>
      <c r="AG785">
        <v>87.582999999999998</v>
      </c>
      <c r="AH785">
        <v>88.992999999999995</v>
      </c>
      <c r="AI785">
        <v>95.33</v>
      </c>
      <c r="AJ785">
        <v>100</v>
      </c>
      <c r="AK785">
        <v>108.503</v>
      </c>
      <c r="AL785">
        <v>107.458</v>
      </c>
      <c r="AM785">
        <v>107.252</v>
      </c>
      <c r="AN785">
        <v>114.89100000000001</v>
      </c>
      <c r="AO785">
        <v>117.791</v>
      </c>
      <c r="AP785">
        <v>120.996</v>
      </c>
      <c r="AQ785">
        <v>122.971</v>
      </c>
      <c r="AR785">
        <v>128.839</v>
      </c>
      <c r="AS785">
        <v>129.63399999999999</v>
      </c>
      <c r="AT785">
        <v>133.16300000000001</v>
      </c>
      <c r="AU785">
        <v>136.58000000000001</v>
      </c>
      <c r="AV785">
        <v>139.577</v>
      </c>
      <c r="AW785">
        <v>142.41499999999999</v>
      </c>
      <c r="AX785">
        <v>144.59700000000001</v>
      </c>
      <c r="AY785">
        <v>2014</v>
      </c>
    </row>
    <row r="786" spans="1:51" x14ac:dyDescent="0.25">
      <c r="A786">
        <v>362</v>
      </c>
      <c r="B786" t="s">
        <v>777</v>
      </c>
      <c r="C786" t="s">
        <v>298</v>
      </c>
      <c r="D786" t="s">
        <v>188</v>
      </c>
      <c r="E786" t="s">
        <v>299</v>
      </c>
      <c r="F786" t="s">
        <v>300</v>
      </c>
      <c r="G786" t="s">
        <v>282</v>
      </c>
      <c r="H786" t="s">
        <v>283</v>
      </c>
      <c r="I786" t="s">
        <v>779</v>
      </c>
      <c r="J786" t="s">
        <v>285</v>
      </c>
      <c r="K786" t="s">
        <v>285</v>
      </c>
      <c r="L786" t="s">
        <v>285</v>
      </c>
      <c r="M786" t="s">
        <v>285</v>
      </c>
      <c r="N786" t="s">
        <v>285</v>
      </c>
      <c r="O786">
        <v>0.16400000000000001</v>
      </c>
      <c r="P786">
        <v>0.19900000000000001</v>
      </c>
      <c r="Q786">
        <v>0.20899999999999999</v>
      </c>
      <c r="R786">
        <v>0.218</v>
      </c>
      <c r="S786">
        <v>0.26200000000000001</v>
      </c>
      <c r="T786">
        <v>0.26200000000000001</v>
      </c>
      <c r="U786">
        <v>0.30499999999999999</v>
      </c>
      <c r="V786">
        <v>0.33400000000000002</v>
      </c>
      <c r="W786">
        <v>0.40200000000000002</v>
      </c>
      <c r="X786">
        <v>0.36699999999999999</v>
      </c>
      <c r="Y786">
        <v>0.39500000000000002</v>
      </c>
      <c r="Z786">
        <v>0.40300000000000002</v>
      </c>
      <c r="AA786">
        <v>0.42299999999999999</v>
      </c>
      <c r="AB786">
        <v>0.44500000000000001</v>
      </c>
      <c r="AC786">
        <v>0.52100000000000002</v>
      </c>
      <c r="AD786">
        <v>0.52100000000000002</v>
      </c>
      <c r="AE786">
        <v>0.53200000000000003</v>
      </c>
      <c r="AF786">
        <v>0.57199999999999995</v>
      </c>
      <c r="AG786">
        <v>0.61099999999999999</v>
      </c>
      <c r="AH786">
        <v>0.65800000000000003</v>
      </c>
      <c r="AI786">
        <v>0.79700000000000004</v>
      </c>
      <c r="AJ786">
        <v>0.84599999999999997</v>
      </c>
      <c r="AK786">
        <v>0.81100000000000005</v>
      </c>
      <c r="AL786">
        <v>0.85699999999999998</v>
      </c>
      <c r="AM786">
        <v>0.92800000000000005</v>
      </c>
      <c r="AN786">
        <v>1.0409999999999999</v>
      </c>
      <c r="AO786">
        <v>1.143</v>
      </c>
      <c r="AP786">
        <v>1.208</v>
      </c>
      <c r="AQ786">
        <v>1.1399999999999999</v>
      </c>
      <c r="AR786">
        <v>1.109</v>
      </c>
      <c r="AS786">
        <v>1.1559999999999999</v>
      </c>
      <c r="AT786">
        <v>1.206</v>
      </c>
      <c r="AU786">
        <v>1.262</v>
      </c>
      <c r="AV786">
        <v>1.319</v>
      </c>
      <c r="AW786">
        <v>1.3779999999999999</v>
      </c>
      <c r="AX786">
        <v>1.4370000000000001</v>
      </c>
      <c r="AY786">
        <v>2014</v>
      </c>
    </row>
    <row r="787" spans="1:51" x14ac:dyDescent="0.25">
      <c r="A787">
        <v>364</v>
      </c>
      <c r="B787" t="s">
        <v>780</v>
      </c>
      <c r="C787" t="s">
        <v>279</v>
      </c>
      <c r="D787" t="s">
        <v>189</v>
      </c>
      <c r="E787" t="s">
        <v>280</v>
      </c>
      <c r="F787" t="s">
        <v>281</v>
      </c>
      <c r="G787" t="s">
        <v>282</v>
      </c>
      <c r="H787" t="s">
        <v>283</v>
      </c>
      <c r="I787" t="s">
        <v>781</v>
      </c>
      <c r="J787">
        <v>0.499</v>
      </c>
      <c r="K787">
        <v>0.51900000000000002</v>
      </c>
      <c r="L787">
        <v>0.53200000000000003</v>
      </c>
      <c r="M787">
        <v>0.54900000000000004</v>
      </c>
      <c r="N787">
        <v>0.57799999999999996</v>
      </c>
      <c r="O787">
        <v>0.60299999999999998</v>
      </c>
      <c r="P787">
        <v>0.63600000000000001</v>
      </c>
      <c r="Q787">
        <v>0.64</v>
      </c>
      <c r="R787">
        <v>0.72399999999999998</v>
      </c>
      <c r="S787">
        <v>0.748</v>
      </c>
      <c r="T787">
        <v>0.78400000000000003</v>
      </c>
      <c r="U787">
        <v>0.80100000000000005</v>
      </c>
      <c r="V787">
        <v>0.85799999999999998</v>
      </c>
      <c r="W787">
        <v>0.88900000000000001</v>
      </c>
      <c r="X787">
        <v>0.878</v>
      </c>
      <c r="Y787">
        <v>0.93799999999999994</v>
      </c>
      <c r="Z787">
        <v>0.94799999999999995</v>
      </c>
      <c r="AA787">
        <v>0.98299999999999998</v>
      </c>
      <c r="AB787">
        <v>1.0269999999999999</v>
      </c>
      <c r="AC787">
        <v>1.0489999999999999</v>
      </c>
      <c r="AD787">
        <v>1.0680000000000001</v>
      </c>
      <c r="AE787">
        <v>1.0860000000000001</v>
      </c>
      <c r="AF787">
        <v>1.1519999999999999</v>
      </c>
      <c r="AG787">
        <v>1.2370000000000001</v>
      </c>
      <c r="AH787">
        <v>1.294</v>
      </c>
      <c r="AI787">
        <v>1.333</v>
      </c>
      <c r="AJ787">
        <v>1.413</v>
      </c>
      <c r="AK787">
        <v>1.456</v>
      </c>
      <c r="AL787">
        <v>1.4490000000000001</v>
      </c>
      <c r="AM787">
        <v>1.42</v>
      </c>
      <c r="AN787">
        <v>1.3859999999999999</v>
      </c>
      <c r="AO787">
        <v>1.39</v>
      </c>
      <c r="AP787">
        <v>1.4079999999999999</v>
      </c>
      <c r="AQ787">
        <v>1.44</v>
      </c>
      <c r="AR787">
        <v>1.4370000000000001</v>
      </c>
      <c r="AS787">
        <v>1.468</v>
      </c>
      <c r="AT787">
        <v>1.504</v>
      </c>
      <c r="AU787">
        <v>1.5469999999999999</v>
      </c>
      <c r="AV787">
        <v>1.593</v>
      </c>
      <c r="AW787">
        <v>1.641</v>
      </c>
      <c r="AX787">
        <v>1.6910000000000001</v>
      </c>
      <c r="AY787">
        <v>2014</v>
      </c>
    </row>
    <row r="788" spans="1:51" x14ac:dyDescent="0.25">
      <c r="A788">
        <v>364</v>
      </c>
      <c r="B788" t="s">
        <v>780</v>
      </c>
      <c r="C788" t="s">
        <v>286</v>
      </c>
      <c r="D788" t="s">
        <v>189</v>
      </c>
      <c r="E788" t="s">
        <v>287</v>
      </c>
      <c r="F788" t="s">
        <v>288</v>
      </c>
      <c r="G788" t="s">
        <v>282</v>
      </c>
      <c r="H788" t="s">
        <v>283</v>
      </c>
      <c r="I788" t="s">
        <v>781</v>
      </c>
      <c r="J788">
        <v>0.222</v>
      </c>
      <c r="K788">
        <v>0.27600000000000002</v>
      </c>
      <c r="L788">
        <v>0.307</v>
      </c>
      <c r="M788">
        <v>0.33</v>
      </c>
      <c r="N788">
        <v>0.36499999999999999</v>
      </c>
      <c r="O788">
        <v>0.39300000000000002</v>
      </c>
      <c r="P788">
        <v>0.434</v>
      </c>
      <c r="Q788">
        <v>0.47399999999999998</v>
      </c>
      <c r="R788">
        <v>0.54200000000000004</v>
      </c>
      <c r="S788">
        <v>0.57999999999999996</v>
      </c>
      <c r="T788">
        <v>0.64900000000000002</v>
      </c>
      <c r="U788">
        <v>0.68799999999999994</v>
      </c>
      <c r="V788">
        <v>0.75</v>
      </c>
      <c r="W788">
        <v>0.77300000000000002</v>
      </c>
      <c r="X788">
        <v>0.78100000000000003</v>
      </c>
      <c r="Y788">
        <v>0.85299999999999998</v>
      </c>
      <c r="Z788">
        <v>0.89500000000000002</v>
      </c>
      <c r="AA788">
        <v>0.93899999999999995</v>
      </c>
      <c r="AB788">
        <v>1.0089999999999999</v>
      </c>
      <c r="AC788">
        <v>1.0549999999999999</v>
      </c>
      <c r="AD788">
        <v>1.07</v>
      </c>
      <c r="AE788">
        <v>1.161</v>
      </c>
      <c r="AF788">
        <v>1.2470000000000001</v>
      </c>
      <c r="AG788">
        <v>1.3009999999999999</v>
      </c>
      <c r="AH788">
        <v>1.409</v>
      </c>
      <c r="AI788">
        <v>1.4870000000000001</v>
      </c>
      <c r="AJ788">
        <v>1.649</v>
      </c>
      <c r="AK788">
        <v>1.7589999999999999</v>
      </c>
      <c r="AL788">
        <v>1.8779999999999999</v>
      </c>
      <c r="AM788">
        <v>1.8220000000000001</v>
      </c>
      <c r="AN788">
        <v>1.839</v>
      </c>
      <c r="AO788">
        <v>1.8260000000000001</v>
      </c>
      <c r="AP788">
        <v>1.871</v>
      </c>
      <c r="AQ788">
        <v>1.946</v>
      </c>
      <c r="AR788">
        <v>1.9690000000000001</v>
      </c>
      <c r="AS788">
        <v>2.0670000000000002</v>
      </c>
      <c r="AT788">
        <v>2.145</v>
      </c>
      <c r="AU788">
        <v>2.2349999999999999</v>
      </c>
      <c r="AV788">
        <v>2.3370000000000002</v>
      </c>
      <c r="AW788">
        <v>2.4449999999999998</v>
      </c>
      <c r="AX788">
        <v>2.5499999999999998</v>
      </c>
      <c r="AY788">
        <v>2014</v>
      </c>
    </row>
    <row r="789" spans="1:51" x14ac:dyDescent="0.25">
      <c r="A789">
        <v>364</v>
      </c>
      <c r="B789" t="s">
        <v>780</v>
      </c>
      <c r="C789" t="s">
        <v>289</v>
      </c>
      <c r="D789" t="s">
        <v>189</v>
      </c>
      <c r="E789" t="s">
        <v>287</v>
      </c>
      <c r="F789" t="s">
        <v>290</v>
      </c>
      <c r="G789" t="s">
        <v>291</v>
      </c>
      <c r="H789" t="s">
        <v>283</v>
      </c>
      <c r="I789" t="s">
        <v>292</v>
      </c>
      <c r="J789">
        <v>8.2000000000000003E-2</v>
      </c>
      <c r="K789">
        <v>0.10199999999999999</v>
      </c>
      <c r="L789">
        <v>0.114</v>
      </c>
      <c r="M789">
        <v>0.122</v>
      </c>
      <c r="N789">
        <v>0.13500000000000001</v>
      </c>
      <c r="O789">
        <v>0.14599999999999999</v>
      </c>
      <c r="P789">
        <v>0.161</v>
      </c>
      <c r="Q789">
        <v>0.17599999999999999</v>
      </c>
      <c r="R789">
        <v>0.20100000000000001</v>
      </c>
      <c r="S789">
        <v>0.215</v>
      </c>
      <c r="T789">
        <v>0.24</v>
      </c>
      <c r="U789">
        <v>0.255</v>
      </c>
      <c r="V789">
        <v>0.27800000000000002</v>
      </c>
      <c r="W789">
        <v>0.28599999999999998</v>
      </c>
      <c r="X789">
        <v>0.28899999999999998</v>
      </c>
      <c r="Y789">
        <v>0.316</v>
      </c>
      <c r="Z789">
        <v>0.33100000000000002</v>
      </c>
      <c r="AA789">
        <v>0.34799999999999998</v>
      </c>
      <c r="AB789">
        <v>0.374</v>
      </c>
      <c r="AC789">
        <v>0.39100000000000001</v>
      </c>
      <c r="AD789">
        <v>0.39600000000000002</v>
      </c>
      <c r="AE789">
        <v>0.43</v>
      </c>
      <c r="AF789">
        <v>0.46200000000000002</v>
      </c>
      <c r="AG789">
        <v>0.48199999999999998</v>
      </c>
      <c r="AH789">
        <v>0.52200000000000002</v>
      </c>
      <c r="AI789">
        <v>0.55100000000000005</v>
      </c>
      <c r="AJ789">
        <v>0.61099999999999999</v>
      </c>
      <c r="AK789">
        <v>0.65100000000000002</v>
      </c>
      <c r="AL789">
        <v>0.69499999999999995</v>
      </c>
      <c r="AM789">
        <v>0.67500000000000004</v>
      </c>
      <c r="AN789">
        <v>0.68100000000000005</v>
      </c>
      <c r="AO789">
        <v>0.67600000000000005</v>
      </c>
      <c r="AP789">
        <v>0.69299999999999995</v>
      </c>
      <c r="AQ789">
        <v>0.72099999999999997</v>
      </c>
      <c r="AR789">
        <v>0.72899999999999998</v>
      </c>
      <c r="AS789">
        <v>0.76500000000000001</v>
      </c>
      <c r="AT789">
        <v>0.79400000000000004</v>
      </c>
      <c r="AU789">
        <v>0.82799999999999996</v>
      </c>
      <c r="AV789">
        <v>0.86599999999999999</v>
      </c>
      <c r="AW789">
        <v>0.90500000000000003</v>
      </c>
      <c r="AX789">
        <v>0.94399999999999995</v>
      </c>
      <c r="AY789">
        <v>2014</v>
      </c>
    </row>
    <row r="790" spans="1:51" x14ac:dyDescent="0.25">
      <c r="A790">
        <v>364</v>
      </c>
      <c r="B790" t="s">
        <v>780</v>
      </c>
      <c r="C790" t="s">
        <v>293</v>
      </c>
      <c r="D790" t="s">
        <v>189</v>
      </c>
      <c r="E790" t="s">
        <v>294</v>
      </c>
      <c r="F790" t="s">
        <v>295</v>
      </c>
      <c r="G790" t="s">
        <v>296</v>
      </c>
      <c r="I790" t="s">
        <v>297</v>
      </c>
      <c r="J790">
        <v>44.527000000000001</v>
      </c>
      <c r="K790">
        <v>53.143000000000001</v>
      </c>
      <c r="L790">
        <v>57.731000000000002</v>
      </c>
      <c r="M790">
        <v>60.109000000000002</v>
      </c>
      <c r="N790">
        <v>63.043999999999997</v>
      </c>
      <c r="O790">
        <v>65.215999999999994</v>
      </c>
      <c r="P790">
        <v>68.331000000000003</v>
      </c>
      <c r="Q790">
        <v>74.108999999999995</v>
      </c>
      <c r="R790">
        <v>74.864000000000004</v>
      </c>
      <c r="S790">
        <v>77.552999999999997</v>
      </c>
      <c r="T790">
        <v>82.825000000000003</v>
      </c>
      <c r="U790">
        <v>85.902000000000001</v>
      </c>
      <c r="V790">
        <v>87.488</v>
      </c>
      <c r="W790">
        <v>86.995000000000005</v>
      </c>
      <c r="X790">
        <v>88.983000000000004</v>
      </c>
      <c r="Y790">
        <v>90.968000000000004</v>
      </c>
      <c r="Z790">
        <v>94.423000000000002</v>
      </c>
      <c r="AA790">
        <v>95.489000000000004</v>
      </c>
      <c r="AB790">
        <v>98.206999999999994</v>
      </c>
      <c r="AC790">
        <v>100.58199999999999</v>
      </c>
      <c r="AD790">
        <v>100.203</v>
      </c>
      <c r="AE790">
        <v>106.965</v>
      </c>
      <c r="AF790">
        <v>108.253</v>
      </c>
      <c r="AG790">
        <v>105.196</v>
      </c>
      <c r="AH790">
        <v>108.94499999999999</v>
      </c>
      <c r="AI790">
        <v>111.572</v>
      </c>
      <c r="AJ790">
        <v>116.72499999999999</v>
      </c>
      <c r="AK790">
        <v>120.842</v>
      </c>
      <c r="AL790">
        <v>129.62200000000001</v>
      </c>
      <c r="AM790">
        <v>128.36699999999999</v>
      </c>
      <c r="AN790">
        <v>132.67400000000001</v>
      </c>
      <c r="AO790">
        <v>131.363</v>
      </c>
      <c r="AP790">
        <v>132.90100000000001</v>
      </c>
      <c r="AQ790">
        <v>135.089</v>
      </c>
      <c r="AR790">
        <v>137.05000000000001</v>
      </c>
      <c r="AS790">
        <v>140.83000000000001</v>
      </c>
      <c r="AT790">
        <v>142.601</v>
      </c>
      <c r="AU790">
        <v>144.47900000000001</v>
      </c>
      <c r="AV790">
        <v>146.684</v>
      </c>
      <c r="AW790">
        <v>148.935</v>
      </c>
      <c r="AX790">
        <v>150.75700000000001</v>
      </c>
      <c r="AY790">
        <v>2014</v>
      </c>
    </row>
    <row r="791" spans="1:51" x14ac:dyDescent="0.25">
      <c r="A791">
        <v>364</v>
      </c>
      <c r="B791" t="s">
        <v>780</v>
      </c>
      <c r="C791" t="s">
        <v>298</v>
      </c>
      <c r="D791" t="s">
        <v>189</v>
      </c>
      <c r="E791" t="s">
        <v>299</v>
      </c>
      <c r="F791" t="s">
        <v>300</v>
      </c>
      <c r="G791" t="s">
        <v>282</v>
      </c>
      <c r="H791" t="s">
        <v>283</v>
      </c>
      <c r="I791" t="s">
        <v>782</v>
      </c>
      <c r="J791">
        <v>0.05</v>
      </c>
      <c r="K791">
        <v>6.5000000000000002E-2</v>
      </c>
      <c r="L791">
        <v>7.0000000000000007E-2</v>
      </c>
      <c r="M791">
        <v>7.9000000000000001E-2</v>
      </c>
      <c r="N791">
        <v>8.3000000000000004E-2</v>
      </c>
      <c r="O791">
        <v>8.4000000000000005E-2</v>
      </c>
      <c r="P791">
        <v>9.9000000000000005E-2</v>
      </c>
      <c r="Q791">
        <v>0.11700000000000001</v>
      </c>
      <c r="R791">
        <v>0.14199999999999999</v>
      </c>
      <c r="S791">
        <v>0.16800000000000001</v>
      </c>
      <c r="T791">
        <v>0.16200000000000001</v>
      </c>
      <c r="U791">
        <v>0.189</v>
      </c>
      <c r="V791">
        <v>0.20499999999999999</v>
      </c>
      <c r="W791">
        <v>0.186</v>
      </c>
      <c r="X791">
        <v>0.188</v>
      </c>
      <c r="Y791">
        <v>0.183</v>
      </c>
      <c r="Z791">
        <v>0.20200000000000001</v>
      </c>
      <c r="AA791">
        <v>0.26400000000000001</v>
      </c>
      <c r="AB791">
        <v>0.27400000000000002</v>
      </c>
      <c r="AC791">
        <v>0.28699999999999998</v>
      </c>
      <c r="AD791">
        <v>0.27500000000000002</v>
      </c>
      <c r="AE791">
        <v>0.30399999999999999</v>
      </c>
      <c r="AF791">
        <v>0.33900000000000002</v>
      </c>
      <c r="AG791">
        <v>0.35699999999999998</v>
      </c>
      <c r="AH791">
        <v>0.36899999999999999</v>
      </c>
      <c r="AI791">
        <v>0.41799999999999998</v>
      </c>
      <c r="AJ791">
        <v>0.45300000000000001</v>
      </c>
      <c r="AK791">
        <v>0.52300000000000002</v>
      </c>
      <c r="AL791">
        <v>0.56000000000000005</v>
      </c>
      <c r="AM791">
        <v>0.59799999999999998</v>
      </c>
      <c r="AN791">
        <v>0.60399999999999998</v>
      </c>
      <c r="AO791">
        <v>0.63</v>
      </c>
      <c r="AP791">
        <v>0.53800000000000003</v>
      </c>
      <c r="AQ791">
        <v>0.60899999999999999</v>
      </c>
      <c r="AR791">
        <v>0.63300000000000001</v>
      </c>
      <c r="AS791">
        <v>0.66600000000000004</v>
      </c>
      <c r="AT791">
        <v>0.67200000000000004</v>
      </c>
      <c r="AU791">
        <v>0.67400000000000004</v>
      </c>
      <c r="AV791">
        <v>0.68700000000000006</v>
      </c>
      <c r="AW791">
        <v>0.71499999999999997</v>
      </c>
      <c r="AX791">
        <v>0.74399999999999999</v>
      </c>
      <c r="AY791">
        <v>2014</v>
      </c>
    </row>
    <row r="792" spans="1:51" x14ac:dyDescent="0.25">
      <c r="A792">
        <v>732</v>
      </c>
      <c r="B792" t="s">
        <v>783</v>
      </c>
      <c r="C792" t="s">
        <v>279</v>
      </c>
      <c r="D792" t="s">
        <v>206</v>
      </c>
      <c r="E792" t="s">
        <v>280</v>
      </c>
      <c r="F792" t="s">
        <v>281</v>
      </c>
      <c r="G792" t="s">
        <v>282</v>
      </c>
      <c r="H792" t="s">
        <v>283</v>
      </c>
      <c r="I792" t="s">
        <v>784</v>
      </c>
      <c r="J792">
        <v>12.612</v>
      </c>
      <c r="K792">
        <v>13.409000000000001</v>
      </c>
      <c r="L792">
        <v>13.962999999999999</v>
      </c>
      <c r="M792">
        <v>13.752000000000001</v>
      </c>
      <c r="N792">
        <v>12.978</v>
      </c>
      <c r="O792">
        <v>12.897</v>
      </c>
      <c r="P792">
        <v>14.178000000000001</v>
      </c>
      <c r="Q792">
        <v>15.093999999999999</v>
      </c>
      <c r="R792">
        <v>15.753</v>
      </c>
      <c r="S792">
        <v>15.976000000000001</v>
      </c>
      <c r="T792">
        <v>15.705</v>
      </c>
      <c r="U792">
        <v>17.260999999999999</v>
      </c>
      <c r="V792">
        <v>16.577000000000002</v>
      </c>
      <c r="W792">
        <v>17.600000000000001</v>
      </c>
      <c r="X792">
        <v>17.957000000000001</v>
      </c>
      <c r="Y792">
        <v>18.498000000000001</v>
      </c>
      <c r="Z792">
        <v>19.667999999999999</v>
      </c>
      <c r="AA792">
        <v>31.901</v>
      </c>
      <c r="AB792">
        <v>39.151000000000003</v>
      </c>
      <c r="AC792">
        <v>47.875</v>
      </c>
      <c r="AD792">
        <v>59.192</v>
      </c>
      <c r="AE792">
        <v>63.91</v>
      </c>
      <c r="AF792">
        <v>67.576999999999998</v>
      </c>
      <c r="AG792">
        <v>73.141000000000005</v>
      </c>
      <c r="AH792">
        <v>77.974999999999994</v>
      </c>
      <c r="AI792">
        <v>78.307000000000002</v>
      </c>
      <c r="AJ792">
        <v>85.289000000000001</v>
      </c>
      <c r="AK792">
        <v>92.534000000000006</v>
      </c>
      <c r="AL792">
        <v>95.35</v>
      </c>
      <c r="AM792">
        <v>99.813000000000002</v>
      </c>
      <c r="AN792">
        <v>102.813</v>
      </c>
      <c r="AO792">
        <v>101.52200000000001</v>
      </c>
      <c r="AP792">
        <v>98.057000000000002</v>
      </c>
      <c r="AQ792">
        <v>101.91500000000001</v>
      </c>
      <c r="AR792">
        <v>105.55</v>
      </c>
      <c r="AS792">
        <v>109.24299999999999</v>
      </c>
      <c r="AT792">
        <v>113.63800000000001</v>
      </c>
      <c r="AU792">
        <v>118.703</v>
      </c>
      <c r="AV792">
        <v>124.624</v>
      </c>
      <c r="AW792">
        <v>131.607</v>
      </c>
      <c r="AX792">
        <v>139.196</v>
      </c>
      <c r="AY792">
        <v>2013</v>
      </c>
    </row>
    <row r="793" spans="1:51" x14ac:dyDescent="0.25">
      <c r="A793">
        <v>732</v>
      </c>
      <c r="B793" t="s">
        <v>783</v>
      </c>
      <c r="C793" t="s">
        <v>286</v>
      </c>
      <c r="D793" t="s">
        <v>206</v>
      </c>
      <c r="E793" t="s">
        <v>287</v>
      </c>
      <c r="F793" t="s">
        <v>288</v>
      </c>
      <c r="G793" t="s">
        <v>282</v>
      </c>
      <c r="H793" t="s">
        <v>283</v>
      </c>
      <c r="I793" t="s">
        <v>784</v>
      </c>
      <c r="J793">
        <v>5.0000000000000001E-3</v>
      </c>
      <c r="K793">
        <v>6.0000000000000001E-3</v>
      </c>
      <c r="L793">
        <v>7.0000000000000001E-3</v>
      </c>
      <c r="M793">
        <v>8.9999999999999993E-3</v>
      </c>
      <c r="N793">
        <v>1.0999999999999999E-2</v>
      </c>
      <c r="O793">
        <v>1.4E-2</v>
      </c>
      <c r="P793">
        <v>0.02</v>
      </c>
      <c r="Q793">
        <v>3.5999999999999997E-2</v>
      </c>
      <c r="R793">
        <v>4.7E-2</v>
      </c>
      <c r="S793">
        <v>8.3000000000000004E-2</v>
      </c>
      <c r="T793">
        <v>0.11</v>
      </c>
      <c r="U793">
        <v>0.193</v>
      </c>
      <c r="V793">
        <v>0.32900000000000001</v>
      </c>
      <c r="W793">
        <v>0.91</v>
      </c>
      <c r="X793">
        <v>1.88</v>
      </c>
      <c r="Y793">
        <v>4.2329999999999997</v>
      </c>
      <c r="Z793">
        <v>11.407</v>
      </c>
      <c r="AA793">
        <v>18.503</v>
      </c>
      <c r="AB793">
        <v>22.707999999999998</v>
      </c>
      <c r="AC793">
        <v>26.962</v>
      </c>
      <c r="AD793">
        <v>31.515000000000001</v>
      </c>
      <c r="AE793">
        <v>34.103000000000002</v>
      </c>
      <c r="AF793">
        <v>38.975999999999999</v>
      </c>
      <c r="AG793">
        <v>46.051000000000002</v>
      </c>
      <c r="AH793">
        <v>55.338000000000001</v>
      </c>
      <c r="AI793">
        <v>64.613</v>
      </c>
      <c r="AJ793">
        <v>77.784999999999997</v>
      </c>
      <c r="AK793">
        <v>92.534000000000006</v>
      </c>
      <c r="AL793">
        <v>113.96899999999999</v>
      </c>
      <c r="AM793">
        <v>122.31399999999999</v>
      </c>
      <c r="AN793">
        <v>151.32400000000001</v>
      </c>
      <c r="AO793">
        <v>179.25</v>
      </c>
      <c r="AP793">
        <v>223.83600000000001</v>
      </c>
      <c r="AQ793">
        <v>316.79199999999997</v>
      </c>
      <c r="AR793">
        <v>427.01499999999999</v>
      </c>
      <c r="AS793">
        <v>517.46900000000005</v>
      </c>
      <c r="AT793">
        <v>609.86699999999996</v>
      </c>
      <c r="AU793">
        <v>699.63699999999994</v>
      </c>
      <c r="AV793">
        <v>789.25800000000004</v>
      </c>
      <c r="AW793">
        <v>883.77200000000005</v>
      </c>
      <c r="AX793">
        <v>978.40499999999997</v>
      </c>
      <c r="AY793">
        <v>2013</v>
      </c>
    </row>
    <row r="794" spans="1:51" x14ac:dyDescent="0.25">
      <c r="A794">
        <v>732</v>
      </c>
      <c r="B794" t="s">
        <v>783</v>
      </c>
      <c r="C794" t="s">
        <v>289</v>
      </c>
      <c r="D794" t="s">
        <v>206</v>
      </c>
      <c r="E794" t="s">
        <v>287</v>
      </c>
      <c r="F794" t="s">
        <v>290</v>
      </c>
      <c r="G794" t="s">
        <v>291</v>
      </c>
      <c r="H794" t="s">
        <v>283</v>
      </c>
      <c r="I794" t="s">
        <v>292</v>
      </c>
      <c r="J794">
        <v>9.9019999999999992</v>
      </c>
      <c r="K794">
        <v>7.109</v>
      </c>
      <c r="L794">
        <v>5.1689999999999996</v>
      </c>
      <c r="M794">
        <v>7.06</v>
      </c>
      <c r="N794">
        <v>8.7010000000000005</v>
      </c>
      <c r="O794">
        <v>6.0389999999999997</v>
      </c>
      <c r="P794">
        <v>8.0559999999999992</v>
      </c>
      <c r="Q794">
        <v>13.025</v>
      </c>
      <c r="R794">
        <v>10.398</v>
      </c>
      <c r="S794">
        <v>18.347000000000001</v>
      </c>
      <c r="T794">
        <v>2.444</v>
      </c>
      <c r="U794">
        <v>2.7519999999999998</v>
      </c>
      <c r="V794">
        <v>3.375</v>
      </c>
      <c r="W794">
        <v>5.7119999999999997</v>
      </c>
      <c r="X794">
        <v>6.49</v>
      </c>
      <c r="Y794">
        <v>7.2880000000000003</v>
      </c>
      <c r="Z794">
        <v>9.1199999999999992</v>
      </c>
      <c r="AA794">
        <v>11.742000000000001</v>
      </c>
      <c r="AB794">
        <v>11.308</v>
      </c>
      <c r="AC794">
        <v>10.676</v>
      </c>
      <c r="AD794">
        <v>12.257</v>
      </c>
      <c r="AE794">
        <v>13.182</v>
      </c>
      <c r="AF794">
        <v>14.803000000000001</v>
      </c>
      <c r="AG794">
        <v>17.645</v>
      </c>
      <c r="AH794">
        <v>21.457000000000001</v>
      </c>
      <c r="AI794">
        <v>26.524000000000001</v>
      </c>
      <c r="AJ794">
        <v>35.82</v>
      </c>
      <c r="AK794">
        <v>45.896999999999998</v>
      </c>
      <c r="AL794">
        <v>54.526000000000003</v>
      </c>
      <c r="AM794">
        <v>53.145000000000003</v>
      </c>
      <c r="AN794">
        <v>65.622</v>
      </c>
      <c r="AO794">
        <v>67.22</v>
      </c>
      <c r="AP794">
        <v>62.646999999999998</v>
      </c>
      <c r="AQ794">
        <v>66.597999999999999</v>
      </c>
      <c r="AR794">
        <v>74.766000000000005</v>
      </c>
      <c r="AS794">
        <v>84.331000000000003</v>
      </c>
      <c r="AT794">
        <v>85.221999999999994</v>
      </c>
      <c r="AU794">
        <v>93.816999999999993</v>
      </c>
      <c r="AV794">
        <v>101.047</v>
      </c>
      <c r="AW794">
        <v>109.358</v>
      </c>
      <c r="AX794">
        <v>117.40300000000001</v>
      </c>
      <c r="AY794">
        <v>2013</v>
      </c>
    </row>
    <row r="795" spans="1:51" x14ac:dyDescent="0.25">
      <c r="A795">
        <v>732</v>
      </c>
      <c r="B795" t="s">
        <v>783</v>
      </c>
      <c r="C795" t="s">
        <v>293</v>
      </c>
      <c r="D795" t="s">
        <v>206</v>
      </c>
      <c r="E795" t="s">
        <v>294</v>
      </c>
      <c r="F795" t="s">
        <v>295</v>
      </c>
      <c r="G795" t="s">
        <v>296</v>
      </c>
      <c r="I795" t="s">
        <v>297</v>
      </c>
      <c r="J795">
        <v>3.9E-2</v>
      </c>
      <c r="K795">
        <v>4.8000000000000001E-2</v>
      </c>
      <c r="L795">
        <v>4.8000000000000001E-2</v>
      </c>
      <c r="M795">
        <v>6.7000000000000004E-2</v>
      </c>
      <c r="N795">
        <v>8.6999999999999994E-2</v>
      </c>
      <c r="O795">
        <v>0.108</v>
      </c>
      <c r="P795">
        <v>0.14199999999999999</v>
      </c>
      <c r="Q795">
        <v>0.24199999999999999</v>
      </c>
      <c r="R795">
        <v>0.29699999999999999</v>
      </c>
      <c r="S795">
        <v>0.51700000000000002</v>
      </c>
      <c r="T795">
        <v>0.7</v>
      </c>
      <c r="U795">
        <v>1.1160000000000001</v>
      </c>
      <c r="V795">
        <v>1.984</v>
      </c>
      <c r="W795">
        <v>5.17</v>
      </c>
      <c r="X795">
        <v>10.467000000000001</v>
      </c>
      <c r="Y795">
        <v>22.885000000000002</v>
      </c>
      <c r="Z795">
        <v>58</v>
      </c>
      <c r="AA795">
        <v>58</v>
      </c>
      <c r="AB795">
        <v>58</v>
      </c>
      <c r="AC795">
        <v>56.317</v>
      </c>
      <c r="AD795">
        <v>53.241</v>
      </c>
      <c r="AE795">
        <v>53.36</v>
      </c>
      <c r="AF795">
        <v>57.677</v>
      </c>
      <c r="AG795">
        <v>62.962000000000003</v>
      </c>
      <c r="AH795">
        <v>70.97</v>
      </c>
      <c r="AI795">
        <v>82.512</v>
      </c>
      <c r="AJ795">
        <v>91.201999999999998</v>
      </c>
      <c r="AK795">
        <v>100</v>
      </c>
      <c r="AL795">
        <v>119.527</v>
      </c>
      <c r="AM795">
        <v>122.54300000000001</v>
      </c>
      <c r="AN795">
        <v>147.184</v>
      </c>
      <c r="AO795">
        <v>176.56200000000001</v>
      </c>
      <c r="AP795">
        <v>228.27</v>
      </c>
      <c r="AQ795">
        <v>310.83999999999997</v>
      </c>
      <c r="AR795">
        <v>404.56099999999998</v>
      </c>
      <c r="AS795">
        <v>473.685</v>
      </c>
      <c r="AT795">
        <v>536.67700000000002</v>
      </c>
      <c r="AU795">
        <v>589.40200000000004</v>
      </c>
      <c r="AV795">
        <v>633.30999999999995</v>
      </c>
      <c r="AW795">
        <v>671.52200000000005</v>
      </c>
      <c r="AX795">
        <v>702.89800000000002</v>
      </c>
      <c r="AY795">
        <v>2013</v>
      </c>
    </row>
    <row r="796" spans="1:51" x14ac:dyDescent="0.25">
      <c r="A796">
        <v>732</v>
      </c>
      <c r="B796" t="s">
        <v>783</v>
      </c>
      <c r="C796" t="s">
        <v>298</v>
      </c>
      <c r="D796" t="s">
        <v>206</v>
      </c>
      <c r="E796" t="s">
        <v>299</v>
      </c>
      <c r="F796" t="s">
        <v>300</v>
      </c>
      <c r="G796" t="s">
        <v>282</v>
      </c>
      <c r="H796" t="s">
        <v>283</v>
      </c>
      <c r="I796" t="s">
        <v>785</v>
      </c>
      <c r="J796" t="s">
        <v>285</v>
      </c>
      <c r="K796" t="s">
        <v>285</v>
      </c>
      <c r="L796" t="s">
        <v>285</v>
      </c>
      <c r="M796" t="s">
        <v>285</v>
      </c>
      <c r="N796" t="s">
        <v>285</v>
      </c>
      <c r="O796" t="s">
        <v>285</v>
      </c>
      <c r="P796" t="s">
        <v>285</v>
      </c>
      <c r="Q796" t="s">
        <v>285</v>
      </c>
      <c r="R796" t="s">
        <v>285</v>
      </c>
      <c r="S796" t="s">
        <v>285</v>
      </c>
      <c r="T796">
        <v>3.1E-2</v>
      </c>
      <c r="U796">
        <v>8.1000000000000003E-2</v>
      </c>
      <c r="V796">
        <v>0.152</v>
      </c>
      <c r="W796">
        <v>0.19800000000000001</v>
      </c>
      <c r="X796">
        <v>0.33800000000000002</v>
      </c>
      <c r="Y796">
        <v>0.501</v>
      </c>
      <c r="Z796">
        <v>0.97499999999999998</v>
      </c>
      <c r="AA796">
        <v>1.1910000000000001</v>
      </c>
      <c r="AB796">
        <v>1.7090000000000001</v>
      </c>
      <c r="AC796">
        <v>2.2719999999999998</v>
      </c>
      <c r="AD796">
        <v>3.4990000000000001</v>
      </c>
      <c r="AE796">
        <v>4.0110000000000001</v>
      </c>
      <c r="AF796">
        <v>5.0339999999999998</v>
      </c>
      <c r="AG796">
        <v>6.9909999999999997</v>
      </c>
      <c r="AH796">
        <v>11.347</v>
      </c>
      <c r="AI796">
        <v>16.927</v>
      </c>
      <c r="AJ796">
        <v>18.501999999999999</v>
      </c>
      <c r="AK796">
        <v>23.468</v>
      </c>
      <c r="AL796">
        <v>26.733000000000001</v>
      </c>
      <c r="AM796">
        <v>25.198</v>
      </c>
      <c r="AN796">
        <v>28.815000000000001</v>
      </c>
      <c r="AO796">
        <v>32.216999999999999</v>
      </c>
      <c r="AP796">
        <v>29.741</v>
      </c>
      <c r="AQ796">
        <v>41.459000000000003</v>
      </c>
      <c r="AR796">
        <v>54.116999999999997</v>
      </c>
      <c r="AS796">
        <v>60.265999999999998</v>
      </c>
      <c r="AT796">
        <v>70.741</v>
      </c>
      <c r="AU796">
        <v>78.662999999999997</v>
      </c>
      <c r="AV796">
        <v>86.129000000000005</v>
      </c>
      <c r="AW796">
        <v>89.575000000000003</v>
      </c>
      <c r="AX796">
        <v>98.85</v>
      </c>
      <c r="AY796">
        <v>2013</v>
      </c>
    </row>
    <row r="797" spans="1:51" x14ac:dyDescent="0.25">
      <c r="A797">
        <v>366</v>
      </c>
      <c r="B797" t="s">
        <v>786</v>
      </c>
      <c r="C797" t="s">
        <v>279</v>
      </c>
      <c r="D797" t="s">
        <v>207</v>
      </c>
      <c r="E797" t="s">
        <v>280</v>
      </c>
      <c r="F797" t="s">
        <v>281</v>
      </c>
      <c r="G797" t="s">
        <v>282</v>
      </c>
      <c r="H797" t="s">
        <v>283</v>
      </c>
      <c r="I797" t="s">
        <v>787</v>
      </c>
      <c r="J797">
        <v>5.899</v>
      </c>
      <c r="K797">
        <v>6.0110000000000001</v>
      </c>
      <c r="L797">
        <v>5.6319999999999997</v>
      </c>
      <c r="M797">
        <v>5.3449999999999998</v>
      </c>
      <c r="N797">
        <v>5.1840000000000002</v>
      </c>
      <c r="O797">
        <v>5.1379999999999999</v>
      </c>
      <c r="P797">
        <v>5.0149999999999997</v>
      </c>
      <c r="Q797">
        <v>4.5730000000000004</v>
      </c>
      <c r="R797">
        <v>5.0670000000000002</v>
      </c>
      <c r="S797">
        <v>5.1840000000000002</v>
      </c>
      <c r="T797">
        <v>5.1059999999999999</v>
      </c>
      <c r="U797">
        <v>4.4009999999999998</v>
      </c>
      <c r="V797">
        <v>4.5730000000000004</v>
      </c>
      <c r="W797">
        <v>4.4720000000000004</v>
      </c>
      <c r="X797">
        <v>4.1589999999999998</v>
      </c>
      <c r="Y797">
        <v>4.6289999999999996</v>
      </c>
      <c r="Z797">
        <v>5.1479999999999997</v>
      </c>
      <c r="AA797">
        <v>5.508</v>
      </c>
      <c r="AB797">
        <v>5.6289999999999996</v>
      </c>
      <c r="AC797">
        <v>5.5789999999999997</v>
      </c>
      <c r="AD797">
        <v>5.5730000000000004</v>
      </c>
      <c r="AE797">
        <v>5.8460000000000001</v>
      </c>
      <c r="AF797">
        <v>6.0650000000000004</v>
      </c>
      <c r="AG797">
        <v>6.4409999999999998</v>
      </c>
      <c r="AH797">
        <v>6.9109999999999996</v>
      </c>
      <c r="AI797">
        <v>7.2510000000000003</v>
      </c>
      <c r="AJ797">
        <v>7.6689999999999996</v>
      </c>
      <c r="AK797">
        <v>8.0609999999999999</v>
      </c>
      <c r="AL797">
        <v>8.3949999999999996</v>
      </c>
      <c r="AM797">
        <v>8.6479999999999997</v>
      </c>
      <c r="AN797">
        <v>9.0939999999999994</v>
      </c>
      <c r="AO797">
        <v>9.5730000000000004</v>
      </c>
      <c r="AP797">
        <v>9.8670000000000009</v>
      </c>
      <c r="AQ797">
        <v>10.147</v>
      </c>
      <c r="AR797">
        <v>10.334</v>
      </c>
      <c r="AS797">
        <v>10.489000000000001</v>
      </c>
      <c r="AT797">
        <v>10.539</v>
      </c>
      <c r="AU797">
        <v>11.147</v>
      </c>
      <c r="AV797">
        <v>11.706</v>
      </c>
      <c r="AW797">
        <v>12.172000000000001</v>
      </c>
      <c r="AX797">
        <v>12.537000000000001</v>
      </c>
      <c r="AY797">
        <v>2011</v>
      </c>
    </row>
    <row r="798" spans="1:51" x14ac:dyDescent="0.25">
      <c r="A798">
        <v>366</v>
      </c>
      <c r="B798" t="s">
        <v>786</v>
      </c>
      <c r="C798" t="s">
        <v>286</v>
      </c>
      <c r="D798" t="s">
        <v>207</v>
      </c>
      <c r="E798" t="s">
        <v>287</v>
      </c>
      <c r="F798" t="s">
        <v>288</v>
      </c>
      <c r="G798" t="s">
        <v>282</v>
      </c>
      <c r="H798" t="s">
        <v>283</v>
      </c>
      <c r="I798" t="s">
        <v>787</v>
      </c>
      <c r="J798">
        <v>2E-3</v>
      </c>
      <c r="K798">
        <v>2E-3</v>
      </c>
      <c r="L798">
        <v>2E-3</v>
      </c>
      <c r="M798">
        <v>2E-3</v>
      </c>
      <c r="N798">
        <v>2E-3</v>
      </c>
      <c r="O798">
        <v>2E-3</v>
      </c>
      <c r="P798">
        <v>2E-3</v>
      </c>
      <c r="Q798">
        <v>3.0000000000000001E-3</v>
      </c>
      <c r="R798">
        <v>3.0000000000000001E-3</v>
      </c>
      <c r="S798">
        <v>4.0000000000000001E-3</v>
      </c>
      <c r="T798">
        <v>5.0000000000000001E-3</v>
      </c>
      <c r="U798">
        <v>6.0000000000000001E-3</v>
      </c>
      <c r="V798">
        <v>8.0000000000000002E-3</v>
      </c>
      <c r="W798">
        <v>0.02</v>
      </c>
      <c r="X798">
        <v>0.109</v>
      </c>
      <c r="Y798">
        <v>0.41</v>
      </c>
      <c r="Z798">
        <v>0.46200000000000002</v>
      </c>
      <c r="AA798">
        <v>0.496</v>
      </c>
      <c r="AB798">
        <v>0.59599999999999997</v>
      </c>
      <c r="AC798">
        <v>1.0189999999999999</v>
      </c>
      <c r="AD798">
        <v>1.6739999999999999</v>
      </c>
      <c r="AE798">
        <v>2.3740000000000001</v>
      </c>
      <c r="AF798">
        <v>3.23</v>
      </c>
      <c r="AG798">
        <v>4.2</v>
      </c>
      <c r="AH798">
        <v>5.1050000000000004</v>
      </c>
      <c r="AI798">
        <v>6.1059999999999999</v>
      </c>
      <c r="AJ798">
        <v>7.2060000000000004</v>
      </c>
      <c r="AK798">
        <v>8.0609999999999999</v>
      </c>
      <c r="AL798">
        <v>9.6980000000000004</v>
      </c>
      <c r="AM798">
        <v>10.638</v>
      </c>
      <c r="AN798">
        <v>11.993</v>
      </c>
      <c r="AO798">
        <v>14.452</v>
      </c>
      <c r="AP798">
        <v>16.434000000000001</v>
      </c>
      <c r="AQ798">
        <v>16.931999999999999</v>
      </c>
      <c r="AR798">
        <v>17.193999999999999</v>
      </c>
      <c r="AS798">
        <v>16.666</v>
      </c>
      <c r="AT798">
        <v>17.116</v>
      </c>
      <c r="AU798">
        <v>18.954999999999998</v>
      </c>
      <c r="AV798">
        <v>20.629000000000001</v>
      </c>
      <c r="AW798">
        <v>22.234000000000002</v>
      </c>
      <c r="AX798">
        <v>23.978999999999999</v>
      </c>
      <c r="AY798">
        <v>2011</v>
      </c>
    </row>
    <row r="799" spans="1:51" x14ac:dyDescent="0.25">
      <c r="A799">
        <v>366</v>
      </c>
      <c r="B799" t="s">
        <v>786</v>
      </c>
      <c r="C799" t="s">
        <v>289</v>
      </c>
      <c r="D799" t="s">
        <v>207</v>
      </c>
      <c r="E799" t="s">
        <v>287</v>
      </c>
      <c r="F799" t="s">
        <v>290</v>
      </c>
      <c r="G799" t="s">
        <v>291</v>
      </c>
      <c r="H799" t="s">
        <v>283</v>
      </c>
      <c r="I799" t="s">
        <v>292</v>
      </c>
      <c r="J799">
        <v>1.1919999999999999</v>
      </c>
      <c r="K799">
        <v>1.333</v>
      </c>
      <c r="L799">
        <v>1.3720000000000001</v>
      </c>
      <c r="M799">
        <v>1.325</v>
      </c>
      <c r="N799">
        <v>1.296</v>
      </c>
      <c r="O799">
        <v>1.3089999999999999</v>
      </c>
      <c r="P799">
        <v>1.3360000000000001</v>
      </c>
      <c r="Q799">
        <v>1.4690000000000001</v>
      </c>
      <c r="R799">
        <v>1.7410000000000001</v>
      </c>
      <c r="S799">
        <v>2.0339999999999998</v>
      </c>
      <c r="T799">
        <v>0.53900000000000003</v>
      </c>
      <c r="U799">
        <v>0.59399999999999997</v>
      </c>
      <c r="V799">
        <v>0.55100000000000005</v>
      </c>
      <c r="W799">
        <v>0.434</v>
      </c>
      <c r="X799">
        <v>0.48799999999999999</v>
      </c>
      <c r="Y799">
        <v>0.92700000000000005</v>
      </c>
      <c r="Z799">
        <v>1.153</v>
      </c>
      <c r="AA799">
        <v>1.2350000000000001</v>
      </c>
      <c r="AB799">
        <v>1.4830000000000001</v>
      </c>
      <c r="AC799">
        <v>1.222</v>
      </c>
      <c r="AD799">
        <v>1.266</v>
      </c>
      <c r="AE799">
        <v>1.0900000000000001</v>
      </c>
      <c r="AF799">
        <v>1.3759999999999999</v>
      </c>
      <c r="AG799">
        <v>1.615</v>
      </c>
      <c r="AH799">
        <v>1.8680000000000001</v>
      </c>
      <c r="AI799">
        <v>2.2349999999999999</v>
      </c>
      <c r="AJ799">
        <v>2.6259999999999999</v>
      </c>
      <c r="AK799">
        <v>2.9359999999999999</v>
      </c>
      <c r="AL799">
        <v>3.5329999999999999</v>
      </c>
      <c r="AM799">
        <v>3.8759999999999999</v>
      </c>
      <c r="AN799">
        <v>4.3680000000000003</v>
      </c>
      <c r="AO799">
        <v>4.4219999999999997</v>
      </c>
      <c r="AP799">
        <v>4.9800000000000004</v>
      </c>
      <c r="AQ799">
        <v>5.1310000000000002</v>
      </c>
      <c r="AR799">
        <v>5.21</v>
      </c>
      <c r="AS799">
        <v>5.05</v>
      </c>
      <c r="AT799">
        <v>5.1870000000000003</v>
      </c>
      <c r="AU799">
        <v>5.7439999999999998</v>
      </c>
      <c r="AV799">
        <v>6.2510000000000003</v>
      </c>
      <c r="AW799">
        <v>6.7380000000000004</v>
      </c>
      <c r="AX799">
        <v>7.266</v>
      </c>
      <c r="AY799">
        <v>2011</v>
      </c>
    </row>
    <row r="800" spans="1:51" x14ac:dyDescent="0.25">
      <c r="A800">
        <v>366</v>
      </c>
      <c r="B800" t="s">
        <v>786</v>
      </c>
      <c r="C800" t="s">
        <v>293</v>
      </c>
      <c r="D800" t="s">
        <v>207</v>
      </c>
      <c r="E800" t="s">
        <v>294</v>
      </c>
      <c r="F800" t="s">
        <v>295</v>
      </c>
      <c r="G800" t="s">
        <v>296</v>
      </c>
      <c r="I800" t="s">
        <v>297</v>
      </c>
      <c r="J800">
        <v>3.5999999999999997E-2</v>
      </c>
      <c r="K800">
        <v>0.04</v>
      </c>
      <c r="L800">
        <v>4.2999999999999997E-2</v>
      </c>
      <c r="M800">
        <v>4.3999999999999997E-2</v>
      </c>
      <c r="N800">
        <v>4.4999999999999998E-2</v>
      </c>
      <c r="O800">
        <v>4.4999999999999998E-2</v>
      </c>
      <c r="P800">
        <v>4.8000000000000001E-2</v>
      </c>
      <c r="Q800">
        <v>5.7000000000000002E-2</v>
      </c>
      <c r="R800">
        <v>6.0999999999999999E-2</v>
      </c>
      <c r="S800">
        <v>7.0000000000000007E-2</v>
      </c>
      <c r="T800">
        <v>0.10199999999999999</v>
      </c>
      <c r="U800">
        <v>0.13600000000000001</v>
      </c>
      <c r="V800">
        <v>0.17799999999999999</v>
      </c>
      <c r="W800">
        <v>0.436</v>
      </c>
      <c r="X800">
        <v>2.61</v>
      </c>
      <c r="Y800">
        <v>8.8670000000000009</v>
      </c>
      <c r="Z800">
        <v>8.9789999999999992</v>
      </c>
      <c r="AA800">
        <v>9.0030000000000001</v>
      </c>
      <c r="AB800">
        <v>10.581</v>
      </c>
      <c r="AC800">
        <v>18.265999999999998</v>
      </c>
      <c r="AD800">
        <v>30.036000000000001</v>
      </c>
      <c r="AE800">
        <v>40.61</v>
      </c>
      <c r="AF800">
        <v>53.256</v>
      </c>
      <c r="AG800">
        <v>65.207999999999998</v>
      </c>
      <c r="AH800">
        <v>73.867999999999995</v>
      </c>
      <c r="AI800">
        <v>84.204999999999998</v>
      </c>
      <c r="AJ800">
        <v>93.960999999999999</v>
      </c>
      <c r="AK800">
        <v>100</v>
      </c>
      <c r="AL800">
        <v>115.52200000000001</v>
      </c>
      <c r="AM800">
        <v>123.012</v>
      </c>
      <c r="AN800">
        <v>131.88499999999999</v>
      </c>
      <c r="AO800">
        <v>150.96100000000001</v>
      </c>
      <c r="AP800">
        <v>166.55</v>
      </c>
      <c r="AQ800">
        <v>166.86099999999999</v>
      </c>
      <c r="AR800">
        <v>166.38499999999999</v>
      </c>
      <c r="AS800">
        <v>158.89400000000001</v>
      </c>
      <c r="AT800">
        <v>162.40100000000001</v>
      </c>
      <c r="AU800">
        <v>170.047</v>
      </c>
      <c r="AV800">
        <v>176.22499999999999</v>
      </c>
      <c r="AW800">
        <v>182.667</v>
      </c>
      <c r="AX800">
        <v>191.26</v>
      </c>
      <c r="AY800">
        <v>2011</v>
      </c>
    </row>
    <row r="801" spans="1:51" x14ac:dyDescent="0.25">
      <c r="A801">
        <v>366</v>
      </c>
      <c r="B801" t="s">
        <v>786</v>
      </c>
      <c r="C801" t="s">
        <v>298</v>
      </c>
      <c r="D801" t="s">
        <v>207</v>
      </c>
      <c r="E801" t="s">
        <v>299</v>
      </c>
      <c r="F801" t="s">
        <v>300</v>
      </c>
      <c r="G801" t="s">
        <v>282</v>
      </c>
      <c r="H801" t="s">
        <v>283</v>
      </c>
      <c r="I801" t="s">
        <v>788</v>
      </c>
      <c r="J801" t="s">
        <v>285</v>
      </c>
      <c r="K801" t="s">
        <v>285</v>
      </c>
      <c r="L801" t="s">
        <v>285</v>
      </c>
      <c r="M801" t="s">
        <v>285</v>
      </c>
      <c r="N801" t="s">
        <v>285</v>
      </c>
      <c r="O801" t="s">
        <v>285</v>
      </c>
      <c r="P801" t="s">
        <v>285</v>
      </c>
      <c r="Q801" t="s">
        <v>285</v>
      </c>
      <c r="R801" t="s">
        <v>285</v>
      </c>
      <c r="S801" t="s">
        <v>285</v>
      </c>
      <c r="T801">
        <v>1E-3</v>
      </c>
      <c r="U801">
        <v>2E-3</v>
      </c>
      <c r="V801">
        <v>2E-3</v>
      </c>
      <c r="W801">
        <v>4.0000000000000001E-3</v>
      </c>
      <c r="X801">
        <v>2.3E-2</v>
      </c>
      <c r="Y801">
        <v>8.8999999999999996E-2</v>
      </c>
      <c r="Z801">
        <v>0.127</v>
      </c>
      <c r="AA801">
        <v>0.13600000000000001</v>
      </c>
      <c r="AB801">
        <v>0.21</v>
      </c>
      <c r="AC801">
        <v>0.23499999999999999</v>
      </c>
      <c r="AD801">
        <v>0.378</v>
      </c>
      <c r="AE801">
        <v>0.63900000000000001</v>
      </c>
      <c r="AF801">
        <v>0.84499999999999997</v>
      </c>
      <c r="AG801">
        <v>0.81399999999999995</v>
      </c>
      <c r="AH801">
        <v>1.1299999999999999</v>
      </c>
      <c r="AI801">
        <v>1.3340000000000001</v>
      </c>
      <c r="AJ801">
        <v>1.444</v>
      </c>
      <c r="AK801">
        <v>1.7150000000000001</v>
      </c>
      <c r="AL801">
        <v>2.1560000000000001</v>
      </c>
      <c r="AM801">
        <v>2.9449999999999998</v>
      </c>
      <c r="AN801">
        <v>3.0920000000000001</v>
      </c>
      <c r="AO801">
        <v>3.7789999999999999</v>
      </c>
      <c r="AP801">
        <v>4.7629999999999999</v>
      </c>
      <c r="AQ801">
        <v>5.3319999999999999</v>
      </c>
      <c r="AR801">
        <v>4.9269999999999996</v>
      </c>
      <c r="AS801">
        <v>5.0339999999999998</v>
      </c>
      <c r="AT801">
        <v>4.8849999999999998</v>
      </c>
      <c r="AU801">
        <v>5.2460000000000004</v>
      </c>
      <c r="AV801">
        <v>5.7039999999999997</v>
      </c>
      <c r="AW801">
        <v>6.1609999999999996</v>
      </c>
      <c r="AX801">
        <v>6.6349999999999998</v>
      </c>
      <c r="AY801">
        <v>2014</v>
      </c>
    </row>
    <row r="802" spans="1:51" x14ac:dyDescent="0.25">
      <c r="A802">
        <v>734</v>
      </c>
      <c r="B802" t="s">
        <v>789</v>
      </c>
      <c r="C802" t="s">
        <v>279</v>
      </c>
      <c r="D802" t="s">
        <v>208</v>
      </c>
      <c r="E802" t="s">
        <v>280</v>
      </c>
      <c r="F802" t="s">
        <v>281</v>
      </c>
      <c r="G802" t="s">
        <v>282</v>
      </c>
      <c r="H802" t="s">
        <v>283</v>
      </c>
      <c r="I802" t="s">
        <v>790</v>
      </c>
      <c r="J802">
        <v>8.6140000000000008</v>
      </c>
      <c r="K802">
        <v>9.8759999999999994</v>
      </c>
      <c r="L802">
        <v>9.9909999999999997</v>
      </c>
      <c r="M802">
        <v>10.112</v>
      </c>
      <c r="N802">
        <v>10.734999999999999</v>
      </c>
      <c r="O802">
        <v>11.141999999999999</v>
      </c>
      <c r="P802">
        <v>12.507999999999999</v>
      </c>
      <c r="Q802">
        <v>14.335000000000001</v>
      </c>
      <c r="R802">
        <v>15.276999999999999</v>
      </c>
      <c r="S802">
        <v>17.25</v>
      </c>
      <c r="T802">
        <v>18.931999999999999</v>
      </c>
      <c r="U802">
        <v>19.352</v>
      </c>
      <c r="V802">
        <v>19.93</v>
      </c>
      <c r="W802">
        <v>20.422999999999998</v>
      </c>
      <c r="X802">
        <v>21.001000000000001</v>
      </c>
      <c r="Y802">
        <v>21.85</v>
      </c>
      <c r="Z802">
        <v>22.652000000000001</v>
      </c>
      <c r="AA802">
        <v>23.343</v>
      </c>
      <c r="AB802">
        <v>23.928999999999998</v>
      </c>
      <c r="AC802">
        <v>24.623000000000001</v>
      </c>
      <c r="AD802">
        <v>25.257000000000001</v>
      </c>
      <c r="AE802">
        <v>25.72</v>
      </c>
      <c r="AF802">
        <v>26.574000000000002</v>
      </c>
      <c r="AG802">
        <v>27.747</v>
      </c>
      <c r="AH802">
        <v>29.027000000000001</v>
      </c>
      <c r="AI802">
        <v>30.431000000000001</v>
      </c>
      <c r="AJ802">
        <v>31.785</v>
      </c>
      <c r="AK802">
        <v>33.049999999999997</v>
      </c>
      <c r="AL802">
        <v>34.465000000000003</v>
      </c>
      <c r="AM802">
        <v>35.104999999999997</v>
      </c>
      <c r="AN802">
        <v>35.597000000000001</v>
      </c>
      <c r="AO802">
        <v>36.036999999999999</v>
      </c>
      <c r="AP802">
        <v>37.128</v>
      </c>
      <c r="AQ802">
        <v>38.222999999999999</v>
      </c>
      <c r="AR802">
        <v>39.159999999999997</v>
      </c>
      <c r="AS802">
        <v>39.908000000000001</v>
      </c>
      <c r="AT802">
        <v>40.194000000000003</v>
      </c>
      <c r="AU802">
        <v>40.578000000000003</v>
      </c>
      <c r="AV802">
        <v>41.140999999999998</v>
      </c>
      <c r="AW802">
        <v>41.71</v>
      </c>
      <c r="AX802">
        <v>42.284999999999997</v>
      </c>
      <c r="AY802">
        <v>2014</v>
      </c>
    </row>
    <row r="803" spans="1:51" x14ac:dyDescent="0.25">
      <c r="A803">
        <v>734</v>
      </c>
      <c r="B803" t="s">
        <v>789</v>
      </c>
      <c r="C803" t="s">
        <v>286</v>
      </c>
      <c r="D803" t="s">
        <v>208</v>
      </c>
      <c r="E803" t="s">
        <v>287</v>
      </c>
      <c r="F803" t="s">
        <v>288</v>
      </c>
      <c r="G803" t="s">
        <v>282</v>
      </c>
      <c r="H803" t="s">
        <v>283</v>
      </c>
      <c r="I803" t="s">
        <v>790</v>
      </c>
      <c r="J803">
        <v>0.83699999999999997</v>
      </c>
      <c r="K803">
        <v>0.94399999999999995</v>
      </c>
      <c r="L803">
        <v>1.115</v>
      </c>
      <c r="M803">
        <v>1.2410000000000001</v>
      </c>
      <c r="N803">
        <v>1.3859999999999999</v>
      </c>
      <c r="O803">
        <v>1.496</v>
      </c>
      <c r="P803">
        <v>1.653</v>
      </c>
      <c r="Q803">
        <v>1.968</v>
      </c>
      <c r="R803">
        <v>2.218</v>
      </c>
      <c r="S803">
        <v>2.5779999999999998</v>
      </c>
      <c r="T803">
        <v>3.181</v>
      </c>
      <c r="U803">
        <v>3.5249999999999999</v>
      </c>
      <c r="V803">
        <v>4.04</v>
      </c>
      <c r="W803">
        <v>4.8609999999999998</v>
      </c>
      <c r="X803">
        <v>5.7210000000000001</v>
      </c>
      <c r="Y803">
        <v>6.9660000000000002</v>
      </c>
      <c r="Z803">
        <v>7.8140000000000001</v>
      </c>
      <c r="AA803">
        <v>8.9629999999999992</v>
      </c>
      <c r="AB803">
        <v>9.8789999999999996</v>
      </c>
      <c r="AC803">
        <v>10.717000000000001</v>
      </c>
      <c r="AD803">
        <v>11.989000000000001</v>
      </c>
      <c r="AE803">
        <v>13.275</v>
      </c>
      <c r="AF803">
        <v>14.965999999999999</v>
      </c>
      <c r="AG803">
        <v>16.568999999999999</v>
      </c>
      <c r="AH803">
        <v>18.302</v>
      </c>
      <c r="AI803">
        <v>20.218</v>
      </c>
      <c r="AJ803">
        <v>21.885000000000002</v>
      </c>
      <c r="AK803">
        <v>23.933</v>
      </c>
      <c r="AL803">
        <v>26.951000000000001</v>
      </c>
      <c r="AM803">
        <v>30.321000000000002</v>
      </c>
      <c r="AN803">
        <v>33.241999999999997</v>
      </c>
      <c r="AO803">
        <v>36.036999999999999</v>
      </c>
      <c r="AP803">
        <v>40.334000000000003</v>
      </c>
      <c r="AQ803">
        <v>44.051000000000002</v>
      </c>
      <c r="AR803">
        <v>47.892000000000003</v>
      </c>
      <c r="AS803">
        <v>51.886000000000003</v>
      </c>
      <c r="AT803">
        <v>54.682000000000002</v>
      </c>
      <c r="AU803">
        <v>57.645000000000003</v>
      </c>
      <c r="AV803">
        <v>60.951000000000001</v>
      </c>
      <c r="AW803">
        <v>64.335999999999999</v>
      </c>
      <c r="AX803">
        <v>67.926000000000002</v>
      </c>
      <c r="AY803">
        <v>2014</v>
      </c>
    </row>
    <row r="804" spans="1:51" x14ac:dyDescent="0.25">
      <c r="A804">
        <v>734</v>
      </c>
      <c r="B804" t="s">
        <v>789</v>
      </c>
      <c r="C804" t="s">
        <v>289</v>
      </c>
      <c r="D804" t="s">
        <v>208</v>
      </c>
      <c r="E804" t="s">
        <v>287</v>
      </c>
      <c r="F804" t="s">
        <v>290</v>
      </c>
      <c r="G804" t="s">
        <v>291</v>
      </c>
      <c r="H804" t="s">
        <v>283</v>
      </c>
      <c r="I804" t="s">
        <v>292</v>
      </c>
      <c r="J804">
        <v>1.0740000000000001</v>
      </c>
      <c r="K804">
        <v>1.0760000000000001</v>
      </c>
      <c r="L804">
        <v>1.0269999999999999</v>
      </c>
      <c r="M804">
        <v>1.1140000000000001</v>
      </c>
      <c r="N804">
        <v>0.93899999999999995</v>
      </c>
      <c r="O804">
        <v>0.67100000000000004</v>
      </c>
      <c r="P804">
        <v>0.72399999999999998</v>
      </c>
      <c r="Q804">
        <v>0.96699999999999997</v>
      </c>
      <c r="R804">
        <v>0.97599999999999998</v>
      </c>
      <c r="S804">
        <v>0.98299999999999998</v>
      </c>
      <c r="T804">
        <v>1.2290000000000001</v>
      </c>
      <c r="U804">
        <v>1.2769999999999999</v>
      </c>
      <c r="V804">
        <v>1.417</v>
      </c>
      <c r="W804">
        <v>1.488</v>
      </c>
      <c r="X804">
        <v>1.6120000000000001</v>
      </c>
      <c r="Y804">
        <v>1.921</v>
      </c>
      <c r="Z804">
        <v>1.819</v>
      </c>
      <c r="AA804">
        <v>1.9450000000000001</v>
      </c>
      <c r="AB804">
        <v>1.786</v>
      </c>
      <c r="AC804">
        <v>1.7529999999999999</v>
      </c>
      <c r="AD804">
        <v>1.7290000000000001</v>
      </c>
      <c r="AE804">
        <v>1.5429999999999999</v>
      </c>
      <c r="AF804">
        <v>1.423</v>
      </c>
      <c r="AG804">
        <v>2.19</v>
      </c>
      <c r="AH804">
        <v>2.8380000000000001</v>
      </c>
      <c r="AI804">
        <v>3.1779999999999999</v>
      </c>
      <c r="AJ804">
        <v>3.234</v>
      </c>
      <c r="AK804">
        <v>3.3929999999999998</v>
      </c>
      <c r="AL804">
        <v>3.266</v>
      </c>
      <c r="AM804">
        <v>3.5939999999999999</v>
      </c>
      <c r="AN804">
        <v>4.54</v>
      </c>
      <c r="AO804">
        <v>4.9690000000000003</v>
      </c>
      <c r="AP804">
        <v>4.9130000000000003</v>
      </c>
      <c r="AQ804">
        <v>4.5650000000000004</v>
      </c>
      <c r="AR804">
        <v>4.4160000000000004</v>
      </c>
      <c r="AS804">
        <v>4.3049999999999997</v>
      </c>
      <c r="AT804">
        <v>4.3570000000000002</v>
      </c>
      <c r="AU804">
        <v>4.4450000000000003</v>
      </c>
      <c r="AV804">
        <v>4.5549999999999997</v>
      </c>
      <c r="AW804">
        <v>4.657</v>
      </c>
      <c r="AX804">
        <v>4.7869999999999999</v>
      </c>
      <c r="AY804">
        <v>2014</v>
      </c>
    </row>
    <row r="805" spans="1:51" x14ac:dyDescent="0.25">
      <c r="A805">
        <v>734</v>
      </c>
      <c r="B805" t="s">
        <v>789</v>
      </c>
      <c r="C805" t="s">
        <v>293</v>
      </c>
      <c r="D805" t="s">
        <v>208</v>
      </c>
      <c r="E805" t="s">
        <v>294</v>
      </c>
      <c r="F805" t="s">
        <v>295</v>
      </c>
      <c r="G805" t="s">
        <v>296</v>
      </c>
      <c r="I805" t="s">
        <v>297</v>
      </c>
      <c r="J805">
        <v>9.7119999999999997</v>
      </c>
      <c r="K805">
        <v>9.5630000000000006</v>
      </c>
      <c r="L805">
        <v>11.162000000000001</v>
      </c>
      <c r="M805">
        <v>12.273999999999999</v>
      </c>
      <c r="N805">
        <v>12.909000000000001</v>
      </c>
      <c r="O805">
        <v>13.427</v>
      </c>
      <c r="P805">
        <v>13.215</v>
      </c>
      <c r="Q805">
        <v>13.728999999999999</v>
      </c>
      <c r="R805">
        <v>14.52</v>
      </c>
      <c r="S805">
        <v>14.946999999999999</v>
      </c>
      <c r="T805">
        <v>16.802</v>
      </c>
      <c r="U805">
        <v>18.215</v>
      </c>
      <c r="V805">
        <v>20.27</v>
      </c>
      <c r="W805">
        <v>23.800999999999998</v>
      </c>
      <c r="X805">
        <v>27.239000000000001</v>
      </c>
      <c r="Y805">
        <v>31.881</v>
      </c>
      <c r="Z805">
        <v>34.494999999999997</v>
      </c>
      <c r="AA805">
        <v>38.396000000000001</v>
      </c>
      <c r="AB805">
        <v>41.284999999999997</v>
      </c>
      <c r="AC805">
        <v>43.524000000000001</v>
      </c>
      <c r="AD805">
        <v>47.47</v>
      </c>
      <c r="AE805">
        <v>51.616</v>
      </c>
      <c r="AF805">
        <v>56.317</v>
      </c>
      <c r="AG805">
        <v>59.716000000000001</v>
      </c>
      <c r="AH805">
        <v>63.052</v>
      </c>
      <c r="AI805">
        <v>66.44</v>
      </c>
      <c r="AJ805">
        <v>68.853999999999999</v>
      </c>
      <c r="AK805">
        <v>72.414000000000001</v>
      </c>
      <c r="AL805">
        <v>78.197999999999993</v>
      </c>
      <c r="AM805">
        <v>86.373000000000005</v>
      </c>
      <c r="AN805">
        <v>93.384</v>
      </c>
      <c r="AO805">
        <v>100</v>
      </c>
      <c r="AP805">
        <v>108.63500000000001</v>
      </c>
      <c r="AQ805">
        <v>115.246</v>
      </c>
      <c r="AR805">
        <v>122.298</v>
      </c>
      <c r="AS805">
        <v>130.01499999999999</v>
      </c>
      <c r="AT805">
        <v>136.04599999999999</v>
      </c>
      <c r="AU805">
        <v>142.059</v>
      </c>
      <c r="AV805">
        <v>148.15100000000001</v>
      </c>
      <c r="AW805">
        <v>154.24600000000001</v>
      </c>
      <c r="AX805">
        <v>160.63900000000001</v>
      </c>
      <c r="AY805">
        <v>2014</v>
      </c>
    </row>
    <row r="806" spans="1:51" x14ac:dyDescent="0.25">
      <c r="A806">
        <v>734</v>
      </c>
      <c r="B806" t="s">
        <v>789</v>
      </c>
      <c r="C806" t="s">
        <v>298</v>
      </c>
      <c r="D806" t="s">
        <v>208</v>
      </c>
      <c r="E806" t="s">
        <v>299</v>
      </c>
      <c r="F806" t="s">
        <v>300</v>
      </c>
      <c r="G806" t="s">
        <v>282</v>
      </c>
      <c r="H806" t="s">
        <v>283</v>
      </c>
      <c r="I806" t="s">
        <v>791</v>
      </c>
      <c r="J806">
        <v>0.11700000000000001</v>
      </c>
      <c r="K806">
        <v>0.16600000000000001</v>
      </c>
      <c r="L806">
        <v>0.183</v>
      </c>
      <c r="M806">
        <v>0.191</v>
      </c>
      <c r="N806">
        <v>0.21</v>
      </c>
      <c r="O806">
        <v>0.25800000000000001</v>
      </c>
      <c r="P806">
        <v>0.29099999999999998</v>
      </c>
      <c r="Q806">
        <v>0.30099999999999999</v>
      </c>
      <c r="R806">
        <v>0.35499999999999998</v>
      </c>
      <c r="S806">
        <v>0.42699999999999999</v>
      </c>
      <c r="T806">
        <v>0.58199999999999996</v>
      </c>
      <c r="U806">
        <v>0.69899999999999995</v>
      </c>
      <c r="V806">
        <v>1.0249999999999999</v>
      </c>
      <c r="W806">
        <v>1.1379999999999999</v>
      </c>
      <c r="X806">
        <v>1.379</v>
      </c>
      <c r="Y806">
        <v>1.393</v>
      </c>
      <c r="Z806">
        <v>1.78</v>
      </c>
      <c r="AA806">
        <v>1.855</v>
      </c>
      <c r="AB806">
        <v>2.1720000000000002</v>
      </c>
      <c r="AC806">
        <v>2.7789999999999999</v>
      </c>
      <c r="AD806">
        <v>2.9689999999999999</v>
      </c>
      <c r="AE806">
        <v>3.41</v>
      </c>
      <c r="AF806">
        <v>3.98</v>
      </c>
      <c r="AG806">
        <v>4.2549999999999999</v>
      </c>
      <c r="AH806">
        <v>5.5540000000000003</v>
      </c>
      <c r="AI806">
        <v>5.8339999999999996</v>
      </c>
      <c r="AJ806">
        <v>6.109</v>
      </c>
      <c r="AK806">
        <v>7.4160000000000004</v>
      </c>
      <c r="AL806">
        <v>9.0839999999999996</v>
      </c>
      <c r="AM806">
        <v>10.153</v>
      </c>
      <c r="AN806">
        <v>9.9779999999999998</v>
      </c>
      <c r="AO806">
        <v>8.83</v>
      </c>
      <c r="AP806">
        <v>10.567</v>
      </c>
      <c r="AQ806">
        <v>12.89</v>
      </c>
      <c r="AR806">
        <v>15.590999999999999</v>
      </c>
      <c r="AS806">
        <v>16.677</v>
      </c>
      <c r="AT806">
        <v>16.123000000000001</v>
      </c>
      <c r="AU806">
        <v>17.756</v>
      </c>
      <c r="AV806">
        <v>18.965</v>
      </c>
      <c r="AW806">
        <v>20.149000000000001</v>
      </c>
      <c r="AX806">
        <v>21.434000000000001</v>
      </c>
      <c r="AY806">
        <v>2015</v>
      </c>
    </row>
    <row r="807" spans="1:51" x14ac:dyDescent="0.25">
      <c r="A807">
        <v>144</v>
      </c>
      <c r="B807" t="s">
        <v>792</v>
      </c>
      <c r="C807" t="s">
        <v>279</v>
      </c>
      <c r="D807" t="s">
        <v>209</v>
      </c>
      <c r="E807" t="s">
        <v>280</v>
      </c>
      <c r="F807" t="s">
        <v>281</v>
      </c>
      <c r="G807" t="s">
        <v>282</v>
      </c>
      <c r="H807" t="s">
        <v>283</v>
      </c>
      <c r="I807" t="s">
        <v>793</v>
      </c>
      <c r="J807" s="21">
        <v>1864.2049999999999</v>
      </c>
      <c r="K807" s="21">
        <v>1946.1030000000001</v>
      </c>
      <c r="L807" s="21">
        <v>1973.8520000000001</v>
      </c>
      <c r="M807" s="21">
        <v>2014.4680000000001</v>
      </c>
      <c r="N807" s="21">
        <v>2100.9810000000002</v>
      </c>
      <c r="O807" s="21">
        <v>2148.7139999999999</v>
      </c>
      <c r="P807" s="21">
        <v>2211.605</v>
      </c>
      <c r="Q807" s="21">
        <v>2283.826</v>
      </c>
      <c r="R807" s="21">
        <v>2340.0160000000001</v>
      </c>
      <c r="S807" s="21">
        <v>2397.6489999999999</v>
      </c>
      <c r="T807" s="21">
        <v>2416.8209999999999</v>
      </c>
      <c r="U807" s="21">
        <v>2392.0039999999999</v>
      </c>
      <c r="V807" s="21">
        <v>2368.681</v>
      </c>
      <c r="W807" s="21">
        <v>2322.2910000000002</v>
      </c>
      <c r="X807" s="21">
        <v>2417.2170000000001</v>
      </c>
      <c r="Y807" s="21">
        <v>2514.4929999999999</v>
      </c>
      <c r="Z807" s="21">
        <v>2552.66</v>
      </c>
      <c r="AA807" s="21">
        <v>2626.6990000000001</v>
      </c>
      <c r="AB807" s="21">
        <v>2737.7240000000002</v>
      </c>
      <c r="AC807" s="21">
        <v>2861.7469999999998</v>
      </c>
      <c r="AD807" s="21">
        <v>2997.259</v>
      </c>
      <c r="AE807" s="21">
        <v>3044.1190000000001</v>
      </c>
      <c r="AF807" s="21">
        <v>3107.241</v>
      </c>
      <c r="AG807" s="21">
        <v>3181.3719999999998</v>
      </c>
      <c r="AH807" s="21">
        <v>3318.8240000000001</v>
      </c>
      <c r="AI807" s="21">
        <v>3412.3589999999999</v>
      </c>
      <c r="AJ807" s="21">
        <v>3572.3339999999998</v>
      </c>
      <c r="AK807" s="21">
        <v>3693.97</v>
      </c>
      <c r="AL807" s="21">
        <v>3673.393</v>
      </c>
      <c r="AM807" s="21">
        <v>3482.9409999999998</v>
      </c>
      <c r="AN807" s="21">
        <v>3691.5309999999999</v>
      </c>
      <c r="AO807" s="21">
        <v>3789.8879999999999</v>
      </c>
      <c r="AP807" s="21">
        <v>3779.0360000000001</v>
      </c>
      <c r="AQ807" s="21">
        <v>3827.4960000000001</v>
      </c>
      <c r="AR807" s="21">
        <v>3914.7040000000002</v>
      </c>
      <c r="AS807" s="21">
        <v>4022.3690000000001</v>
      </c>
      <c r="AT807" s="21">
        <v>4141.0619999999999</v>
      </c>
      <c r="AU807" s="21">
        <v>4254.7560000000003</v>
      </c>
      <c r="AV807" s="21">
        <v>4359.143</v>
      </c>
      <c r="AW807" s="21">
        <v>4457.6009999999997</v>
      </c>
      <c r="AX807" s="21">
        <v>4553.0529999999999</v>
      </c>
      <c r="AY807">
        <v>2014</v>
      </c>
    </row>
    <row r="808" spans="1:51" x14ac:dyDescent="0.25">
      <c r="A808">
        <v>144</v>
      </c>
      <c r="B808" t="s">
        <v>792</v>
      </c>
      <c r="C808" t="s">
        <v>286</v>
      </c>
      <c r="D808" t="s">
        <v>209</v>
      </c>
      <c r="E808" t="s">
        <v>287</v>
      </c>
      <c r="F808" t="s">
        <v>288</v>
      </c>
      <c r="G808" t="s">
        <v>282</v>
      </c>
      <c r="H808" t="s">
        <v>283</v>
      </c>
      <c r="I808" t="s">
        <v>793</v>
      </c>
      <c r="J808">
        <v>584.41300000000001</v>
      </c>
      <c r="K808">
        <v>638.63400000000001</v>
      </c>
      <c r="L808">
        <v>699.524</v>
      </c>
      <c r="M808">
        <v>784.82500000000005</v>
      </c>
      <c r="N808">
        <v>881.97400000000005</v>
      </c>
      <c r="O808">
        <v>959.71699999999998</v>
      </c>
      <c r="P808" s="21">
        <v>1049.2860000000001</v>
      </c>
      <c r="Q808" s="21">
        <v>1135.4090000000001</v>
      </c>
      <c r="R808" s="21">
        <v>1241.4010000000001</v>
      </c>
      <c r="S808" s="21">
        <v>1373.5350000000001</v>
      </c>
      <c r="T808" s="21">
        <v>1514.857</v>
      </c>
      <c r="U808" s="21">
        <v>1624.4580000000001</v>
      </c>
      <c r="V808" s="21">
        <v>1627.077</v>
      </c>
      <c r="W808" s="21">
        <v>1634.1310000000001</v>
      </c>
      <c r="X808" s="21">
        <v>1744.433</v>
      </c>
      <c r="Y808" s="21">
        <v>1883.5619999999999</v>
      </c>
      <c r="Z808" s="21">
        <v>1932.0250000000001</v>
      </c>
      <c r="AA808" s="21">
        <v>2019.261</v>
      </c>
      <c r="AB808" s="21">
        <v>2121.0369999999998</v>
      </c>
      <c r="AC808" s="21">
        <v>2237.8539999999998</v>
      </c>
      <c r="AD808" s="21">
        <v>2380.3580000000002</v>
      </c>
      <c r="AE808" s="21">
        <v>2478.13</v>
      </c>
      <c r="AF808" s="21">
        <v>2569.8760000000002</v>
      </c>
      <c r="AG808" s="21">
        <v>2677.4459999999999</v>
      </c>
      <c r="AH808" s="21">
        <v>2805.1149999999998</v>
      </c>
      <c r="AI808" s="21">
        <v>2907.3519999999999</v>
      </c>
      <c r="AJ808" s="21">
        <v>3099.0810000000001</v>
      </c>
      <c r="AK808" s="21">
        <v>3297.0529999999999</v>
      </c>
      <c r="AL808" s="21">
        <v>3387.5990000000002</v>
      </c>
      <c r="AM808" s="21">
        <v>3288.509</v>
      </c>
      <c r="AN808" s="21">
        <v>3519.9940000000001</v>
      </c>
      <c r="AO808" s="21">
        <v>3656.5770000000002</v>
      </c>
      <c r="AP808" s="21">
        <v>3684.8</v>
      </c>
      <c r="AQ808" s="21">
        <v>3775.0160000000001</v>
      </c>
      <c r="AR808" s="21">
        <v>3914.7040000000002</v>
      </c>
      <c r="AS808" s="21">
        <v>4091.8670000000002</v>
      </c>
      <c r="AT808" s="21">
        <v>4272.5259999999998</v>
      </c>
      <c r="AU808" s="21">
        <v>4459.1880000000001</v>
      </c>
      <c r="AV808" s="21">
        <v>4661.3329999999996</v>
      </c>
      <c r="AW808" s="21">
        <v>4861.9489999999996</v>
      </c>
      <c r="AX808" s="21">
        <v>5065.38</v>
      </c>
      <c r="AY808">
        <v>2014</v>
      </c>
    </row>
    <row r="809" spans="1:51" x14ac:dyDescent="0.25">
      <c r="A809">
        <v>144</v>
      </c>
      <c r="B809" t="s">
        <v>792</v>
      </c>
      <c r="C809" t="s">
        <v>289</v>
      </c>
      <c r="D809" t="s">
        <v>209</v>
      </c>
      <c r="E809" t="s">
        <v>287</v>
      </c>
      <c r="F809" t="s">
        <v>290</v>
      </c>
      <c r="G809" t="s">
        <v>291</v>
      </c>
      <c r="H809" t="s">
        <v>283</v>
      </c>
      <c r="I809" t="s">
        <v>292</v>
      </c>
      <c r="J809">
        <v>138.184</v>
      </c>
      <c r="K809">
        <v>126.151</v>
      </c>
      <c r="L809">
        <v>111.393</v>
      </c>
      <c r="M809">
        <v>102.366</v>
      </c>
      <c r="N809">
        <v>106.633</v>
      </c>
      <c r="O809">
        <v>111.569</v>
      </c>
      <c r="P809">
        <v>147.316</v>
      </c>
      <c r="Q809">
        <v>179.09</v>
      </c>
      <c r="R809">
        <v>202.62299999999999</v>
      </c>
      <c r="S809">
        <v>213.07900000000001</v>
      </c>
      <c r="T809">
        <v>255.95</v>
      </c>
      <c r="U809">
        <v>268.67700000000002</v>
      </c>
      <c r="V809">
        <v>279.56799999999998</v>
      </c>
      <c r="W809">
        <v>209.982</v>
      </c>
      <c r="X809">
        <v>226.113</v>
      </c>
      <c r="Y809">
        <v>264.089</v>
      </c>
      <c r="Z809">
        <v>288.13400000000001</v>
      </c>
      <c r="AA809">
        <v>264.51</v>
      </c>
      <c r="AB809">
        <v>266.82900000000001</v>
      </c>
      <c r="AC809">
        <v>270.73500000000001</v>
      </c>
      <c r="AD809">
        <v>259.839</v>
      </c>
      <c r="AE809">
        <v>239.95699999999999</v>
      </c>
      <c r="AF809">
        <v>263.94</v>
      </c>
      <c r="AG809">
        <v>331.10899999999998</v>
      </c>
      <c r="AH809">
        <v>381.74299999999999</v>
      </c>
      <c r="AI809">
        <v>389.04300000000001</v>
      </c>
      <c r="AJ809">
        <v>420.017</v>
      </c>
      <c r="AK809">
        <v>487.81799999999998</v>
      </c>
      <c r="AL809">
        <v>513.96600000000001</v>
      </c>
      <c r="AM809">
        <v>429.65600000000001</v>
      </c>
      <c r="AN809">
        <v>488.37799999999999</v>
      </c>
      <c r="AO809">
        <v>563.11</v>
      </c>
      <c r="AP809">
        <v>543.88099999999997</v>
      </c>
      <c r="AQ809">
        <v>579.52599999999995</v>
      </c>
      <c r="AR809">
        <v>570.59100000000001</v>
      </c>
      <c r="AS809">
        <v>483.72399999999999</v>
      </c>
      <c r="AT809">
        <v>499.17899999999997</v>
      </c>
      <c r="AU809">
        <v>519.63599999999997</v>
      </c>
      <c r="AV809">
        <v>541.46699999999998</v>
      </c>
      <c r="AW809">
        <v>562.12400000000002</v>
      </c>
      <c r="AX809">
        <v>585.74300000000005</v>
      </c>
      <c r="AY809">
        <v>2014</v>
      </c>
    </row>
    <row r="810" spans="1:51" x14ac:dyDescent="0.25">
      <c r="A810">
        <v>144</v>
      </c>
      <c r="B810" t="s">
        <v>792</v>
      </c>
      <c r="C810" t="s">
        <v>293</v>
      </c>
      <c r="D810" t="s">
        <v>209</v>
      </c>
      <c r="E810" t="s">
        <v>294</v>
      </c>
      <c r="F810" t="s">
        <v>295</v>
      </c>
      <c r="G810" t="s">
        <v>296</v>
      </c>
      <c r="I810" t="s">
        <v>297</v>
      </c>
      <c r="J810">
        <v>31.349</v>
      </c>
      <c r="K810">
        <v>32.816000000000003</v>
      </c>
      <c r="L810">
        <v>35.44</v>
      </c>
      <c r="M810">
        <v>38.959000000000003</v>
      </c>
      <c r="N810">
        <v>41.978999999999999</v>
      </c>
      <c r="O810">
        <v>44.664999999999999</v>
      </c>
      <c r="P810">
        <v>47.445</v>
      </c>
      <c r="Q810">
        <v>49.715000000000003</v>
      </c>
      <c r="R810">
        <v>53.051000000000002</v>
      </c>
      <c r="S810">
        <v>57.286999999999999</v>
      </c>
      <c r="T810">
        <v>62.68</v>
      </c>
      <c r="U810">
        <v>67.912000000000006</v>
      </c>
      <c r="V810">
        <v>68.691000000000003</v>
      </c>
      <c r="W810">
        <v>70.367000000000004</v>
      </c>
      <c r="X810">
        <v>72.167000000000002</v>
      </c>
      <c r="Y810">
        <v>74.908000000000001</v>
      </c>
      <c r="Z810">
        <v>75.686999999999998</v>
      </c>
      <c r="AA810">
        <v>76.873999999999995</v>
      </c>
      <c r="AB810">
        <v>77.474000000000004</v>
      </c>
      <c r="AC810">
        <v>78.198999999999998</v>
      </c>
      <c r="AD810">
        <v>79.418000000000006</v>
      </c>
      <c r="AE810">
        <v>81.406999999999996</v>
      </c>
      <c r="AF810">
        <v>82.706000000000003</v>
      </c>
      <c r="AG810">
        <v>84.16</v>
      </c>
      <c r="AH810">
        <v>84.521000000000001</v>
      </c>
      <c r="AI810">
        <v>85.200999999999993</v>
      </c>
      <c r="AJ810">
        <v>86.751999999999995</v>
      </c>
      <c r="AK810">
        <v>89.254999999999995</v>
      </c>
      <c r="AL810">
        <v>92.22</v>
      </c>
      <c r="AM810">
        <v>94.418000000000006</v>
      </c>
      <c r="AN810">
        <v>95.352999999999994</v>
      </c>
      <c r="AO810">
        <v>96.481999999999999</v>
      </c>
      <c r="AP810">
        <v>97.506</v>
      </c>
      <c r="AQ810">
        <v>98.629000000000005</v>
      </c>
      <c r="AR810">
        <v>100</v>
      </c>
      <c r="AS810">
        <v>101.72799999999999</v>
      </c>
      <c r="AT810">
        <v>103.175</v>
      </c>
      <c r="AU810">
        <v>104.80500000000001</v>
      </c>
      <c r="AV810">
        <v>106.932</v>
      </c>
      <c r="AW810">
        <v>109.071</v>
      </c>
      <c r="AX810">
        <v>111.252</v>
      </c>
      <c r="AY810">
        <v>2014</v>
      </c>
    </row>
    <row r="811" spans="1:51" x14ac:dyDescent="0.25">
      <c r="A811">
        <v>144</v>
      </c>
      <c r="B811" t="s">
        <v>792</v>
      </c>
      <c r="C811" t="s">
        <v>298</v>
      </c>
      <c r="D811" t="s">
        <v>209</v>
      </c>
      <c r="E811" t="s">
        <v>299</v>
      </c>
      <c r="F811" t="s">
        <v>300</v>
      </c>
      <c r="G811" t="s">
        <v>282</v>
      </c>
      <c r="H811" t="s">
        <v>283</v>
      </c>
      <c r="I811" t="s">
        <v>794</v>
      </c>
      <c r="J811">
        <v>350.21699999999998</v>
      </c>
      <c r="K811">
        <v>399.17099999999999</v>
      </c>
      <c r="L811">
        <v>451.01</v>
      </c>
      <c r="M811">
        <v>502.51100000000002</v>
      </c>
      <c r="N811">
        <v>540.70799999999997</v>
      </c>
      <c r="O811">
        <v>599.33600000000001</v>
      </c>
      <c r="P811">
        <v>635.99900000000002</v>
      </c>
      <c r="Q811">
        <v>663.69500000000005</v>
      </c>
      <c r="R811">
        <v>708.39200000000005</v>
      </c>
      <c r="S811">
        <v>784.90899999999999</v>
      </c>
      <c r="T811">
        <v>876.85799999999995</v>
      </c>
      <c r="U811">
        <v>999.01</v>
      </c>
      <c r="V811" s="21">
        <v>1086.462</v>
      </c>
      <c r="W811" s="21">
        <v>1116.32</v>
      </c>
      <c r="X811" s="21">
        <v>1143.8389999999999</v>
      </c>
      <c r="Y811" s="21">
        <v>1175.297</v>
      </c>
      <c r="Z811" s="21">
        <v>1166.424</v>
      </c>
      <c r="AA811" s="21">
        <v>1172.576</v>
      </c>
      <c r="AB811" s="21">
        <v>1190.319</v>
      </c>
      <c r="AC811" s="21">
        <v>1242.683</v>
      </c>
      <c r="AD811" s="21">
        <v>1248.029</v>
      </c>
      <c r="AE811" s="21">
        <v>1280.463</v>
      </c>
      <c r="AF811" s="21">
        <v>1358.5650000000001</v>
      </c>
      <c r="AG811" s="21">
        <v>1416.768</v>
      </c>
      <c r="AH811" s="21">
        <v>1441.64</v>
      </c>
      <c r="AI811" s="21">
        <v>1491.3820000000001</v>
      </c>
      <c r="AJ811" s="21">
        <v>1552.127</v>
      </c>
      <c r="AK811" s="21">
        <v>1592.807</v>
      </c>
      <c r="AL811" s="21">
        <v>1657.8889999999999</v>
      </c>
      <c r="AM811" s="21">
        <v>1706.3620000000001</v>
      </c>
      <c r="AN811" s="21">
        <v>1746.6030000000001</v>
      </c>
      <c r="AO811" s="21">
        <v>1791.829</v>
      </c>
      <c r="AP811" s="21">
        <v>1849.96</v>
      </c>
      <c r="AQ811" s="21">
        <v>1912.402</v>
      </c>
      <c r="AR811" s="21">
        <v>1973.4960000000001</v>
      </c>
      <c r="AS811" s="21">
        <v>2048.893</v>
      </c>
      <c r="AT811" s="21">
        <v>2128.2220000000002</v>
      </c>
      <c r="AU811" s="21">
        <v>2219.2629999999999</v>
      </c>
      <c r="AV811" s="21">
        <v>2312.5039999999999</v>
      </c>
      <c r="AW811" s="21">
        <v>2393.15</v>
      </c>
      <c r="AX811" s="21">
        <v>2473.3580000000002</v>
      </c>
      <c r="AY811">
        <v>2012</v>
      </c>
    </row>
    <row r="812" spans="1:51" x14ac:dyDescent="0.25">
      <c r="A812">
        <v>146</v>
      </c>
      <c r="B812" t="s">
        <v>795</v>
      </c>
      <c r="C812" t="s">
        <v>279</v>
      </c>
      <c r="D812" t="s">
        <v>210</v>
      </c>
      <c r="E812" t="s">
        <v>280</v>
      </c>
      <c r="F812" t="s">
        <v>281</v>
      </c>
      <c r="G812" t="s">
        <v>282</v>
      </c>
      <c r="H812" t="s">
        <v>283</v>
      </c>
      <c r="I812" t="s">
        <v>796</v>
      </c>
      <c r="J812">
        <v>359.47399999999999</v>
      </c>
      <c r="K812">
        <v>365.084</v>
      </c>
      <c r="L812">
        <v>359.69499999999999</v>
      </c>
      <c r="M812">
        <v>362.202</v>
      </c>
      <c r="N812">
        <v>373.40100000000001</v>
      </c>
      <c r="O812">
        <v>387.17399999999998</v>
      </c>
      <c r="P812">
        <v>394.37700000000001</v>
      </c>
      <c r="Q812">
        <v>400.36500000000001</v>
      </c>
      <c r="R812">
        <v>413.541</v>
      </c>
      <c r="S812">
        <v>431.63600000000002</v>
      </c>
      <c r="T812">
        <v>447.60399999999998</v>
      </c>
      <c r="U812">
        <v>443.41899999999998</v>
      </c>
      <c r="V812">
        <v>442.82900000000001</v>
      </c>
      <c r="W812">
        <v>442.029</v>
      </c>
      <c r="X812">
        <v>447.92200000000003</v>
      </c>
      <c r="Y812">
        <v>450.34</v>
      </c>
      <c r="Z812">
        <v>452.90300000000002</v>
      </c>
      <c r="AA812">
        <v>463.27499999999998</v>
      </c>
      <c r="AB812">
        <v>476.65300000000002</v>
      </c>
      <c r="AC812">
        <v>484.38200000000001</v>
      </c>
      <c r="AD812">
        <v>504.291</v>
      </c>
      <c r="AE812">
        <v>511.584</v>
      </c>
      <c r="AF812">
        <v>512.34</v>
      </c>
      <c r="AG812">
        <v>512.75699999999995</v>
      </c>
      <c r="AH812">
        <v>526.55799999999999</v>
      </c>
      <c r="AI812">
        <v>542.75</v>
      </c>
      <c r="AJ812">
        <v>564.93200000000002</v>
      </c>
      <c r="AK812">
        <v>588.37699999999995</v>
      </c>
      <c r="AL812">
        <v>601.43700000000001</v>
      </c>
      <c r="AM812">
        <v>588.67399999999998</v>
      </c>
      <c r="AN812">
        <v>605.68200000000002</v>
      </c>
      <c r="AO812">
        <v>617.13599999999997</v>
      </c>
      <c r="AP812">
        <v>623.904</v>
      </c>
      <c r="AQ812">
        <v>635.16200000000003</v>
      </c>
      <c r="AR812">
        <v>647.03399999999999</v>
      </c>
      <c r="AS812">
        <v>653.47500000000002</v>
      </c>
      <c r="AT812">
        <v>661.95799999999997</v>
      </c>
      <c r="AU812">
        <v>671.88699999999994</v>
      </c>
      <c r="AV812">
        <v>684.65300000000002</v>
      </c>
      <c r="AW812">
        <v>697.66099999999994</v>
      </c>
      <c r="AX812">
        <v>710.91700000000003</v>
      </c>
      <c r="AY812">
        <v>2014</v>
      </c>
    </row>
    <row r="813" spans="1:51" x14ac:dyDescent="0.25">
      <c r="A813">
        <v>146</v>
      </c>
      <c r="B813" t="s">
        <v>795</v>
      </c>
      <c r="C813" t="s">
        <v>286</v>
      </c>
      <c r="D813" t="s">
        <v>210</v>
      </c>
      <c r="E813" t="s">
        <v>287</v>
      </c>
      <c r="F813" t="s">
        <v>288</v>
      </c>
      <c r="G813" t="s">
        <v>282</v>
      </c>
      <c r="H813" t="s">
        <v>283</v>
      </c>
      <c r="I813" t="s">
        <v>796</v>
      </c>
      <c r="J813">
        <v>198.93100000000001</v>
      </c>
      <c r="K813">
        <v>213.39500000000001</v>
      </c>
      <c r="L813">
        <v>225.95500000000001</v>
      </c>
      <c r="M813">
        <v>232.97300000000001</v>
      </c>
      <c r="N813">
        <v>249.09100000000001</v>
      </c>
      <c r="O813">
        <v>264.209</v>
      </c>
      <c r="P813">
        <v>277.20600000000002</v>
      </c>
      <c r="Q813">
        <v>287.65899999999999</v>
      </c>
      <c r="R813">
        <v>305.48700000000002</v>
      </c>
      <c r="S813">
        <v>329.83699999999999</v>
      </c>
      <c r="T813">
        <v>357.71600000000001</v>
      </c>
      <c r="U813">
        <v>373.52300000000002</v>
      </c>
      <c r="V813">
        <v>381.00599999999997</v>
      </c>
      <c r="W813">
        <v>389.22699999999998</v>
      </c>
      <c r="X813">
        <v>399.14499999999998</v>
      </c>
      <c r="Y813">
        <v>404.18700000000001</v>
      </c>
      <c r="Z813">
        <v>407.45400000000001</v>
      </c>
      <c r="AA813">
        <v>415.85300000000001</v>
      </c>
      <c r="AB813">
        <v>427.22699999999998</v>
      </c>
      <c r="AC813">
        <v>434.92500000000001</v>
      </c>
      <c r="AD813">
        <v>459.06</v>
      </c>
      <c r="AE813">
        <v>470.45400000000001</v>
      </c>
      <c r="AF813">
        <v>469.608</v>
      </c>
      <c r="AG813">
        <v>474.43099999999998</v>
      </c>
      <c r="AH813">
        <v>488.81799999999998</v>
      </c>
      <c r="AI813">
        <v>507.488</v>
      </c>
      <c r="AJ813">
        <v>538.404</v>
      </c>
      <c r="AK813">
        <v>573.49400000000003</v>
      </c>
      <c r="AL813">
        <v>596.82399999999996</v>
      </c>
      <c r="AM813">
        <v>587.33799999999997</v>
      </c>
      <c r="AN813">
        <v>605.68200000000002</v>
      </c>
      <c r="AO813">
        <v>618.55999999999995</v>
      </c>
      <c r="AP813">
        <v>623.77099999999996</v>
      </c>
      <c r="AQ813">
        <v>635.08500000000004</v>
      </c>
      <c r="AR813">
        <v>644.83500000000004</v>
      </c>
      <c r="AS813">
        <v>642.86800000000005</v>
      </c>
      <c r="AT813">
        <v>649.47799999999995</v>
      </c>
      <c r="AU813">
        <v>661.02700000000004</v>
      </c>
      <c r="AV813">
        <v>678.92399999999998</v>
      </c>
      <c r="AW813">
        <v>698.40099999999995</v>
      </c>
      <c r="AX813">
        <v>718.90700000000004</v>
      </c>
      <c r="AY813">
        <v>2014</v>
      </c>
    </row>
    <row r="814" spans="1:51" x14ac:dyDescent="0.25">
      <c r="A814">
        <v>146</v>
      </c>
      <c r="B814" t="s">
        <v>795</v>
      </c>
      <c r="C814" t="s">
        <v>289</v>
      </c>
      <c r="D814" t="s">
        <v>210</v>
      </c>
      <c r="E814" t="s">
        <v>287</v>
      </c>
      <c r="F814" t="s">
        <v>290</v>
      </c>
      <c r="G814" t="s">
        <v>291</v>
      </c>
      <c r="H814" t="s">
        <v>283</v>
      </c>
      <c r="I814" t="s">
        <v>292</v>
      </c>
      <c r="J814">
        <v>118.714</v>
      </c>
      <c r="K814">
        <v>108.67400000000001</v>
      </c>
      <c r="L814">
        <v>111.313</v>
      </c>
      <c r="M814">
        <v>110.99299999999999</v>
      </c>
      <c r="N814">
        <v>106.02500000000001</v>
      </c>
      <c r="O814">
        <v>107.58</v>
      </c>
      <c r="P814">
        <v>154.15100000000001</v>
      </c>
      <c r="Q814">
        <v>192.94900000000001</v>
      </c>
      <c r="R814">
        <v>208.8</v>
      </c>
      <c r="S814">
        <v>201.666</v>
      </c>
      <c r="T814">
        <v>257.54399999999998</v>
      </c>
      <c r="U814">
        <v>260.54199999999997</v>
      </c>
      <c r="V814">
        <v>271.053</v>
      </c>
      <c r="W814">
        <v>263.44499999999999</v>
      </c>
      <c r="X814">
        <v>291.88299999999998</v>
      </c>
      <c r="Y814">
        <v>341.911</v>
      </c>
      <c r="Z814">
        <v>329.69200000000001</v>
      </c>
      <c r="AA814">
        <v>286.58100000000002</v>
      </c>
      <c r="AB814">
        <v>294.70699999999999</v>
      </c>
      <c r="AC814">
        <v>289.54399999999998</v>
      </c>
      <c r="AD814">
        <v>271.86099999999999</v>
      </c>
      <c r="AE814">
        <v>278.82299999999998</v>
      </c>
      <c r="AF814">
        <v>301.33699999999999</v>
      </c>
      <c r="AG814">
        <v>352.375</v>
      </c>
      <c r="AH814">
        <v>393.11599999999999</v>
      </c>
      <c r="AI814">
        <v>407.61099999999999</v>
      </c>
      <c r="AJ814">
        <v>429.43200000000002</v>
      </c>
      <c r="AK814">
        <v>477.79700000000003</v>
      </c>
      <c r="AL814">
        <v>552.4</v>
      </c>
      <c r="AM814">
        <v>541.04200000000003</v>
      </c>
      <c r="AN814">
        <v>580.76400000000001</v>
      </c>
      <c r="AO814">
        <v>696.54399999999998</v>
      </c>
      <c r="AP814">
        <v>665.22500000000002</v>
      </c>
      <c r="AQ814">
        <v>685.16800000000001</v>
      </c>
      <c r="AR814">
        <v>703.85199999999998</v>
      </c>
      <c r="AS814">
        <v>676.97900000000004</v>
      </c>
      <c r="AT814">
        <v>687.59100000000001</v>
      </c>
      <c r="AU814">
        <v>707.52700000000004</v>
      </c>
      <c r="AV814">
        <v>727.226</v>
      </c>
      <c r="AW814">
        <v>746.28</v>
      </c>
      <c r="AX814">
        <v>770.92700000000002</v>
      </c>
      <c r="AY814">
        <v>2014</v>
      </c>
    </row>
    <row r="815" spans="1:51" x14ac:dyDescent="0.25">
      <c r="A815">
        <v>146</v>
      </c>
      <c r="B815" t="s">
        <v>795</v>
      </c>
      <c r="C815" t="s">
        <v>293</v>
      </c>
      <c r="D815" t="s">
        <v>210</v>
      </c>
      <c r="E815" t="s">
        <v>294</v>
      </c>
      <c r="F815" t="s">
        <v>295</v>
      </c>
      <c r="G815" t="s">
        <v>296</v>
      </c>
      <c r="I815" t="s">
        <v>297</v>
      </c>
      <c r="J815">
        <v>55.338999999999999</v>
      </c>
      <c r="K815">
        <v>58.451000000000001</v>
      </c>
      <c r="L815">
        <v>62.817999999999998</v>
      </c>
      <c r="M815">
        <v>64.320999999999998</v>
      </c>
      <c r="N815">
        <v>66.709000000000003</v>
      </c>
      <c r="O815">
        <v>68.239999999999995</v>
      </c>
      <c r="P815">
        <v>70.290000000000006</v>
      </c>
      <c r="Q815">
        <v>71.849000000000004</v>
      </c>
      <c r="R815">
        <v>73.870999999999995</v>
      </c>
      <c r="S815">
        <v>76.415999999999997</v>
      </c>
      <c r="T815">
        <v>79.918000000000006</v>
      </c>
      <c r="U815">
        <v>84.236999999999995</v>
      </c>
      <c r="V815">
        <v>86.039000000000001</v>
      </c>
      <c r="W815">
        <v>88.055000000000007</v>
      </c>
      <c r="X815">
        <v>89.11</v>
      </c>
      <c r="Y815">
        <v>89.751000000000005</v>
      </c>
      <c r="Z815">
        <v>89.965000000000003</v>
      </c>
      <c r="AA815">
        <v>89.763999999999996</v>
      </c>
      <c r="AB815">
        <v>89.631</v>
      </c>
      <c r="AC815">
        <v>89.79</v>
      </c>
      <c r="AD815">
        <v>91.031000000000006</v>
      </c>
      <c r="AE815">
        <v>91.96</v>
      </c>
      <c r="AF815">
        <v>91.659000000000006</v>
      </c>
      <c r="AG815">
        <v>92.525999999999996</v>
      </c>
      <c r="AH815">
        <v>92.832999999999998</v>
      </c>
      <c r="AI815">
        <v>93.503</v>
      </c>
      <c r="AJ815">
        <v>95.304000000000002</v>
      </c>
      <c r="AK815">
        <v>97.471000000000004</v>
      </c>
      <c r="AL815">
        <v>99.233000000000004</v>
      </c>
      <c r="AM815">
        <v>99.772999999999996</v>
      </c>
      <c r="AN815">
        <v>100</v>
      </c>
      <c r="AO815">
        <v>100.23099999999999</v>
      </c>
      <c r="AP815">
        <v>99.978999999999999</v>
      </c>
      <c r="AQ815">
        <v>99.988</v>
      </c>
      <c r="AR815">
        <v>99.66</v>
      </c>
      <c r="AS815">
        <v>98.376999999999995</v>
      </c>
      <c r="AT815">
        <v>98.114999999999995</v>
      </c>
      <c r="AU815">
        <v>98.384</v>
      </c>
      <c r="AV815">
        <v>99.162999999999997</v>
      </c>
      <c r="AW815">
        <v>100.10599999999999</v>
      </c>
      <c r="AX815">
        <v>101.124</v>
      </c>
      <c r="AY815">
        <v>2014</v>
      </c>
    </row>
    <row r="816" spans="1:51" x14ac:dyDescent="0.25">
      <c r="A816">
        <v>146</v>
      </c>
      <c r="B816" t="s">
        <v>795</v>
      </c>
      <c r="C816" t="s">
        <v>298</v>
      </c>
      <c r="D816" t="s">
        <v>210</v>
      </c>
      <c r="E816" t="s">
        <v>299</v>
      </c>
      <c r="F816" t="s">
        <v>300</v>
      </c>
      <c r="G816" t="s">
        <v>282</v>
      </c>
      <c r="H816" t="s">
        <v>283</v>
      </c>
      <c r="I816" t="s">
        <v>797</v>
      </c>
      <c r="J816" t="s">
        <v>285</v>
      </c>
      <c r="K816" t="s">
        <v>285</v>
      </c>
      <c r="L816" t="s">
        <v>285</v>
      </c>
      <c r="M816">
        <v>71.119</v>
      </c>
      <c r="N816">
        <v>74.814999999999998</v>
      </c>
      <c r="O816">
        <v>78.126999999999995</v>
      </c>
      <c r="P816">
        <v>81.704999999999998</v>
      </c>
      <c r="Q816">
        <v>84.248999999999995</v>
      </c>
      <c r="R816">
        <v>90.977000000000004</v>
      </c>
      <c r="S816">
        <v>96.272000000000006</v>
      </c>
      <c r="T816">
        <v>104.111</v>
      </c>
      <c r="U816">
        <v>115.996</v>
      </c>
      <c r="V816">
        <v>125.989</v>
      </c>
      <c r="W816">
        <v>133.846</v>
      </c>
      <c r="X816">
        <v>137.09200000000001</v>
      </c>
      <c r="Y816">
        <v>138.49700000000001</v>
      </c>
      <c r="Z816">
        <v>141.91</v>
      </c>
      <c r="AA816">
        <v>144.51900000000001</v>
      </c>
      <c r="AB816">
        <v>147.66499999999999</v>
      </c>
      <c r="AC816">
        <v>147.27600000000001</v>
      </c>
      <c r="AD816">
        <v>148.72</v>
      </c>
      <c r="AE816">
        <v>156.27500000000001</v>
      </c>
      <c r="AF816">
        <v>162.047</v>
      </c>
      <c r="AG816">
        <v>167.43799999999999</v>
      </c>
      <c r="AH816">
        <v>170.739</v>
      </c>
      <c r="AI816">
        <v>173.86600000000001</v>
      </c>
      <c r="AJ816">
        <v>174.941</v>
      </c>
      <c r="AK816">
        <v>180.476</v>
      </c>
      <c r="AL816">
        <v>177.321</v>
      </c>
      <c r="AM816">
        <v>184.01300000000001</v>
      </c>
      <c r="AN816">
        <v>188.04499999999999</v>
      </c>
      <c r="AO816">
        <v>194.20400000000001</v>
      </c>
      <c r="AP816">
        <v>195.84299999999999</v>
      </c>
      <c r="AQ816">
        <v>200.01</v>
      </c>
      <c r="AR816">
        <v>202.75899999999999</v>
      </c>
      <c r="AS816">
        <v>202.929</v>
      </c>
      <c r="AT816">
        <v>204.92099999999999</v>
      </c>
      <c r="AU816">
        <v>208.22300000000001</v>
      </c>
      <c r="AV816">
        <v>213.261</v>
      </c>
      <c r="AW816">
        <v>219.1</v>
      </c>
      <c r="AX816">
        <v>225.38900000000001</v>
      </c>
      <c r="AY816">
        <v>2012</v>
      </c>
    </row>
    <row r="817" spans="1:51" x14ac:dyDescent="0.25">
      <c r="A817">
        <v>463</v>
      </c>
      <c r="B817" t="s">
        <v>798</v>
      </c>
      <c r="C817" t="s">
        <v>279</v>
      </c>
      <c r="D817" t="s">
        <v>211</v>
      </c>
      <c r="E817" t="s">
        <v>280</v>
      </c>
      <c r="F817" t="s">
        <v>281</v>
      </c>
      <c r="G817" t="s">
        <v>282</v>
      </c>
      <c r="H817" t="s">
        <v>283</v>
      </c>
      <c r="I817" t="s">
        <v>799</v>
      </c>
      <c r="J817">
        <v>464.24099999999999</v>
      </c>
      <c r="K817">
        <v>503.53</v>
      </c>
      <c r="L817">
        <v>516.53399999999999</v>
      </c>
      <c r="M817">
        <v>524.82399999999996</v>
      </c>
      <c r="N817">
        <v>490.72</v>
      </c>
      <c r="O817">
        <v>526.524</v>
      </c>
      <c r="P817">
        <v>501.47800000000001</v>
      </c>
      <c r="Q817">
        <v>507.75299999999999</v>
      </c>
      <c r="R817">
        <v>572.34199999999998</v>
      </c>
      <c r="S817">
        <v>537.61800000000005</v>
      </c>
      <c r="T817">
        <v>593.303</v>
      </c>
      <c r="U817">
        <v>656.94600000000003</v>
      </c>
      <c r="V817">
        <v>743.96699999999998</v>
      </c>
      <c r="W817">
        <v>799.08500000000004</v>
      </c>
      <c r="X817">
        <v>843.30499999999995</v>
      </c>
      <c r="Y817">
        <v>889.03899999999999</v>
      </c>
      <c r="Z817">
        <v>915.40800000000002</v>
      </c>
      <c r="AA817">
        <v>905.42899999999997</v>
      </c>
      <c r="AB817">
        <v>955.71299999999997</v>
      </c>
      <c r="AC817">
        <v>925.88400000000001</v>
      </c>
      <c r="AD817">
        <v>947.13</v>
      </c>
      <c r="AE817">
        <v>981.98299999999995</v>
      </c>
      <c r="AF817" s="21">
        <v>1039.8879999999999</v>
      </c>
      <c r="AG817" s="21">
        <v>1018.708</v>
      </c>
      <c r="AH817" s="21">
        <v>1089.0260000000001</v>
      </c>
      <c r="AI817" s="21">
        <v>1156.7139999999999</v>
      </c>
      <c r="AJ817" s="21">
        <v>1215.0820000000001</v>
      </c>
      <c r="AK817" s="21">
        <v>1284.0350000000001</v>
      </c>
      <c r="AL817" s="21">
        <v>1341.5150000000001</v>
      </c>
      <c r="AM817" s="21">
        <v>1420.8320000000001</v>
      </c>
      <c r="AN817" s="21">
        <v>1469.703</v>
      </c>
      <c r="AO817" t="s">
        <v>285</v>
      </c>
      <c r="AP817" t="s">
        <v>285</v>
      </c>
      <c r="AQ817" t="s">
        <v>285</v>
      </c>
      <c r="AR817" t="s">
        <v>285</v>
      </c>
      <c r="AS817" t="s">
        <v>285</v>
      </c>
      <c r="AT817" t="s">
        <v>285</v>
      </c>
      <c r="AU817" t="s">
        <v>285</v>
      </c>
      <c r="AV817" t="s">
        <v>285</v>
      </c>
      <c r="AW817" t="s">
        <v>285</v>
      </c>
      <c r="AX817" t="s">
        <v>285</v>
      </c>
      <c r="AY817">
        <v>2010</v>
      </c>
    </row>
    <row r="818" spans="1:51" x14ac:dyDescent="0.25">
      <c r="A818">
        <v>463</v>
      </c>
      <c r="B818" t="s">
        <v>798</v>
      </c>
      <c r="C818" t="s">
        <v>286</v>
      </c>
      <c r="D818" t="s">
        <v>211</v>
      </c>
      <c r="E818" t="s">
        <v>287</v>
      </c>
      <c r="F818" t="s">
        <v>288</v>
      </c>
      <c r="G818" t="s">
        <v>282</v>
      </c>
      <c r="H818" t="s">
        <v>283</v>
      </c>
      <c r="I818" t="s">
        <v>799</v>
      </c>
      <c r="J818">
        <v>51.27</v>
      </c>
      <c r="K818">
        <v>65.777000000000001</v>
      </c>
      <c r="L818">
        <v>68.787999999999997</v>
      </c>
      <c r="M818">
        <v>73.290999999999997</v>
      </c>
      <c r="N818">
        <v>75.341999999999999</v>
      </c>
      <c r="O818">
        <v>83.224999999999994</v>
      </c>
      <c r="P818">
        <v>99.933000000000007</v>
      </c>
      <c r="Q818">
        <v>127.712</v>
      </c>
      <c r="R818">
        <v>186.047</v>
      </c>
      <c r="S818">
        <v>208.892</v>
      </c>
      <c r="T818">
        <v>268.32799999999997</v>
      </c>
      <c r="U818">
        <v>311.56400000000002</v>
      </c>
      <c r="V818">
        <v>371.63</v>
      </c>
      <c r="W818">
        <v>413.755</v>
      </c>
      <c r="X818">
        <v>506.101</v>
      </c>
      <c r="Y818">
        <v>570.97500000000002</v>
      </c>
      <c r="Z818">
        <v>690.85699999999997</v>
      </c>
      <c r="AA818">
        <v>745.56899999999996</v>
      </c>
      <c r="AB818">
        <v>790.44399999999996</v>
      </c>
      <c r="AC818">
        <v>819.09199999999998</v>
      </c>
      <c r="AD818">
        <v>947.13</v>
      </c>
      <c r="AE818" s="21">
        <v>1010.152</v>
      </c>
      <c r="AF818" s="21">
        <v>1118.106</v>
      </c>
      <c r="AG818" s="21">
        <v>1074.163</v>
      </c>
      <c r="AH818" s="21">
        <v>1266.8910000000001</v>
      </c>
      <c r="AI818" s="21">
        <v>1506.44</v>
      </c>
      <c r="AJ818" s="21">
        <v>1726.404</v>
      </c>
      <c r="AK818" s="21">
        <v>2020.838</v>
      </c>
      <c r="AL818" s="21">
        <v>2448.06</v>
      </c>
      <c r="AM818" s="21">
        <v>2520.7049999999999</v>
      </c>
      <c r="AN818" s="21">
        <v>2791.7750000000001</v>
      </c>
      <c r="AO818" t="s">
        <v>285</v>
      </c>
      <c r="AP818" t="s">
        <v>285</v>
      </c>
      <c r="AQ818" t="s">
        <v>285</v>
      </c>
      <c r="AR818" t="s">
        <v>285</v>
      </c>
      <c r="AS818" t="s">
        <v>285</v>
      </c>
      <c r="AT818" t="s">
        <v>285</v>
      </c>
      <c r="AU818" t="s">
        <v>285</v>
      </c>
      <c r="AV818" t="s">
        <v>285</v>
      </c>
      <c r="AW818" t="s">
        <v>285</v>
      </c>
      <c r="AX818" t="s">
        <v>285</v>
      </c>
      <c r="AY818">
        <v>2010</v>
      </c>
    </row>
    <row r="819" spans="1:51" x14ac:dyDescent="0.25">
      <c r="A819">
        <v>463</v>
      </c>
      <c r="B819" t="s">
        <v>798</v>
      </c>
      <c r="C819" t="s">
        <v>289</v>
      </c>
      <c r="D819" t="s">
        <v>211</v>
      </c>
      <c r="E819" t="s">
        <v>287</v>
      </c>
      <c r="F819" t="s">
        <v>290</v>
      </c>
      <c r="G819" t="s">
        <v>291</v>
      </c>
      <c r="H819" t="s">
        <v>283</v>
      </c>
      <c r="I819" t="s">
        <v>292</v>
      </c>
      <c r="J819">
        <v>12.98</v>
      </c>
      <c r="K819">
        <v>16.652000000000001</v>
      </c>
      <c r="L819">
        <v>17.414999999999999</v>
      </c>
      <c r="M819">
        <v>18.649000000000001</v>
      </c>
      <c r="N819">
        <v>19.170999999999999</v>
      </c>
      <c r="O819">
        <v>21.177</v>
      </c>
      <c r="P819">
        <v>25.428000000000001</v>
      </c>
      <c r="Q819">
        <v>32.497</v>
      </c>
      <c r="R819">
        <v>16.538</v>
      </c>
      <c r="S819">
        <v>9.8490000000000002</v>
      </c>
      <c r="T819">
        <v>12.303000000000001</v>
      </c>
      <c r="U819">
        <v>12.738</v>
      </c>
      <c r="V819">
        <v>13.263</v>
      </c>
      <c r="W819">
        <v>13.795999999999999</v>
      </c>
      <c r="X819">
        <v>15.105</v>
      </c>
      <c r="Y819">
        <v>16.556000000000001</v>
      </c>
      <c r="Z819">
        <v>17.760999999999999</v>
      </c>
      <c r="AA819">
        <v>16.573</v>
      </c>
      <c r="AB819">
        <v>16.143999999999998</v>
      </c>
      <c r="AC819">
        <v>16.785</v>
      </c>
      <c r="AD819">
        <v>19.861000000000001</v>
      </c>
      <c r="AE819">
        <v>20.978999999999999</v>
      </c>
      <c r="AF819">
        <v>22.757999999999999</v>
      </c>
      <c r="AG819">
        <v>21.702000000000002</v>
      </c>
      <c r="AH819">
        <v>25.204000000000001</v>
      </c>
      <c r="AI819">
        <v>28.881</v>
      </c>
      <c r="AJ819">
        <v>33.823999999999998</v>
      </c>
      <c r="AK819">
        <v>40.488</v>
      </c>
      <c r="AL819">
        <v>52.631</v>
      </c>
      <c r="AM819">
        <v>53.939</v>
      </c>
      <c r="AN819">
        <v>60.042999999999999</v>
      </c>
      <c r="AO819" t="s">
        <v>285</v>
      </c>
      <c r="AP819" t="s">
        <v>285</v>
      </c>
      <c r="AQ819" t="s">
        <v>285</v>
      </c>
      <c r="AR819" t="s">
        <v>285</v>
      </c>
      <c r="AS819" t="s">
        <v>285</v>
      </c>
      <c r="AT819" t="s">
        <v>285</v>
      </c>
      <c r="AU819" t="s">
        <v>285</v>
      </c>
      <c r="AV819" t="s">
        <v>285</v>
      </c>
      <c r="AW819" t="s">
        <v>285</v>
      </c>
      <c r="AX819" t="s">
        <v>285</v>
      </c>
      <c r="AY819">
        <v>2010</v>
      </c>
    </row>
    <row r="820" spans="1:51" x14ac:dyDescent="0.25">
      <c r="A820">
        <v>463</v>
      </c>
      <c r="B820" t="s">
        <v>798</v>
      </c>
      <c r="C820" t="s">
        <v>293</v>
      </c>
      <c r="D820" t="s">
        <v>211</v>
      </c>
      <c r="E820" t="s">
        <v>294</v>
      </c>
      <c r="F820" t="s">
        <v>295</v>
      </c>
      <c r="G820" t="s">
        <v>296</v>
      </c>
      <c r="I820" t="s">
        <v>297</v>
      </c>
      <c r="J820">
        <v>11.044</v>
      </c>
      <c r="K820">
        <v>13.063000000000001</v>
      </c>
      <c r="L820">
        <v>13.317</v>
      </c>
      <c r="M820">
        <v>13.965</v>
      </c>
      <c r="N820">
        <v>15.353</v>
      </c>
      <c r="O820">
        <v>15.805999999999999</v>
      </c>
      <c r="P820">
        <v>19.928000000000001</v>
      </c>
      <c r="Q820">
        <v>25.152000000000001</v>
      </c>
      <c r="R820">
        <v>32.506</v>
      </c>
      <c r="S820">
        <v>38.854999999999997</v>
      </c>
      <c r="T820">
        <v>45.225999999999999</v>
      </c>
      <c r="U820">
        <v>47.426000000000002</v>
      </c>
      <c r="V820">
        <v>49.951999999999998</v>
      </c>
      <c r="W820">
        <v>51.779000000000003</v>
      </c>
      <c r="X820">
        <v>60.014000000000003</v>
      </c>
      <c r="Y820">
        <v>64.224000000000004</v>
      </c>
      <c r="Z820">
        <v>75.47</v>
      </c>
      <c r="AA820">
        <v>82.343999999999994</v>
      </c>
      <c r="AB820">
        <v>82.706999999999994</v>
      </c>
      <c r="AC820">
        <v>88.465999999999994</v>
      </c>
      <c r="AD820">
        <v>100</v>
      </c>
      <c r="AE820">
        <v>102.869</v>
      </c>
      <c r="AF820">
        <v>107.52200000000001</v>
      </c>
      <c r="AG820">
        <v>105.444</v>
      </c>
      <c r="AH820">
        <v>116.33199999999999</v>
      </c>
      <c r="AI820">
        <v>130.23400000000001</v>
      </c>
      <c r="AJ820">
        <v>142.08099999999999</v>
      </c>
      <c r="AK820">
        <v>157.38200000000001</v>
      </c>
      <c r="AL820">
        <v>182.48500000000001</v>
      </c>
      <c r="AM820">
        <v>177.41</v>
      </c>
      <c r="AN820">
        <v>189.95500000000001</v>
      </c>
      <c r="AO820" t="s">
        <v>285</v>
      </c>
      <c r="AP820" t="s">
        <v>285</v>
      </c>
      <c r="AQ820" t="s">
        <v>285</v>
      </c>
      <c r="AR820" t="s">
        <v>285</v>
      </c>
      <c r="AS820" t="s">
        <v>285</v>
      </c>
      <c r="AT820" t="s">
        <v>285</v>
      </c>
      <c r="AU820" t="s">
        <v>285</v>
      </c>
      <c r="AV820" t="s">
        <v>285</v>
      </c>
      <c r="AW820" t="s">
        <v>285</v>
      </c>
      <c r="AX820" t="s">
        <v>285</v>
      </c>
      <c r="AY820">
        <v>2010</v>
      </c>
    </row>
    <row r="821" spans="1:51" x14ac:dyDescent="0.25">
      <c r="A821">
        <v>463</v>
      </c>
      <c r="B821" t="s">
        <v>798</v>
      </c>
      <c r="C821" t="s">
        <v>298</v>
      </c>
      <c r="D821" t="s">
        <v>211</v>
      </c>
      <c r="E821" t="s">
        <v>299</v>
      </c>
      <c r="F821" t="s">
        <v>300</v>
      </c>
      <c r="G821" t="s">
        <v>282</v>
      </c>
      <c r="H821" t="s">
        <v>283</v>
      </c>
      <c r="I821" t="s">
        <v>800</v>
      </c>
      <c r="J821" t="s">
        <v>285</v>
      </c>
      <c r="K821" t="s">
        <v>285</v>
      </c>
      <c r="L821" t="s">
        <v>285</v>
      </c>
      <c r="M821" t="s">
        <v>285</v>
      </c>
      <c r="N821" t="s">
        <v>285</v>
      </c>
      <c r="O821" t="s">
        <v>285</v>
      </c>
      <c r="P821" t="s">
        <v>285</v>
      </c>
      <c r="Q821" t="s">
        <v>285</v>
      </c>
      <c r="R821" t="s">
        <v>285</v>
      </c>
      <c r="S821" t="s">
        <v>285</v>
      </c>
      <c r="T821">
        <v>75.840999999999994</v>
      </c>
      <c r="U821">
        <v>106.758</v>
      </c>
      <c r="V821">
        <v>126.955</v>
      </c>
      <c r="W821">
        <v>121.67100000000001</v>
      </c>
      <c r="X821">
        <v>153.148</v>
      </c>
      <c r="Y821">
        <v>169.90600000000001</v>
      </c>
      <c r="Z821">
        <v>191.32300000000001</v>
      </c>
      <c r="AA821">
        <v>216.01300000000001</v>
      </c>
      <c r="AB821">
        <v>227.864</v>
      </c>
      <c r="AC821">
        <v>229.56899999999999</v>
      </c>
      <c r="AD821">
        <v>259.197</v>
      </c>
      <c r="AE821">
        <v>282.73599999999999</v>
      </c>
      <c r="AF821">
        <v>318.36900000000003</v>
      </c>
      <c r="AG821">
        <v>350.60899999999998</v>
      </c>
      <c r="AH821">
        <v>396.904</v>
      </c>
      <c r="AI821">
        <v>424.45600000000002</v>
      </c>
      <c r="AJ821">
        <v>454.63799999999998</v>
      </c>
      <c r="AK821">
        <v>519.43499999999995</v>
      </c>
      <c r="AL821">
        <v>561.327</v>
      </c>
      <c r="AM821">
        <v>674.07899999999995</v>
      </c>
      <c r="AN821">
        <v>799.50400000000002</v>
      </c>
      <c r="AO821" t="s">
        <v>285</v>
      </c>
      <c r="AP821" t="s">
        <v>285</v>
      </c>
      <c r="AQ821" t="s">
        <v>285</v>
      </c>
      <c r="AR821" t="s">
        <v>285</v>
      </c>
      <c r="AS821" t="s">
        <v>285</v>
      </c>
      <c r="AT821" t="s">
        <v>285</v>
      </c>
      <c r="AU821" t="s">
        <v>285</v>
      </c>
      <c r="AV821" t="s">
        <v>285</v>
      </c>
      <c r="AW821" t="s">
        <v>285</v>
      </c>
      <c r="AX821" t="s">
        <v>285</v>
      </c>
      <c r="AY821">
        <v>2009</v>
      </c>
    </row>
    <row r="822" spans="1:51" x14ac:dyDescent="0.25">
      <c r="A822">
        <v>528</v>
      </c>
      <c r="B822" t="s">
        <v>801</v>
      </c>
      <c r="C822" t="s">
        <v>279</v>
      </c>
      <c r="D822" t="s">
        <v>802</v>
      </c>
      <c r="E822" t="s">
        <v>280</v>
      </c>
      <c r="F822" t="s">
        <v>281</v>
      </c>
      <c r="G822" t="s">
        <v>282</v>
      </c>
      <c r="H822" t="s">
        <v>283</v>
      </c>
      <c r="I822" t="s">
        <v>803</v>
      </c>
      <c r="J822" s="21">
        <v>2549.7420000000002</v>
      </c>
      <c r="K822" s="21">
        <v>2331.5859999999998</v>
      </c>
      <c r="L822" s="21">
        <v>2443.4490000000001</v>
      </c>
      <c r="M822" s="21">
        <v>2664.424</v>
      </c>
      <c r="N822" s="21">
        <v>2932.1550000000002</v>
      </c>
      <c r="O822" s="21">
        <v>3073.105</v>
      </c>
      <c r="P822" s="21">
        <v>3426.991</v>
      </c>
      <c r="Q822" s="21">
        <v>3862.3049999999998</v>
      </c>
      <c r="R822" s="21">
        <v>4172.0029999999997</v>
      </c>
      <c r="S822" s="21">
        <v>4537.0240000000003</v>
      </c>
      <c r="T822" s="21">
        <v>4793.1629999999996</v>
      </c>
      <c r="U822" s="21">
        <v>5193.8429999999998</v>
      </c>
      <c r="V822" s="21">
        <v>5624.58</v>
      </c>
      <c r="W822" s="21">
        <v>6007.1769999999997</v>
      </c>
      <c r="X822" s="21">
        <v>6457.3620000000001</v>
      </c>
      <c r="Y822" s="21">
        <v>6877.1689999999999</v>
      </c>
      <c r="Z822" s="21">
        <v>7301.8540000000003</v>
      </c>
      <c r="AA822" s="21">
        <v>7748.223</v>
      </c>
      <c r="AB822" s="21">
        <v>8074.5020000000004</v>
      </c>
      <c r="AC822" s="21">
        <v>8616.866</v>
      </c>
      <c r="AD822" s="21">
        <v>9170.116</v>
      </c>
      <c r="AE822" s="21">
        <v>9054.58</v>
      </c>
      <c r="AF822" s="21">
        <v>9559.3340000000007</v>
      </c>
      <c r="AG822" s="21">
        <v>9953.2350000000006</v>
      </c>
      <c r="AH822" s="21">
        <v>10600.793</v>
      </c>
      <c r="AI822" s="21">
        <v>11174.918</v>
      </c>
      <c r="AJ822" s="21">
        <v>11803.334999999999</v>
      </c>
      <c r="AK822" s="21">
        <v>12572.55</v>
      </c>
      <c r="AL822" s="21">
        <v>12661.079</v>
      </c>
      <c r="AM822" s="21">
        <v>12462.728999999999</v>
      </c>
      <c r="AN822" s="21">
        <v>13787.642</v>
      </c>
      <c r="AO822" s="21">
        <v>14312.2</v>
      </c>
      <c r="AP822" s="21">
        <v>14607.569</v>
      </c>
      <c r="AQ822" s="21">
        <v>14933.673000000001</v>
      </c>
      <c r="AR822" s="21">
        <v>15496.844999999999</v>
      </c>
      <c r="AS822" s="21">
        <v>15844.138000000001</v>
      </c>
      <c r="AT822" s="21">
        <v>16257.567999999999</v>
      </c>
      <c r="AU822" s="21">
        <v>16724.567999999999</v>
      </c>
      <c r="AV822" s="21">
        <v>17236.713</v>
      </c>
      <c r="AW822" s="21">
        <v>17769.575000000001</v>
      </c>
      <c r="AX822" s="21">
        <v>18331.530999999999</v>
      </c>
      <c r="AY822">
        <v>2014</v>
      </c>
    </row>
    <row r="823" spans="1:51" x14ac:dyDescent="0.25">
      <c r="A823">
        <v>528</v>
      </c>
      <c r="B823" t="s">
        <v>801</v>
      </c>
      <c r="C823" t="s">
        <v>286</v>
      </c>
      <c r="D823" t="s">
        <v>802</v>
      </c>
      <c r="E823" t="s">
        <v>287</v>
      </c>
      <c r="F823" t="s">
        <v>288</v>
      </c>
      <c r="G823" t="s">
        <v>282</v>
      </c>
      <c r="H823" t="s">
        <v>283</v>
      </c>
      <c r="I823" t="s">
        <v>803</v>
      </c>
      <c r="J823" s="21">
        <v>1522.625</v>
      </c>
      <c r="K823" s="21">
        <v>1805.0429999999999</v>
      </c>
      <c r="L823" s="21">
        <v>1938.394</v>
      </c>
      <c r="M823" s="21">
        <v>2170.0050000000001</v>
      </c>
      <c r="N823" s="21">
        <v>2418.884</v>
      </c>
      <c r="O823" s="21">
        <v>2536.0120000000002</v>
      </c>
      <c r="P823" s="21">
        <v>2966.9110000000001</v>
      </c>
      <c r="Q823" s="21">
        <v>3344.962</v>
      </c>
      <c r="R823" s="21">
        <v>3615.319</v>
      </c>
      <c r="S823" s="21">
        <v>4033.0709999999999</v>
      </c>
      <c r="T823" s="21">
        <v>4480.2879999999996</v>
      </c>
      <c r="U823" s="21">
        <v>5023.7629999999999</v>
      </c>
      <c r="V823" s="21">
        <v>5614.6790000000001</v>
      </c>
      <c r="W823" s="21">
        <v>6205.3379999999997</v>
      </c>
      <c r="X823" s="21">
        <v>6784.442</v>
      </c>
      <c r="Y823" s="21">
        <v>7396.65</v>
      </c>
      <c r="Z823" s="21">
        <v>8036.59</v>
      </c>
      <c r="AA823" s="21">
        <v>8717.241</v>
      </c>
      <c r="AB823" s="21">
        <v>9381.1409999999996</v>
      </c>
      <c r="AC823" s="21">
        <v>9815.5949999999993</v>
      </c>
      <c r="AD823" s="21">
        <v>10351.26</v>
      </c>
      <c r="AE823" s="21">
        <v>10158.209000000001</v>
      </c>
      <c r="AF823" s="21">
        <v>10680.883</v>
      </c>
      <c r="AG823" s="21">
        <v>10965.866</v>
      </c>
      <c r="AH823" s="21">
        <v>11649.645</v>
      </c>
      <c r="AI823" s="21">
        <v>12092.254000000001</v>
      </c>
      <c r="AJ823" s="21">
        <v>12640.803</v>
      </c>
      <c r="AK823" s="21">
        <v>13407.062</v>
      </c>
      <c r="AL823" s="21">
        <v>13150.95</v>
      </c>
      <c r="AM823" s="21">
        <v>12961.656000000001</v>
      </c>
      <c r="AN823" s="21">
        <v>14119.213</v>
      </c>
      <c r="AO823" s="21">
        <v>14312.2</v>
      </c>
      <c r="AP823" s="21">
        <v>14686.916999999999</v>
      </c>
      <c r="AQ823" s="21">
        <v>15221.200999999999</v>
      </c>
      <c r="AR823" s="21">
        <v>16084.003000000001</v>
      </c>
      <c r="AS823" s="21">
        <v>16150.573</v>
      </c>
      <c r="AT823" s="21">
        <v>16591.650000000001</v>
      </c>
      <c r="AU823" s="21">
        <v>17160.72</v>
      </c>
      <c r="AV823" s="21">
        <v>17789.702000000001</v>
      </c>
      <c r="AW823" s="21">
        <v>18560.558000000001</v>
      </c>
      <c r="AX823" s="21">
        <v>19440.927</v>
      </c>
      <c r="AY823">
        <v>2014</v>
      </c>
    </row>
    <row r="824" spans="1:51" x14ac:dyDescent="0.25">
      <c r="A824">
        <v>528</v>
      </c>
      <c r="B824" t="s">
        <v>801</v>
      </c>
      <c r="C824" t="s">
        <v>289</v>
      </c>
      <c r="D824" t="s">
        <v>802</v>
      </c>
      <c r="E824" t="s">
        <v>287</v>
      </c>
      <c r="F824" t="s">
        <v>290</v>
      </c>
      <c r="G824" t="s">
        <v>291</v>
      </c>
      <c r="H824" t="s">
        <v>283</v>
      </c>
      <c r="I824" t="s">
        <v>292</v>
      </c>
      <c r="J824">
        <v>42.295999999999999</v>
      </c>
      <c r="K824">
        <v>48.985999999999997</v>
      </c>
      <c r="L824">
        <v>49.545000000000002</v>
      </c>
      <c r="M824">
        <v>54.161999999999999</v>
      </c>
      <c r="N824">
        <v>61.088000000000001</v>
      </c>
      <c r="O824">
        <v>63.640999999999998</v>
      </c>
      <c r="P824">
        <v>78.233999999999995</v>
      </c>
      <c r="Q824">
        <v>105.04</v>
      </c>
      <c r="R824">
        <v>126.461</v>
      </c>
      <c r="S824">
        <v>152.727</v>
      </c>
      <c r="T824">
        <v>166.845</v>
      </c>
      <c r="U824">
        <v>187.351</v>
      </c>
      <c r="V824">
        <v>223.12299999999999</v>
      </c>
      <c r="W824">
        <v>235.166</v>
      </c>
      <c r="X824">
        <v>256.43799999999999</v>
      </c>
      <c r="Y824">
        <v>279.27</v>
      </c>
      <c r="Z824">
        <v>292.68099999999998</v>
      </c>
      <c r="AA824">
        <v>303.70600000000002</v>
      </c>
      <c r="AB824">
        <v>280.40699999999998</v>
      </c>
      <c r="AC824">
        <v>304.17399999999998</v>
      </c>
      <c r="AD824">
        <v>331.40699999999998</v>
      </c>
      <c r="AE824">
        <v>300.22300000000001</v>
      </c>
      <c r="AF824">
        <v>308.88299999999998</v>
      </c>
      <c r="AG824">
        <v>318.36399999999998</v>
      </c>
      <c r="AH824">
        <v>348.40699999999998</v>
      </c>
      <c r="AI824">
        <v>375.78699999999998</v>
      </c>
      <c r="AJ824">
        <v>388.54700000000003</v>
      </c>
      <c r="AK824">
        <v>408.221</v>
      </c>
      <c r="AL824">
        <v>417.03800000000001</v>
      </c>
      <c r="AM824">
        <v>392.10599999999999</v>
      </c>
      <c r="AN824">
        <v>446.14100000000002</v>
      </c>
      <c r="AO824">
        <v>485.67099999999999</v>
      </c>
      <c r="AP824">
        <v>495.91899999999998</v>
      </c>
      <c r="AQ824">
        <v>511.279</v>
      </c>
      <c r="AR824">
        <v>529.59699999999998</v>
      </c>
      <c r="AS824">
        <v>518.81600000000003</v>
      </c>
      <c r="AT824">
        <v>540.07299999999998</v>
      </c>
      <c r="AU824">
        <v>565.37400000000002</v>
      </c>
      <c r="AV824">
        <v>591.25300000000004</v>
      </c>
      <c r="AW824">
        <v>618.101</v>
      </c>
      <c r="AX824">
        <v>650.90200000000004</v>
      </c>
      <c r="AY824">
        <v>2014</v>
      </c>
    </row>
    <row r="825" spans="1:51" x14ac:dyDescent="0.25">
      <c r="A825">
        <v>528</v>
      </c>
      <c r="B825" t="s">
        <v>801</v>
      </c>
      <c r="C825" t="s">
        <v>293</v>
      </c>
      <c r="D825" t="s">
        <v>802</v>
      </c>
      <c r="E825" t="s">
        <v>294</v>
      </c>
      <c r="F825" t="s">
        <v>295</v>
      </c>
      <c r="G825" t="s">
        <v>296</v>
      </c>
      <c r="I825" t="s">
        <v>297</v>
      </c>
      <c r="J825">
        <v>59.716999999999999</v>
      </c>
      <c r="K825">
        <v>77.417000000000002</v>
      </c>
      <c r="L825">
        <v>79.33</v>
      </c>
      <c r="M825">
        <v>81.444000000000003</v>
      </c>
      <c r="N825">
        <v>82.495000000000005</v>
      </c>
      <c r="O825">
        <v>82.522999999999996</v>
      </c>
      <c r="P825">
        <v>86.575000000000003</v>
      </c>
      <c r="Q825">
        <v>86.605000000000004</v>
      </c>
      <c r="R825">
        <v>86.656999999999996</v>
      </c>
      <c r="S825">
        <v>88.891999999999996</v>
      </c>
      <c r="T825">
        <v>93.471999999999994</v>
      </c>
      <c r="U825">
        <v>96.724999999999994</v>
      </c>
      <c r="V825">
        <v>99.823999999999998</v>
      </c>
      <c r="W825">
        <v>103.29900000000001</v>
      </c>
      <c r="X825">
        <v>105.065</v>
      </c>
      <c r="Y825">
        <v>107.554</v>
      </c>
      <c r="Z825">
        <v>110.062</v>
      </c>
      <c r="AA825">
        <v>112.506</v>
      </c>
      <c r="AB825">
        <v>116.182</v>
      </c>
      <c r="AC825">
        <v>113.911</v>
      </c>
      <c r="AD825">
        <v>112.88</v>
      </c>
      <c r="AE825">
        <v>112.18899999999999</v>
      </c>
      <c r="AF825">
        <v>111.733</v>
      </c>
      <c r="AG825">
        <v>110.17400000000001</v>
      </c>
      <c r="AH825">
        <v>109.89400000000001</v>
      </c>
      <c r="AI825">
        <v>108.209</v>
      </c>
      <c r="AJ825">
        <v>107.095</v>
      </c>
      <c r="AK825">
        <v>106.63800000000001</v>
      </c>
      <c r="AL825">
        <v>103.869</v>
      </c>
      <c r="AM825">
        <v>104.003</v>
      </c>
      <c r="AN825">
        <v>102.405</v>
      </c>
      <c r="AO825">
        <v>100</v>
      </c>
      <c r="AP825">
        <v>100.54300000000001</v>
      </c>
      <c r="AQ825">
        <v>101.925</v>
      </c>
      <c r="AR825">
        <v>103.789</v>
      </c>
      <c r="AS825">
        <v>101.934</v>
      </c>
      <c r="AT825">
        <v>102.05500000000001</v>
      </c>
      <c r="AU825">
        <v>102.608</v>
      </c>
      <c r="AV825">
        <v>103.208</v>
      </c>
      <c r="AW825">
        <v>104.45099999999999</v>
      </c>
      <c r="AX825">
        <v>106.05200000000001</v>
      </c>
      <c r="AY825">
        <v>2014</v>
      </c>
    </row>
    <row r="826" spans="1:51" x14ac:dyDescent="0.25">
      <c r="A826">
        <v>528</v>
      </c>
      <c r="B826" t="s">
        <v>801</v>
      </c>
      <c r="C826" t="s">
        <v>298</v>
      </c>
      <c r="D826" t="s">
        <v>802</v>
      </c>
      <c r="E826" t="s">
        <v>299</v>
      </c>
      <c r="F826" t="s">
        <v>300</v>
      </c>
      <c r="G826" t="s">
        <v>282</v>
      </c>
      <c r="H826" t="s">
        <v>283</v>
      </c>
      <c r="I826" t="s">
        <v>804</v>
      </c>
      <c r="J826">
        <v>377.49200000000002</v>
      </c>
      <c r="K826">
        <v>458.11599999999999</v>
      </c>
      <c r="L826">
        <v>508.66800000000001</v>
      </c>
      <c r="M826">
        <v>501.71699999999998</v>
      </c>
      <c r="N826">
        <v>554.10199999999998</v>
      </c>
      <c r="O826">
        <v>593.57500000000005</v>
      </c>
      <c r="P826">
        <v>636.50699999999995</v>
      </c>
      <c r="Q826">
        <v>708.60799999999995</v>
      </c>
      <c r="R826">
        <v>825.61500000000001</v>
      </c>
      <c r="S826" s="21">
        <v>1314.8979999999999</v>
      </c>
      <c r="T826" s="21">
        <v>1270.999</v>
      </c>
      <c r="U826" s="21">
        <v>1513.69</v>
      </c>
      <c r="V826" s="21">
        <v>1638.3340000000001</v>
      </c>
      <c r="W826" s="21">
        <v>1791.423</v>
      </c>
      <c r="X826" s="21">
        <v>1922.92</v>
      </c>
      <c r="Y826" s="21">
        <v>2058.8049999999998</v>
      </c>
      <c r="Z826" s="21">
        <v>2177.21</v>
      </c>
      <c r="AA826" s="21">
        <v>2355.3330000000001</v>
      </c>
      <c r="AB826" s="21">
        <v>2543.855</v>
      </c>
      <c r="AC826" s="21">
        <v>2234.6390000000001</v>
      </c>
      <c r="AD826" s="21">
        <v>3335.6480000000001</v>
      </c>
      <c r="AE826" s="21">
        <v>2462.835</v>
      </c>
      <c r="AF826" s="21">
        <v>2345.9059999999999</v>
      </c>
      <c r="AG826" s="21">
        <v>2422.7869999999998</v>
      </c>
      <c r="AH826" s="21">
        <v>2464.181</v>
      </c>
      <c r="AI826" s="21">
        <v>2519.46</v>
      </c>
      <c r="AJ826" s="21">
        <v>2452.0039999999999</v>
      </c>
      <c r="AK826" s="21">
        <v>2542.3620000000001</v>
      </c>
      <c r="AL826" s="21">
        <v>2590.96</v>
      </c>
      <c r="AM826" s="21">
        <v>2914.712</v>
      </c>
      <c r="AN826" s="21">
        <v>2832.393</v>
      </c>
      <c r="AO826" s="21">
        <v>2882.165</v>
      </c>
      <c r="AP826" s="21">
        <v>2954.2510000000002</v>
      </c>
      <c r="AQ826" s="21">
        <v>2951.558</v>
      </c>
      <c r="AR826" s="21">
        <v>2948.0450000000001</v>
      </c>
      <c r="AS826" s="21">
        <v>2962.471</v>
      </c>
      <c r="AT826" s="21">
        <v>3001.8980000000001</v>
      </c>
      <c r="AU826" s="21">
        <v>3056.8090000000002</v>
      </c>
      <c r="AV826" s="21">
        <v>3142.1640000000002</v>
      </c>
      <c r="AW826" s="21">
        <v>3258.83</v>
      </c>
      <c r="AX826" s="21">
        <v>3392.991</v>
      </c>
      <c r="AY826">
        <v>2014</v>
      </c>
    </row>
    <row r="827" spans="1:51" x14ac:dyDescent="0.25">
      <c r="A827">
        <v>923</v>
      </c>
      <c r="B827" t="s">
        <v>805</v>
      </c>
      <c r="C827" t="s">
        <v>279</v>
      </c>
      <c r="D827" t="s">
        <v>212</v>
      </c>
      <c r="E827" t="s">
        <v>280</v>
      </c>
      <c r="F827" t="s">
        <v>281</v>
      </c>
      <c r="G827" t="s">
        <v>282</v>
      </c>
      <c r="H827" t="s">
        <v>283</v>
      </c>
      <c r="I827" t="s">
        <v>806</v>
      </c>
      <c r="J827" t="s">
        <v>285</v>
      </c>
      <c r="K827" t="s">
        <v>285</v>
      </c>
      <c r="L827" t="s">
        <v>285</v>
      </c>
      <c r="M827" t="s">
        <v>285</v>
      </c>
      <c r="N827" t="s">
        <v>285</v>
      </c>
      <c r="O827" t="s">
        <v>285</v>
      </c>
      <c r="P827" t="s">
        <v>285</v>
      </c>
      <c r="Q827" t="s">
        <v>285</v>
      </c>
      <c r="R827" t="s">
        <v>285</v>
      </c>
      <c r="S827" t="s">
        <v>285</v>
      </c>
      <c r="T827" t="s">
        <v>285</v>
      </c>
      <c r="U827" t="s">
        <v>285</v>
      </c>
      <c r="V827">
        <v>0.106</v>
      </c>
      <c r="W827">
        <v>9.4E-2</v>
      </c>
      <c r="X827">
        <v>7.3999999999999996E-2</v>
      </c>
      <c r="Y827">
        <v>6.5000000000000002E-2</v>
      </c>
      <c r="Z827">
        <v>6.2E-2</v>
      </c>
      <c r="AA827">
        <v>6.3E-2</v>
      </c>
      <c r="AB827">
        <v>6.6000000000000003E-2</v>
      </c>
      <c r="AC827">
        <v>6.9000000000000006E-2</v>
      </c>
      <c r="AD827">
        <v>7.4999999999999997E-2</v>
      </c>
      <c r="AE827">
        <v>8.2000000000000003E-2</v>
      </c>
      <c r="AF827">
        <v>0.09</v>
      </c>
      <c r="AG827">
        <v>9.9000000000000005E-2</v>
      </c>
      <c r="AH827">
        <v>0.109</v>
      </c>
      <c r="AI827">
        <v>0.11700000000000001</v>
      </c>
      <c r="AJ827">
        <v>0.125</v>
      </c>
      <c r="AK827">
        <v>0.13400000000000001</v>
      </c>
      <c r="AL827">
        <v>0.14499999999999999</v>
      </c>
      <c r="AM827">
        <v>0.151</v>
      </c>
      <c r="AN827">
        <v>0.161</v>
      </c>
      <c r="AO827">
        <v>0.17199999999999999</v>
      </c>
      <c r="AP827">
        <v>0.185</v>
      </c>
      <c r="AQ827">
        <v>0.19900000000000001</v>
      </c>
      <c r="AR827">
        <v>0.21199999999999999</v>
      </c>
      <c r="AS827">
        <v>0.219</v>
      </c>
      <c r="AT827">
        <v>0.22600000000000001</v>
      </c>
      <c r="AU827">
        <v>0.23599999999999999</v>
      </c>
      <c r="AV827">
        <v>0.247</v>
      </c>
      <c r="AW827">
        <v>0.26</v>
      </c>
      <c r="AX827">
        <v>0.27300000000000002</v>
      </c>
      <c r="AY827">
        <v>2014</v>
      </c>
    </row>
    <row r="828" spans="1:51" x14ac:dyDescent="0.25">
      <c r="A828">
        <v>923</v>
      </c>
      <c r="B828" t="s">
        <v>805</v>
      </c>
      <c r="C828" t="s">
        <v>286</v>
      </c>
      <c r="D828" t="s">
        <v>212</v>
      </c>
      <c r="E828" t="s">
        <v>287</v>
      </c>
      <c r="F828" t="s">
        <v>288</v>
      </c>
      <c r="G828" t="s">
        <v>282</v>
      </c>
      <c r="H828" t="s">
        <v>283</v>
      </c>
      <c r="I828" t="s">
        <v>806</v>
      </c>
      <c r="J828" t="s">
        <v>285</v>
      </c>
      <c r="K828" t="s">
        <v>285</v>
      </c>
      <c r="L828" t="s">
        <v>285</v>
      </c>
      <c r="M828" t="s">
        <v>285</v>
      </c>
      <c r="N828" t="s">
        <v>285</v>
      </c>
      <c r="O828" t="s">
        <v>285</v>
      </c>
      <c r="P828" t="s">
        <v>285</v>
      </c>
      <c r="Q828" t="s">
        <v>285</v>
      </c>
      <c r="R828" t="s">
        <v>285</v>
      </c>
      <c r="S828" t="s">
        <v>285</v>
      </c>
      <c r="T828" t="s">
        <v>285</v>
      </c>
      <c r="U828" t="s">
        <v>285</v>
      </c>
      <c r="V828">
        <v>1E-3</v>
      </c>
      <c r="W828">
        <v>7.0000000000000001E-3</v>
      </c>
      <c r="X828">
        <v>0.02</v>
      </c>
      <c r="Y828">
        <v>6.5000000000000002E-2</v>
      </c>
      <c r="Z828">
        <v>0.308</v>
      </c>
      <c r="AA828">
        <v>0.63200000000000001</v>
      </c>
      <c r="AB828">
        <v>1.0249999999999999</v>
      </c>
      <c r="AC828">
        <v>1.345</v>
      </c>
      <c r="AD828">
        <v>1.8069999999999999</v>
      </c>
      <c r="AE828">
        <v>2.512</v>
      </c>
      <c r="AF828">
        <v>3.3450000000000002</v>
      </c>
      <c r="AG828">
        <v>4.758</v>
      </c>
      <c r="AH828">
        <v>6.1580000000000004</v>
      </c>
      <c r="AI828">
        <v>7.2009999999999996</v>
      </c>
      <c r="AJ828">
        <v>9.2720000000000002</v>
      </c>
      <c r="AK828">
        <v>12.78</v>
      </c>
      <c r="AL828">
        <v>17.609000000000002</v>
      </c>
      <c r="AM828">
        <v>20.623000000000001</v>
      </c>
      <c r="AN828">
        <v>24.704999999999998</v>
      </c>
      <c r="AO828">
        <v>30.068999999999999</v>
      </c>
      <c r="AP828">
        <v>36.161000000000001</v>
      </c>
      <c r="AQ828">
        <v>40.524999999999999</v>
      </c>
      <c r="AR828">
        <v>45.604999999999997</v>
      </c>
      <c r="AS828">
        <v>50.261000000000003</v>
      </c>
      <c r="AT828">
        <v>55.612000000000002</v>
      </c>
      <c r="AU828">
        <v>61.911999999999999</v>
      </c>
      <c r="AV828">
        <v>68.908000000000001</v>
      </c>
      <c r="AW828">
        <v>76.694999999999993</v>
      </c>
      <c r="AX828">
        <v>85.361000000000004</v>
      </c>
      <c r="AY828">
        <v>2014</v>
      </c>
    </row>
    <row r="829" spans="1:51" x14ac:dyDescent="0.25">
      <c r="A829">
        <v>923</v>
      </c>
      <c r="B829" t="s">
        <v>805</v>
      </c>
      <c r="C829" t="s">
        <v>289</v>
      </c>
      <c r="D829" t="s">
        <v>212</v>
      </c>
      <c r="E829" t="s">
        <v>287</v>
      </c>
      <c r="F829" t="s">
        <v>290</v>
      </c>
      <c r="G829" t="s">
        <v>291</v>
      </c>
      <c r="H829" t="s">
        <v>283</v>
      </c>
      <c r="I829" t="s">
        <v>292</v>
      </c>
      <c r="J829" t="s">
        <v>285</v>
      </c>
      <c r="K829" t="s">
        <v>285</v>
      </c>
      <c r="L829" t="s">
        <v>285</v>
      </c>
      <c r="M829" t="s">
        <v>285</v>
      </c>
      <c r="N829" t="s">
        <v>285</v>
      </c>
      <c r="O829" t="s">
        <v>285</v>
      </c>
      <c r="P829" t="s">
        <v>285</v>
      </c>
      <c r="Q829" t="s">
        <v>285</v>
      </c>
      <c r="R829" t="s">
        <v>285</v>
      </c>
      <c r="S829" t="s">
        <v>285</v>
      </c>
      <c r="T829" t="s">
        <v>285</v>
      </c>
      <c r="U829" t="s">
        <v>285</v>
      </c>
      <c r="V829">
        <v>0.29099999999999998</v>
      </c>
      <c r="W829">
        <v>0.67800000000000005</v>
      </c>
      <c r="X829">
        <v>0.82899999999999996</v>
      </c>
      <c r="Y829">
        <v>0.56899999999999995</v>
      </c>
      <c r="Z829">
        <v>1.052</v>
      </c>
      <c r="AA829">
        <v>1.121</v>
      </c>
      <c r="AB829">
        <v>1.32</v>
      </c>
      <c r="AC829">
        <v>1.087</v>
      </c>
      <c r="AD829">
        <v>0.99099999999999999</v>
      </c>
      <c r="AE829">
        <v>1.0569999999999999</v>
      </c>
      <c r="AF829">
        <v>1.212</v>
      </c>
      <c r="AG829">
        <v>1.5549999999999999</v>
      </c>
      <c r="AH829">
        <v>2.073</v>
      </c>
      <c r="AI829">
        <v>2.3109999999999999</v>
      </c>
      <c r="AJ829">
        <v>2.8109999999999999</v>
      </c>
      <c r="AK829">
        <v>3.7120000000000002</v>
      </c>
      <c r="AL829">
        <v>5.1349999999999998</v>
      </c>
      <c r="AM829">
        <v>4.9770000000000003</v>
      </c>
      <c r="AN829">
        <v>5.6420000000000003</v>
      </c>
      <c r="AO829">
        <v>6.5229999999999997</v>
      </c>
      <c r="AP829">
        <v>7.5919999999999996</v>
      </c>
      <c r="AQ829">
        <v>8.5060000000000002</v>
      </c>
      <c r="AR829">
        <v>9.2420000000000009</v>
      </c>
      <c r="AS829">
        <v>8.0449999999999999</v>
      </c>
      <c r="AT829">
        <v>7.97</v>
      </c>
      <c r="AU829">
        <v>8.5890000000000004</v>
      </c>
      <c r="AV829">
        <v>9.3279999999999994</v>
      </c>
      <c r="AW829">
        <v>10.182</v>
      </c>
      <c r="AX829">
        <v>11.111000000000001</v>
      </c>
      <c r="AY829">
        <v>2014</v>
      </c>
    </row>
    <row r="830" spans="1:51" x14ac:dyDescent="0.25">
      <c r="A830">
        <v>923</v>
      </c>
      <c r="B830" t="s">
        <v>805</v>
      </c>
      <c r="C830" t="s">
        <v>293</v>
      </c>
      <c r="D830" t="s">
        <v>212</v>
      </c>
      <c r="E830" t="s">
        <v>294</v>
      </c>
      <c r="F830" t="s">
        <v>295</v>
      </c>
      <c r="G830" t="s">
        <v>296</v>
      </c>
      <c r="I830" t="s">
        <v>297</v>
      </c>
      <c r="J830" t="s">
        <v>285</v>
      </c>
      <c r="K830" t="s">
        <v>285</v>
      </c>
      <c r="L830" t="s">
        <v>285</v>
      </c>
      <c r="M830" t="s">
        <v>285</v>
      </c>
      <c r="N830" t="s">
        <v>285</v>
      </c>
      <c r="O830" t="s">
        <v>285</v>
      </c>
      <c r="P830" t="s">
        <v>285</v>
      </c>
      <c r="Q830" t="s">
        <v>285</v>
      </c>
      <c r="R830" t="s">
        <v>285</v>
      </c>
      <c r="S830" t="s">
        <v>285</v>
      </c>
      <c r="T830" t="s">
        <v>285</v>
      </c>
      <c r="U830" t="s">
        <v>285</v>
      </c>
      <c r="V830">
        <v>0.67900000000000005</v>
      </c>
      <c r="W830">
        <v>7.44</v>
      </c>
      <c r="X830">
        <v>27.263000000000002</v>
      </c>
      <c r="Y830">
        <v>100</v>
      </c>
      <c r="Z830">
        <v>497.49400000000003</v>
      </c>
      <c r="AA830" s="21">
        <v>1002.268</v>
      </c>
      <c r="AB830" s="21">
        <v>1544.038</v>
      </c>
      <c r="AC830" s="21">
        <v>1953.4190000000001</v>
      </c>
      <c r="AD830" s="21">
        <v>2422.873</v>
      </c>
      <c r="AE830" s="21">
        <v>3057.0320000000002</v>
      </c>
      <c r="AF830" s="21">
        <v>3730.6329999999998</v>
      </c>
      <c r="AG830" s="21">
        <v>4815.7389999999996</v>
      </c>
      <c r="AH830" s="21">
        <v>5635.1850000000004</v>
      </c>
      <c r="AI830" s="21">
        <v>6176.4440000000004</v>
      </c>
      <c r="AJ830" s="21">
        <v>7432.5219999999999</v>
      </c>
      <c r="AK830" s="21">
        <v>9502.8889999999992</v>
      </c>
      <c r="AL830" s="21">
        <v>12135.444</v>
      </c>
      <c r="AM830" s="21">
        <v>13678.726000000001</v>
      </c>
      <c r="AN830" s="21">
        <v>15386.08</v>
      </c>
      <c r="AO830" s="21">
        <v>17436.827000000001</v>
      </c>
      <c r="AP830" s="21">
        <v>19506.407999999999</v>
      </c>
      <c r="AQ830" s="21">
        <v>20353.966</v>
      </c>
      <c r="AR830" s="21">
        <v>21467.492999999999</v>
      </c>
      <c r="AS830" s="21">
        <v>22970.218000000001</v>
      </c>
      <c r="AT830" s="21">
        <v>24579.827000000001</v>
      </c>
      <c r="AU830" s="21">
        <v>26286.606</v>
      </c>
      <c r="AV830" s="21">
        <v>27863.802</v>
      </c>
      <c r="AW830" s="21">
        <v>29535.631000000001</v>
      </c>
      <c r="AX830" s="21">
        <v>31307.768</v>
      </c>
      <c r="AY830">
        <v>2014</v>
      </c>
    </row>
    <row r="831" spans="1:51" x14ac:dyDescent="0.25">
      <c r="A831">
        <v>923</v>
      </c>
      <c r="B831" t="s">
        <v>805</v>
      </c>
      <c r="C831" t="s">
        <v>298</v>
      </c>
      <c r="D831" t="s">
        <v>212</v>
      </c>
      <c r="E831" t="s">
        <v>299</v>
      </c>
      <c r="F831" t="s">
        <v>300</v>
      </c>
      <c r="G831" t="s">
        <v>282</v>
      </c>
      <c r="H831" t="s">
        <v>283</v>
      </c>
      <c r="I831" t="s">
        <v>807</v>
      </c>
      <c r="J831" t="s">
        <v>285</v>
      </c>
      <c r="K831" t="s">
        <v>285</v>
      </c>
      <c r="L831" t="s">
        <v>285</v>
      </c>
      <c r="M831" t="s">
        <v>285</v>
      </c>
      <c r="N831" t="s">
        <v>285</v>
      </c>
      <c r="O831" t="s">
        <v>285</v>
      </c>
      <c r="P831" t="s">
        <v>285</v>
      </c>
      <c r="Q831" t="s">
        <v>285</v>
      </c>
      <c r="R831" t="s">
        <v>285</v>
      </c>
      <c r="S831" t="s">
        <v>285</v>
      </c>
      <c r="T831" t="s">
        <v>285</v>
      </c>
      <c r="U831" t="s">
        <v>285</v>
      </c>
      <c r="V831" t="s">
        <v>285</v>
      </c>
      <c r="W831" t="s">
        <v>285</v>
      </c>
      <c r="X831" t="s">
        <v>285</v>
      </c>
      <c r="Y831" t="s">
        <v>285</v>
      </c>
      <c r="Z831" t="s">
        <v>285</v>
      </c>
      <c r="AA831" t="s">
        <v>285</v>
      </c>
      <c r="AB831">
        <v>0.17199999999999999</v>
      </c>
      <c r="AC831">
        <v>0.23599999999999999</v>
      </c>
      <c r="AD831">
        <v>0.34599999999999997</v>
      </c>
      <c r="AE831">
        <v>0.46200000000000002</v>
      </c>
      <c r="AF831">
        <v>0.64200000000000002</v>
      </c>
      <c r="AG831">
        <v>0.90800000000000003</v>
      </c>
      <c r="AH831">
        <v>1.25</v>
      </c>
      <c r="AI831">
        <v>1.655</v>
      </c>
      <c r="AJ831">
        <v>2.032</v>
      </c>
      <c r="AK831">
        <v>3.5779999999999998</v>
      </c>
      <c r="AL831">
        <v>4.7859999999999996</v>
      </c>
      <c r="AM831">
        <v>5.907</v>
      </c>
      <c r="AN831">
        <v>6.4569999999999999</v>
      </c>
      <c r="AO831">
        <v>8.1270000000000007</v>
      </c>
      <c r="AP831">
        <v>8.8870000000000005</v>
      </c>
      <c r="AQ831">
        <v>11.244999999999999</v>
      </c>
      <c r="AR831">
        <v>12.959</v>
      </c>
      <c r="AS831">
        <v>14.148999999999999</v>
      </c>
      <c r="AT831">
        <v>16.263999999999999</v>
      </c>
      <c r="AU831">
        <v>18.010000000000002</v>
      </c>
      <c r="AV831">
        <v>20.207000000000001</v>
      </c>
      <c r="AW831">
        <v>22.655999999999999</v>
      </c>
      <c r="AX831">
        <v>25.37</v>
      </c>
      <c r="AY831">
        <v>2014</v>
      </c>
    </row>
    <row r="832" spans="1:51" x14ac:dyDescent="0.25">
      <c r="A832">
        <v>738</v>
      </c>
      <c r="B832" t="s">
        <v>808</v>
      </c>
      <c r="C832" t="s">
        <v>279</v>
      </c>
      <c r="D832" t="s">
        <v>1129</v>
      </c>
      <c r="E832" t="s">
        <v>280</v>
      </c>
      <c r="F832" t="s">
        <v>281</v>
      </c>
      <c r="G832" t="s">
        <v>282</v>
      </c>
      <c r="H832" t="s">
        <v>283</v>
      </c>
      <c r="I832" t="s">
        <v>809</v>
      </c>
      <c r="J832" s="21">
        <v>8663.0239999999994</v>
      </c>
      <c r="K832" s="21">
        <v>8706.3389999999999</v>
      </c>
      <c r="L832" s="21">
        <v>8758.5769999999993</v>
      </c>
      <c r="M832" s="21">
        <v>8968.7829999999994</v>
      </c>
      <c r="N832" s="21">
        <v>9273.7209999999995</v>
      </c>
      <c r="O832" s="21">
        <v>9700.3119999999999</v>
      </c>
      <c r="P832" s="21">
        <v>10340.532999999999</v>
      </c>
      <c r="Q832" s="21">
        <v>10950.624</v>
      </c>
      <c r="R832" s="21">
        <v>11432.451999999999</v>
      </c>
      <c r="S832" s="21">
        <v>11866.885</v>
      </c>
      <c r="T832" s="21">
        <v>12702.924999999999</v>
      </c>
      <c r="U832" s="21">
        <v>12966.108</v>
      </c>
      <c r="V832" s="21">
        <v>13041.824000000001</v>
      </c>
      <c r="W832" s="21">
        <v>13199.141</v>
      </c>
      <c r="X832" s="21">
        <v>13405.973</v>
      </c>
      <c r="Y832" s="21">
        <v>13884.633</v>
      </c>
      <c r="Z832" s="21">
        <v>14515.611000000001</v>
      </c>
      <c r="AA832" s="21">
        <v>15027.325999999999</v>
      </c>
      <c r="AB832" s="21">
        <v>15584.61</v>
      </c>
      <c r="AC832" s="21">
        <v>16338.967000000001</v>
      </c>
      <c r="AD832" s="21">
        <v>17145.100999999999</v>
      </c>
      <c r="AE832" s="21">
        <v>18173.440999999999</v>
      </c>
      <c r="AF832" s="21">
        <v>19427.196</v>
      </c>
      <c r="AG832" s="21">
        <v>20662.453000000001</v>
      </c>
      <c r="AH832" s="21">
        <v>22152.363000000001</v>
      </c>
      <c r="AI832" s="21">
        <v>23582.243999999999</v>
      </c>
      <c r="AJ832" s="21">
        <v>24681.311000000002</v>
      </c>
      <c r="AK832" s="21">
        <v>26770.432000000001</v>
      </c>
      <c r="AL832" s="21">
        <v>28260.633000000002</v>
      </c>
      <c r="AM832" s="21">
        <v>29781.719000000001</v>
      </c>
      <c r="AN832" s="21">
        <v>31675.504000000001</v>
      </c>
      <c r="AO832" s="21">
        <v>34179.296999999999</v>
      </c>
      <c r="AP832" s="21">
        <v>35936.459000000003</v>
      </c>
      <c r="AQ832" s="21">
        <v>38546.546000000002</v>
      </c>
      <c r="AR832" s="21">
        <v>41231.364000000001</v>
      </c>
      <c r="AS832" s="21">
        <v>44063.423000000003</v>
      </c>
      <c r="AT832" s="21">
        <v>47163.355000000003</v>
      </c>
      <c r="AU832" s="21">
        <v>50452.527999999998</v>
      </c>
      <c r="AV832" s="21">
        <v>53922.832999999999</v>
      </c>
      <c r="AW832" s="21">
        <v>57634.222000000002</v>
      </c>
      <c r="AX832" s="21">
        <v>61623.754000000001</v>
      </c>
      <c r="AY832">
        <v>2012</v>
      </c>
    </row>
    <row r="833" spans="1:51" x14ac:dyDescent="0.25">
      <c r="A833">
        <v>738</v>
      </c>
      <c r="B833" t="s">
        <v>808</v>
      </c>
      <c r="C833" t="s">
        <v>286</v>
      </c>
      <c r="D833" t="s">
        <v>1129</v>
      </c>
      <c r="E833" t="s">
        <v>287</v>
      </c>
      <c r="F833" t="s">
        <v>288</v>
      </c>
      <c r="G833" t="s">
        <v>282</v>
      </c>
      <c r="H833" t="s">
        <v>283</v>
      </c>
      <c r="I833" t="s">
        <v>809</v>
      </c>
      <c r="J833">
        <v>60.853999999999999</v>
      </c>
      <c r="K833">
        <v>72.757000000000005</v>
      </c>
      <c r="L833">
        <v>88.007000000000005</v>
      </c>
      <c r="M833">
        <v>101.76300000000001</v>
      </c>
      <c r="N833">
        <v>119.929</v>
      </c>
      <c r="O833">
        <v>152.97900000000001</v>
      </c>
      <c r="P833">
        <v>201.75</v>
      </c>
      <c r="Q833">
        <v>272.73200000000003</v>
      </c>
      <c r="R833">
        <v>421.62299999999999</v>
      </c>
      <c r="S833">
        <v>518.61400000000003</v>
      </c>
      <c r="T833">
        <v>669.125</v>
      </c>
      <c r="U833">
        <v>883.53300000000002</v>
      </c>
      <c r="V833" s="21">
        <v>1101.4749999999999</v>
      </c>
      <c r="W833" s="21">
        <v>1382.6869999999999</v>
      </c>
      <c r="X833" s="21">
        <v>1848.2560000000001</v>
      </c>
      <c r="Y833" s="21">
        <v>2443.1039999999998</v>
      </c>
      <c r="Z833" s="21">
        <v>3080.1239999999998</v>
      </c>
      <c r="AA833" s="21">
        <v>3926.4740000000002</v>
      </c>
      <c r="AB833" s="21">
        <v>6283.97</v>
      </c>
      <c r="AC833" s="21">
        <v>8656.8989999999994</v>
      </c>
      <c r="AD833" s="21">
        <v>9943.5259999999998</v>
      </c>
      <c r="AE833" s="21">
        <v>11168.02</v>
      </c>
      <c r="AF833" s="21">
        <v>12774.359</v>
      </c>
      <c r="AG833" s="21">
        <v>14722.918</v>
      </c>
      <c r="AH833" s="21">
        <v>16936.087</v>
      </c>
      <c r="AI833" s="21">
        <v>19112.830000000002</v>
      </c>
      <c r="AJ833" s="21">
        <v>23298.435000000001</v>
      </c>
      <c r="AK833" s="21">
        <v>26770.432000000001</v>
      </c>
      <c r="AL833" s="21">
        <v>32764.94</v>
      </c>
      <c r="AM833" s="21">
        <v>37726.824000000001</v>
      </c>
      <c r="AN833" s="21">
        <v>43836.017999999996</v>
      </c>
      <c r="AO833" s="21">
        <v>52762.580999999998</v>
      </c>
      <c r="AP833" s="21">
        <v>61434.214</v>
      </c>
      <c r="AQ833" s="21">
        <v>70953.226999999999</v>
      </c>
      <c r="AR833" s="21">
        <v>79442.498999999996</v>
      </c>
      <c r="AS833" s="21">
        <v>89351.21</v>
      </c>
      <c r="AT833" s="21">
        <v>100383.702</v>
      </c>
      <c r="AU833" s="21">
        <v>112124.09699999999</v>
      </c>
      <c r="AV833" s="21">
        <v>125707.493</v>
      </c>
      <c r="AW833" s="21">
        <v>140351.03599999999</v>
      </c>
      <c r="AX833" s="21">
        <v>156251.27299999999</v>
      </c>
      <c r="AY833">
        <v>2012</v>
      </c>
    </row>
    <row r="834" spans="1:51" x14ac:dyDescent="0.25">
      <c r="A834">
        <v>738</v>
      </c>
      <c r="B834" t="s">
        <v>808</v>
      </c>
      <c r="C834" t="s">
        <v>289</v>
      </c>
      <c r="D834" t="s">
        <v>1129</v>
      </c>
      <c r="E834" t="s">
        <v>287</v>
      </c>
      <c r="F834" t="s">
        <v>290</v>
      </c>
      <c r="G834" t="s">
        <v>291</v>
      </c>
      <c r="H834" t="s">
        <v>283</v>
      </c>
      <c r="I834" t="s">
        <v>292</v>
      </c>
      <c r="J834">
        <v>7.4119999999999999</v>
      </c>
      <c r="K834">
        <v>8.8650000000000002</v>
      </c>
      <c r="L834">
        <v>10.178000000000001</v>
      </c>
      <c r="M834">
        <v>10.425000000000001</v>
      </c>
      <c r="N834">
        <v>9.4849999999999994</v>
      </c>
      <c r="O834">
        <v>8.5579999999999998</v>
      </c>
      <c r="P834">
        <v>10.82</v>
      </c>
      <c r="Q834">
        <v>5.3310000000000004</v>
      </c>
      <c r="R834">
        <v>5.1239999999999997</v>
      </c>
      <c r="S834">
        <v>4.343</v>
      </c>
      <c r="T834">
        <v>3.43</v>
      </c>
      <c r="U834">
        <v>4.0309999999999997</v>
      </c>
      <c r="V834">
        <v>3.7</v>
      </c>
      <c r="W834">
        <v>3.4119999999999999</v>
      </c>
      <c r="X834">
        <v>3.6269999999999998</v>
      </c>
      <c r="Y834">
        <v>4.2510000000000003</v>
      </c>
      <c r="Z834">
        <v>5.3109999999999999</v>
      </c>
      <c r="AA834">
        <v>6.415</v>
      </c>
      <c r="AB834">
        <v>9.4540000000000006</v>
      </c>
      <c r="AC834">
        <v>11.624000000000001</v>
      </c>
      <c r="AD834">
        <v>12.423</v>
      </c>
      <c r="AE834">
        <v>12.743</v>
      </c>
      <c r="AF834">
        <v>13.215999999999999</v>
      </c>
      <c r="AG834">
        <v>14.178000000000001</v>
      </c>
      <c r="AH834">
        <v>15.547000000000001</v>
      </c>
      <c r="AI834">
        <v>16.93</v>
      </c>
      <c r="AJ834">
        <v>18.61</v>
      </c>
      <c r="AK834">
        <v>21.501999999999999</v>
      </c>
      <c r="AL834">
        <v>27.367999999999999</v>
      </c>
      <c r="AM834">
        <v>28.574000000000002</v>
      </c>
      <c r="AN834">
        <v>31.085999999999999</v>
      </c>
      <c r="AO834">
        <v>33.582999999999998</v>
      </c>
      <c r="AP834">
        <v>39.088000000000001</v>
      </c>
      <c r="AQ834">
        <v>44.414000000000001</v>
      </c>
      <c r="AR834">
        <v>48.088999999999999</v>
      </c>
      <c r="AS834">
        <v>46.192</v>
      </c>
      <c r="AT834">
        <v>46.872999999999998</v>
      </c>
      <c r="AU834">
        <v>50.347000000000001</v>
      </c>
      <c r="AV834">
        <v>54.761000000000003</v>
      </c>
      <c r="AW834">
        <v>59.348999999999997</v>
      </c>
      <c r="AX834">
        <v>64.144999999999996</v>
      </c>
      <c r="AY834">
        <v>2012</v>
      </c>
    </row>
    <row r="835" spans="1:51" x14ac:dyDescent="0.25">
      <c r="A835">
        <v>738</v>
      </c>
      <c r="B835" t="s">
        <v>808</v>
      </c>
      <c r="C835" t="s">
        <v>293</v>
      </c>
      <c r="D835" t="s">
        <v>1129</v>
      </c>
      <c r="E835" t="s">
        <v>294</v>
      </c>
      <c r="F835" t="s">
        <v>295</v>
      </c>
      <c r="G835" t="s">
        <v>296</v>
      </c>
      <c r="I835" t="s">
        <v>297</v>
      </c>
      <c r="J835">
        <v>0.70199999999999996</v>
      </c>
      <c r="K835">
        <v>0.83599999999999997</v>
      </c>
      <c r="L835">
        <v>1.0049999999999999</v>
      </c>
      <c r="M835">
        <v>1.135</v>
      </c>
      <c r="N835">
        <v>1.2929999999999999</v>
      </c>
      <c r="O835">
        <v>1.577</v>
      </c>
      <c r="P835">
        <v>1.9510000000000001</v>
      </c>
      <c r="Q835">
        <v>2.4910000000000001</v>
      </c>
      <c r="R835">
        <v>3.6880000000000002</v>
      </c>
      <c r="S835">
        <v>4.37</v>
      </c>
      <c r="T835">
        <v>5.2670000000000003</v>
      </c>
      <c r="U835">
        <v>6.8140000000000001</v>
      </c>
      <c r="V835">
        <v>8.4459999999999997</v>
      </c>
      <c r="W835">
        <v>10.476000000000001</v>
      </c>
      <c r="X835">
        <v>13.787000000000001</v>
      </c>
      <c r="Y835">
        <v>17.596</v>
      </c>
      <c r="Z835">
        <v>21.219000000000001</v>
      </c>
      <c r="AA835">
        <v>26.129000000000001</v>
      </c>
      <c r="AB835">
        <v>40.322000000000003</v>
      </c>
      <c r="AC835">
        <v>52.982999999999997</v>
      </c>
      <c r="AD835">
        <v>57.996000000000002</v>
      </c>
      <c r="AE835">
        <v>61.451999999999998</v>
      </c>
      <c r="AF835">
        <v>65.754999999999995</v>
      </c>
      <c r="AG835">
        <v>71.254000000000005</v>
      </c>
      <c r="AH835">
        <v>76.453000000000003</v>
      </c>
      <c r="AI835">
        <v>81.048000000000002</v>
      </c>
      <c r="AJ835">
        <v>94.397000000000006</v>
      </c>
      <c r="AK835">
        <v>100</v>
      </c>
      <c r="AL835">
        <v>115.938</v>
      </c>
      <c r="AM835">
        <v>126.678</v>
      </c>
      <c r="AN835">
        <v>138.39099999999999</v>
      </c>
      <c r="AO835">
        <v>154.37</v>
      </c>
      <c r="AP835">
        <v>170.952</v>
      </c>
      <c r="AQ835">
        <v>184.072</v>
      </c>
      <c r="AR835">
        <v>192.67500000000001</v>
      </c>
      <c r="AS835">
        <v>202.779</v>
      </c>
      <c r="AT835">
        <v>212.84299999999999</v>
      </c>
      <c r="AU835">
        <v>222.23699999999999</v>
      </c>
      <c r="AV835">
        <v>233.125</v>
      </c>
      <c r="AW835">
        <v>243.52</v>
      </c>
      <c r="AX835">
        <v>253.55699999999999</v>
      </c>
      <c r="AY835">
        <v>2012</v>
      </c>
    </row>
    <row r="836" spans="1:51" x14ac:dyDescent="0.25">
      <c r="A836">
        <v>738</v>
      </c>
      <c r="B836" t="s">
        <v>808</v>
      </c>
      <c r="C836" t="s">
        <v>298</v>
      </c>
      <c r="D836" t="s">
        <v>1129</v>
      </c>
      <c r="E836" t="s">
        <v>299</v>
      </c>
      <c r="F836" t="s">
        <v>300</v>
      </c>
      <c r="G836" t="s">
        <v>282</v>
      </c>
      <c r="H836" t="s">
        <v>283</v>
      </c>
      <c r="I836" t="s">
        <v>810</v>
      </c>
      <c r="J836" t="s">
        <v>285</v>
      </c>
      <c r="K836" t="s">
        <v>285</v>
      </c>
      <c r="L836" t="s">
        <v>285</v>
      </c>
      <c r="M836" t="s">
        <v>285</v>
      </c>
      <c r="N836" t="s">
        <v>285</v>
      </c>
      <c r="O836" t="s">
        <v>285</v>
      </c>
      <c r="P836" t="s">
        <v>285</v>
      </c>
      <c r="Q836" t="s">
        <v>285</v>
      </c>
      <c r="R836" t="s">
        <v>285</v>
      </c>
      <c r="S836" t="s">
        <v>285</v>
      </c>
      <c r="T836" t="s">
        <v>285</v>
      </c>
      <c r="U836">
        <v>186.83699999999999</v>
      </c>
      <c r="V836">
        <v>292.45</v>
      </c>
      <c r="W836">
        <v>343.86099999999999</v>
      </c>
      <c r="X836">
        <v>467.71600000000001</v>
      </c>
      <c r="Y836">
        <v>571.33100000000002</v>
      </c>
      <c r="Z836">
        <v>612.01700000000005</v>
      </c>
      <c r="AA836">
        <v>733.54300000000001</v>
      </c>
      <c r="AB836">
        <v>867.75699999999995</v>
      </c>
      <c r="AC836" s="21">
        <v>1119.2239999999999</v>
      </c>
      <c r="AD836" s="21">
        <v>1220.1769999999999</v>
      </c>
      <c r="AE836" s="21">
        <v>1367.8</v>
      </c>
      <c r="AF836" s="21">
        <v>1726.152</v>
      </c>
      <c r="AG836" s="21">
        <v>2258.8620000000001</v>
      </c>
      <c r="AH836" s="21">
        <v>2888.2689999999998</v>
      </c>
      <c r="AI836" s="21">
        <v>3550.6529999999998</v>
      </c>
      <c r="AJ836" s="21">
        <v>4164.0810000000001</v>
      </c>
      <c r="AK836" s="21">
        <v>4846.1959999999999</v>
      </c>
      <c r="AL836" s="21">
        <v>6062.2809999999999</v>
      </c>
      <c r="AM836" s="21">
        <v>7609.59</v>
      </c>
      <c r="AN836" s="21">
        <v>8875.6039999999994</v>
      </c>
      <c r="AO836" s="21">
        <v>10101.968000000001</v>
      </c>
      <c r="AP836" s="21">
        <v>12153.772999999999</v>
      </c>
      <c r="AQ836" s="21">
        <v>13750.59</v>
      </c>
      <c r="AR836" s="21">
        <v>14314.725</v>
      </c>
      <c r="AS836" s="21">
        <v>17071.103999999999</v>
      </c>
      <c r="AT836" s="21">
        <v>19930.322</v>
      </c>
      <c r="AU836" s="21">
        <v>21611.99</v>
      </c>
      <c r="AV836" s="21">
        <v>24125.138999999999</v>
      </c>
      <c r="AW836" s="21">
        <v>26943.63</v>
      </c>
      <c r="AX836" s="21">
        <v>30064.460999999999</v>
      </c>
      <c r="AY836">
        <v>2013</v>
      </c>
    </row>
    <row r="837" spans="1:51" x14ac:dyDescent="0.25">
      <c r="A837">
        <v>578</v>
      </c>
      <c r="B837" t="s">
        <v>811</v>
      </c>
      <c r="C837" t="s">
        <v>279</v>
      </c>
      <c r="D837" t="s">
        <v>214</v>
      </c>
      <c r="E837" t="s">
        <v>280</v>
      </c>
      <c r="F837" t="s">
        <v>281</v>
      </c>
      <c r="G837" t="s">
        <v>282</v>
      </c>
      <c r="H837" t="s">
        <v>283</v>
      </c>
      <c r="I837" t="s">
        <v>812</v>
      </c>
      <c r="J837" s="21">
        <v>1577.9359999999999</v>
      </c>
      <c r="K837" s="21">
        <v>1671.192</v>
      </c>
      <c r="L837" s="21">
        <v>1760.6489999999999</v>
      </c>
      <c r="M837" s="21">
        <v>1858.914</v>
      </c>
      <c r="N837" s="21">
        <v>1965.9870000000001</v>
      </c>
      <c r="O837" s="21">
        <v>2057.2660000000001</v>
      </c>
      <c r="P837" s="21">
        <v>2171.1109999999999</v>
      </c>
      <c r="Q837" s="21">
        <v>2377.7779999999998</v>
      </c>
      <c r="R837" s="21">
        <v>2693.74</v>
      </c>
      <c r="S837" s="21">
        <v>3022.2040000000002</v>
      </c>
      <c r="T837" s="21">
        <v>3373.47</v>
      </c>
      <c r="U837" s="21">
        <v>3656.9360000000001</v>
      </c>
      <c r="V837" s="21">
        <v>3994.462</v>
      </c>
      <c r="W837" s="21">
        <v>4340.9920000000002</v>
      </c>
      <c r="X837" s="21">
        <v>4688.1369999999997</v>
      </c>
      <c r="Y837" s="21">
        <v>5068.826</v>
      </c>
      <c r="Z837" s="21">
        <v>5355.335</v>
      </c>
      <c r="AA837" s="21">
        <v>5207.8710000000001</v>
      </c>
      <c r="AB837" s="21">
        <v>4810.3159999999998</v>
      </c>
      <c r="AC837" s="21">
        <v>5030.2579999999998</v>
      </c>
      <c r="AD837" s="21">
        <v>5254.39</v>
      </c>
      <c r="AE837" s="21">
        <v>5435.3639999999996</v>
      </c>
      <c r="AF837" s="21">
        <v>5769.5780000000004</v>
      </c>
      <c r="AG837" s="21">
        <v>6184.3720000000003</v>
      </c>
      <c r="AH837" s="21">
        <v>6573.3249999999998</v>
      </c>
      <c r="AI837" s="21">
        <v>6848.6049999999996</v>
      </c>
      <c r="AJ837" s="21">
        <v>7188.8379999999997</v>
      </c>
      <c r="AK837" s="21">
        <v>7579.558</v>
      </c>
      <c r="AL837" s="21">
        <v>7710.3559999999998</v>
      </c>
      <c r="AM837" s="21">
        <v>7653.4319999999998</v>
      </c>
      <c r="AN837" s="21">
        <v>8227.9529999999995</v>
      </c>
      <c r="AO837" s="21">
        <v>8296.5480000000007</v>
      </c>
      <c r="AP837" s="21">
        <v>8904.0959999999995</v>
      </c>
      <c r="AQ837" s="21">
        <v>9154.2479999999996</v>
      </c>
      <c r="AR837" s="21">
        <v>9233.4930000000004</v>
      </c>
      <c r="AS837" s="21">
        <v>9463.7639999999992</v>
      </c>
      <c r="AT837" s="21">
        <v>9767.2489999999998</v>
      </c>
      <c r="AU837" s="21">
        <v>10116.014999999999</v>
      </c>
      <c r="AV837" s="21">
        <v>10460.219999999999</v>
      </c>
      <c r="AW837" s="21">
        <v>10807.495999999999</v>
      </c>
      <c r="AX837" s="21">
        <v>11150.880999999999</v>
      </c>
      <c r="AY837">
        <v>2014</v>
      </c>
    </row>
    <row r="838" spans="1:51" x14ac:dyDescent="0.25">
      <c r="A838">
        <v>578</v>
      </c>
      <c r="B838" t="s">
        <v>811</v>
      </c>
      <c r="C838" t="s">
        <v>286</v>
      </c>
      <c r="D838" t="s">
        <v>214</v>
      </c>
      <c r="E838" t="s">
        <v>287</v>
      </c>
      <c r="F838" t="s">
        <v>288</v>
      </c>
      <c r="G838" t="s">
        <v>282</v>
      </c>
      <c r="H838" t="s">
        <v>283</v>
      </c>
      <c r="I838" t="s">
        <v>812</v>
      </c>
      <c r="J838">
        <v>684.36199999999997</v>
      </c>
      <c r="K838">
        <v>785.51400000000001</v>
      </c>
      <c r="L838">
        <v>869.39599999999996</v>
      </c>
      <c r="M838">
        <v>951.41899999999998</v>
      </c>
      <c r="N838" s="21">
        <v>1020.735</v>
      </c>
      <c r="O838" s="21">
        <v>1091.3900000000001</v>
      </c>
      <c r="P838" s="21">
        <v>1170.83</v>
      </c>
      <c r="Q838" s="21">
        <v>1342.846</v>
      </c>
      <c r="R838" s="21">
        <v>1611.3209999999999</v>
      </c>
      <c r="S838" s="21">
        <v>1918.3320000000001</v>
      </c>
      <c r="T838" s="21">
        <v>2263.4670000000001</v>
      </c>
      <c r="U838" s="21">
        <v>2583.491</v>
      </c>
      <c r="V838" s="21">
        <v>2935.6460000000002</v>
      </c>
      <c r="W838" s="21">
        <v>3263.4389999999999</v>
      </c>
      <c r="X838" s="21">
        <v>3689.09</v>
      </c>
      <c r="Y838" s="21">
        <v>4217.6090000000004</v>
      </c>
      <c r="Z838" s="21">
        <v>4638.6049999999996</v>
      </c>
      <c r="AA838" s="21">
        <v>4710.299</v>
      </c>
      <c r="AB838" s="21">
        <v>4701.5590000000002</v>
      </c>
      <c r="AC838" s="21">
        <v>4789.8209999999999</v>
      </c>
      <c r="AD838" s="21">
        <v>5069.8230000000003</v>
      </c>
      <c r="AE838" s="21">
        <v>5345.0129999999999</v>
      </c>
      <c r="AF838" s="21">
        <v>5769.5780000000004</v>
      </c>
      <c r="AG838" s="21">
        <v>6317.3019999999997</v>
      </c>
      <c r="AH838" s="21">
        <v>6954.2709999999997</v>
      </c>
      <c r="AI838" s="21">
        <v>7614.4089999999997</v>
      </c>
      <c r="AJ838" s="21">
        <v>8400.6550000000007</v>
      </c>
      <c r="AK838" s="21">
        <v>9076.3070000000007</v>
      </c>
      <c r="AL838" s="21">
        <v>9706.9320000000007</v>
      </c>
      <c r="AM838" s="21">
        <v>9654.0159999999996</v>
      </c>
      <c r="AN838" s="21">
        <v>10802.402</v>
      </c>
      <c r="AO838" s="21">
        <v>11300.485000000001</v>
      </c>
      <c r="AP838" s="21">
        <v>12354.656000000001</v>
      </c>
      <c r="AQ838" s="21">
        <v>12910.038</v>
      </c>
      <c r="AR838" s="21">
        <v>13148.601000000001</v>
      </c>
      <c r="AS838" s="21">
        <v>13421.298000000001</v>
      </c>
      <c r="AT838" s="21">
        <v>14060.749</v>
      </c>
      <c r="AU838" s="21">
        <v>14856.85</v>
      </c>
      <c r="AV838" s="21">
        <v>15669.754999999999</v>
      </c>
      <c r="AW838" s="21">
        <v>16513.712</v>
      </c>
      <c r="AX838" s="21">
        <v>17378.918000000001</v>
      </c>
      <c r="AY838">
        <v>2014</v>
      </c>
    </row>
    <row r="839" spans="1:51" x14ac:dyDescent="0.25">
      <c r="A839">
        <v>578</v>
      </c>
      <c r="B839" t="s">
        <v>811</v>
      </c>
      <c r="C839" t="s">
        <v>289</v>
      </c>
      <c r="D839" t="s">
        <v>214</v>
      </c>
      <c r="E839" t="s">
        <v>287</v>
      </c>
      <c r="F839" t="s">
        <v>290</v>
      </c>
      <c r="G839" t="s">
        <v>291</v>
      </c>
      <c r="H839" t="s">
        <v>283</v>
      </c>
      <c r="I839" t="s">
        <v>292</v>
      </c>
      <c r="J839">
        <v>33.421999999999997</v>
      </c>
      <c r="K839">
        <v>35.999000000000002</v>
      </c>
      <c r="L839">
        <v>37.798999999999999</v>
      </c>
      <c r="M839">
        <v>41.366</v>
      </c>
      <c r="N839">
        <v>43.179000000000002</v>
      </c>
      <c r="O839">
        <v>40.185000000000002</v>
      </c>
      <c r="P839">
        <v>44.52</v>
      </c>
      <c r="Q839">
        <v>52.204000000000001</v>
      </c>
      <c r="R839">
        <v>63.704000000000001</v>
      </c>
      <c r="S839">
        <v>74.637</v>
      </c>
      <c r="T839">
        <v>88.466999999999999</v>
      </c>
      <c r="U839">
        <v>101.247</v>
      </c>
      <c r="V839">
        <v>115.57599999999999</v>
      </c>
      <c r="W839">
        <v>128.88999999999999</v>
      </c>
      <c r="X839">
        <v>146.684</v>
      </c>
      <c r="Y839">
        <v>169.279</v>
      </c>
      <c r="Z839">
        <v>183.035</v>
      </c>
      <c r="AA839">
        <v>150.18</v>
      </c>
      <c r="AB839">
        <v>113.676</v>
      </c>
      <c r="AC839">
        <v>126.669</v>
      </c>
      <c r="AD839">
        <v>126.392</v>
      </c>
      <c r="AE839">
        <v>120.297</v>
      </c>
      <c r="AF839">
        <v>134.30099999999999</v>
      </c>
      <c r="AG839">
        <v>152.28100000000001</v>
      </c>
      <c r="AH839">
        <v>172.89500000000001</v>
      </c>
      <c r="AI839">
        <v>189.31800000000001</v>
      </c>
      <c r="AJ839">
        <v>221.75899999999999</v>
      </c>
      <c r="AK839">
        <v>262.94299999999998</v>
      </c>
      <c r="AL839">
        <v>291.38299999999998</v>
      </c>
      <c r="AM839">
        <v>281.57499999999999</v>
      </c>
      <c r="AN839">
        <v>340.92399999999998</v>
      </c>
      <c r="AO839">
        <v>370.608</v>
      </c>
      <c r="AP839">
        <v>397.47199999999998</v>
      </c>
      <c r="AQ839">
        <v>420.16699999999997</v>
      </c>
      <c r="AR839">
        <v>404.82400000000001</v>
      </c>
      <c r="AS839">
        <v>373.536</v>
      </c>
      <c r="AT839">
        <v>393.01900000000001</v>
      </c>
      <c r="AU839">
        <v>411.26600000000002</v>
      </c>
      <c r="AV839">
        <v>432.40899999999999</v>
      </c>
      <c r="AW839">
        <v>454.08199999999999</v>
      </c>
      <c r="AX839">
        <v>473.99700000000001</v>
      </c>
      <c r="AY839">
        <v>2014</v>
      </c>
    </row>
    <row r="840" spans="1:51" x14ac:dyDescent="0.25">
      <c r="A840">
        <v>578</v>
      </c>
      <c r="B840" t="s">
        <v>811</v>
      </c>
      <c r="C840" t="s">
        <v>293</v>
      </c>
      <c r="D840" t="s">
        <v>214</v>
      </c>
      <c r="E840" t="s">
        <v>294</v>
      </c>
      <c r="F840" t="s">
        <v>295</v>
      </c>
      <c r="G840" t="s">
        <v>296</v>
      </c>
      <c r="I840" t="s">
        <v>297</v>
      </c>
      <c r="J840">
        <v>43.371000000000002</v>
      </c>
      <c r="K840">
        <v>47.003</v>
      </c>
      <c r="L840">
        <v>49.378999999999998</v>
      </c>
      <c r="M840">
        <v>51.180999999999997</v>
      </c>
      <c r="N840">
        <v>51.92</v>
      </c>
      <c r="O840">
        <v>53.05</v>
      </c>
      <c r="P840">
        <v>53.927999999999997</v>
      </c>
      <c r="Q840">
        <v>56.475000000000001</v>
      </c>
      <c r="R840">
        <v>59.817</v>
      </c>
      <c r="S840">
        <v>63.475000000000001</v>
      </c>
      <c r="T840">
        <v>67.096000000000004</v>
      </c>
      <c r="U840">
        <v>70.646000000000001</v>
      </c>
      <c r="V840">
        <v>73.492999999999995</v>
      </c>
      <c r="W840">
        <v>75.177000000000007</v>
      </c>
      <c r="X840">
        <v>78.69</v>
      </c>
      <c r="Y840">
        <v>83.206999999999994</v>
      </c>
      <c r="Z840">
        <v>86.617000000000004</v>
      </c>
      <c r="AA840">
        <v>90.445999999999998</v>
      </c>
      <c r="AB840">
        <v>97.739000000000004</v>
      </c>
      <c r="AC840">
        <v>95.22</v>
      </c>
      <c r="AD840">
        <v>96.486999999999995</v>
      </c>
      <c r="AE840">
        <v>98.337999999999994</v>
      </c>
      <c r="AF840">
        <v>100</v>
      </c>
      <c r="AG840">
        <v>102.149</v>
      </c>
      <c r="AH840">
        <v>105.795</v>
      </c>
      <c r="AI840">
        <v>111.182</v>
      </c>
      <c r="AJ840">
        <v>116.857</v>
      </c>
      <c r="AK840">
        <v>119.747</v>
      </c>
      <c r="AL840">
        <v>125.895</v>
      </c>
      <c r="AM840">
        <v>126.14</v>
      </c>
      <c r="AN840">
        <v>131.28899999999999</v>
      </c>
      <c r="AO840">
        <v>136.20699999999999</v>
      </c>
      <c r="AP840">
        <v>138.75299999999999</v>
      </c>
      <c r="AQ840">
        <v>141.02799999999999</v>
      </c>
      <c r="AR840">
        <v>142.40100000000001</v>
      </c>
      <c r="AS840">
        <v>141.81800000000001</v>
      </c>
      <c r="AT840">
        <v>143.958</v>
      </c>
      <c r="AU840">
        <v>146.86500000000001</v>
      </c>
      <c r="AV840">
        <v>149.803</v>
      </c>
      <c r="AW840">
        <v>152.79900000000001</v>
      </c>
      <c r="AX840">
        <v>155.852</v>
      </c>
      <c r="AY840">
        <v>2014</v>
      </c>
    </row>
    <row r="841" spans="1:51" x14ac:dyDescent="0.25">
      <c r="A841">
        <v>578</v>
      </c>
      <c r="B841" t="s">
        <v>811</v>
      </c>
      <c r="C841" t="s">
        <v>298</v>
      </c>
      <c r="D841" t="s">
        <v>214</v>
      </c>
      <c r="E841" t="s">
        <v>299</v>
      </c>
      <c r="F841" t="s">
        <v>300</v>
      </c>
      <c r="G841" t="s">
        <v>282</v>
      </c>
      <c r="H841" t="s">
        <v>283</v>
      </c>
      <c r="I841" t="s">
        <v>813</v>
      </c>
      <c r="J841" t="s">
        <v>285</v>
      </c>
      <c r="K841" t="s">
        <v>285</v>
      </c>
      <c r="L841" t="s">
        <v>285</v>
      </c>
      <c r="M841" t="s">
        <v>285</v>
      </c>
      <c r="N841" t="s">
        <v>285</v>
      </c>
      <c r="O841" t="s">
        <v>285</v>
      </c>
      <c r="P841" t="s">
        <v>285</v>
      </c>
      <c r="Q841" t="s">
        <v>285</v>
      </c>
      <c r="R841" t="s">
        <v>285</v>
      </c>
      <c r="S841" t="s">
        <v>285</v>
      </c>
      <c r="T841" t="s">
        <v>285</v>
      </c>
      <c r="U841" t="s">
        <v>285</v>
      </c>
      <c r="V841" t="s">
        <v>285</v>
      </c>
      <c r="W841" t="s">
        <v>285</v>
      </c>
      <c r="X841" t="s">
        <v>285</v>
      </c>
      <c r="Y841">
        <v>701.72400000000005</v>
      </c>
      <c r="Z841">
        <v>810.08299999999997</v>
      </c>
      <c r="AA841" s="21">
        <v>1016.808</v>
      </c>
      <c r="AB841" s="21">
        <v>1116.3689999999999</v>
      </c>
      <c r="AC841" s="21">
        <v>1219.644</v>
      </c>
      <c r="AD841">
        <v>938.197</v>
      </c>
      <c r="AE841" s="21">
        <v>1062.297</v>
      </c>
      <c r="AF841" s="21">
        <v>1374.5350000000001</v>
      </c>
      <c r="AG841" s="21">
        <v>1127.931</v>
      </c>
      <c r="AH841" s="21">
        <v>1306.3820000000001</v>
      </c>
      <c r="AI841" s="21">
        <v>1459.596</v>
      </c>
      <c r="AJ841" s="21">
        <v>1546.432</v>
      </c>
      <c r="AK841" s="21">
        <v>1769.2090000000001</v>
      </c>
      <c r="AL841" s="21">
        <v>1875.078</v>
      </c>
      <c r="AM841" s="21">
        <v>2051.9609999999998</v>
      </c>
      <c r="AN841" s="21">
        <v>2337.4630000000002</v>
      </c>
      <c r="AO841" s="21">
        <v>2401.0320000000002</v>
      </c>
      <c r="AP841" s="21">
        <v>2620.0970000000002</v>
      </c>
      <c r="AQ841" s="21">
        <v>2824.0650000000001</v>
      </c>
      <c r="AR841" s="21">
        <v>2899.415</v>
      </c>
      <c r="AS841" s="21">
        <v>3014.6709999999998</v>
      </c>
      <c r="AT841" s="21">
        <v>3178.5039999999999</v>
      </c>
      <c r="AU841" s="21">
        <v>3358.328</v>
      </c>
      <c r="AV841" s="21">
        <v>3552.81</v>
      </c>
      <c r="AW841" s="21">
        <v>3732.5790000000002</v>
      </c>
      <c r="AX841" s="21">
        <v>3900.8649999999998</v>
      </c>
      <c r="AY841">
        <v>2014</v>
      </c>
    </row>
    <row r="842" spans="1:51" x14ac:dyDescent="0.25">
      <c r="A842">
        <v>537</v>
      </c>
      <c r="B842" t="s">
        <v>814</v>
      </c>
      <c r="C842" t="s">
        <v>279</v>
      </c>
      <c r="D842" t="s">
        <v>215</v>
      </c>
      <c r="E842" t="s">
        <v>280</v>
      </c>
      <c r="F842" t="s">
        <v>281</v>
      </c>
      <c r="G842" t="s">
        <v>282</v>
      </c>
      <c r="H842" t="s">
        <v>283</v>
      </c>
      <c r="I842" t="s">
        <v>815</v>
      </c>
      <c r="J842" t="s">
        <v>285</v>
      </c>
      <c r="K842" t="s">
        <v>285</v>
      </c>
      <c r="L842" t="s">
        <v>285</v>
      </c>
      <c r="M842" t="s">
        <v>285</v>
      </c>
      <c r="N842" t="s">
        <v>285</v>
      </c>
      <c r="O842" t="s">
        <v>285</v>
      </c>
      <c r="P842" t="s">
        <v>285</v>
      </c>
      <c r="Q842" t="s">
        <v>285</v>
      </c>
      <c r="R842" t="s">
        <v>285</v>
      </c>
      <c r="S842" t="s">
        <v>285</v>
      </c>
      <c r="T842" t="s">
        <v>285</v>
      </c>
      <c r="U842" t="s">
        <v>285</v>
      </c>
      <c r="V842" t="s">
        <v>285</v>
      </c>
      <c r="W842" t="s">
        <v>285</v>
      </c>
      <c r="X842" t="s">
        <v>285</v>
      </c>
      <c r="Y842" t="s">
        <v>285</v>
      </c>
      <c r="Z842" t="s">
        <v>285</v>
      </c>
      <c r="AA842" t="s">
        <v>285</v>
      </c>
      <c r="AB842" t="s">
        <v>285</v>
      </c>
      <c r="AC842" t="s">
        <v>285</v>
      </c>
      <c r="AD842">
        <v>0.55600000000000005</v>
      </c>
      <c r="AE842">
        <v>0.64700000000000002</v>
      </c>
      <c r="AF842">
        <v>0.60399999999999998</v>
      </c>
      <c r="AG842">
        <v>0.59</v>
      </c>
      <c r="AH842">
        <v>0.59299999999999997</v>
      </c>
      <c r="AI842">
        <v>0.63</v>
      </c>
      <c r="AJ842">
        <v>0.59399999999999997</v>
      </c>
      <c r="AK842">
        <v>0.66200000000000003</v>
      </c>
      <c r="AL842">
        <v>0.75600000000000001</v>
      </c>
      <c r="AM842">
        <v>0.85399999999999998</v>
      </c>
      <c r="AN842">
        <v>0.93400000000000005</v>
      </c>
      <c r="AO842">
        <v>1.0229999999999999</v>
      </c>
      <c r="AP842">
        <v>1.0880000000000001</v>
      </c>
      <c r="AQ842">
        <v>1.1180000000000001</v>
      </c>
      <c r="AR842">
        <v>1.1679999999999999</v>
      </c>
      <c r="AS842">
        <v>1.218</v>
      </c>
      <c r="AT842">
        <v>1.2789999999999999</v>
      </c>
      <c r="AU842">
        <v>1.349</v>
      </c>
      <c r="AV842">
        <v>1.43</v>
      </c>
      <c r="AW842">
        <v>1.516</v>
      </c>
      <c r="AX842">
        <v>1.607</v>
      </c>
      <c r="AY842">
        <v>2013</v>
      </c>
    </row>
    <row r="843" spans="1:51" x14ac:dyDescent="0.25">
      <c r="A843">
        <v>537</v>
      </c>
      <c r="B843" t="s">
        <v>814</v>
      </c>
      <c r="C843" t="s">
        <v>286</v>
      </c>
      <c r="D843" t="s">
        <v>215</v>
      </c>
      <c r="E843" t="s">
        <v>287</v>
      </c>
      <c r="F843" t="s">
        <v>288</v>
      </c>
      <c r="G843" t="s">
        <v>282</v>
      </c>
      <c r="H843" t="s">
        <v>283</v>
      </c>
      <c r="I843" t="s">
        <v>815</v>
      </c>
      <c r="J843" t="s">
        <v>285</v>
      </c>
      <c r="K843" t="s">
        <v>285</v>
      </c>
      <c r="L843" t="s">
        <v>285</v>
      </c>
      <c r="M843" t="s">
        <v>285</v>
      </c>
      <c r="N843" t="s">
        <v>285</v>
      </c>
      <c r="O843" t="s">
        <v>285</v>
      </c>
      <c r="P843" t="s">
        <v>285</v>
      </c>
      <c r="Q843" t="s">
        <v>285</v>
      </c>
      <c r="R843" t="s">
        <v>285</v>
      </c>
      <c r="S843" t="s">
        <v>285</v>
      </c>
      <c r="T843" t="s">
        <v>285</v>
      </c>
      <c r="U843" t="s">
        <v>285</v>
      </c>
      <c r="V843" t="s">
        <v>285</v>
      </c>
      <c r="W843" t="s">
        <v>285</v>
      </c>
      <c r="X843" t="s">
        <v>285</v>
      </c>
      <c r="Y843" t="s">
        <v>285</v>
      </c>
      <c r="Z843" t="s">
        <v>285</v>
      </c>
      <c r="AA843" t="s">
        <v>285</v>
      </c>
      <c r="AB843" t="s">
        <v>285</v>
      </c>
      <c r="AC843" t="s">
        <v>285</v>
      </c>
      <c r="AD843">
        <v>0.44700000000000001</v>
      </c>
      <c r="AE843">
        <v>0.496</v>
      </c>
      <c r="AF843">
        <v>0.48599999999999999</v>
      </c>
      <c r="AG843">
        <v>0.50600000000000001</v>
      </c>
      <c r="AH843">
        <v>1.1060000000000001</v>
      </c>
      <c r="AI843">
        <v>1.85</v>
      </c>
      <c r="AJ843">
        <v>2.6840000000000002</v>
      </c>
      <c r="AK843">
        <v>2.9049999999999998</v>
      </c>
      <c r="AL843">
        <v>4.4329999999999998</v>
      </c>
      <c r="AM843">
        <v>3.3180000000000001</v>
      </c>
      <c r="AN843">
        <v>4.069</v>
      </c>
      <c r="AO843">
        <v>5.7880000000000003</v>
      </c>
      <c r="AP843">
        <v>6.8070000000000004</v>
      </c>
      <c r="AQ843">
        <v>5.5960000000000001</v>
      </c>
      <c r="AR843">
        <v>4.97</v>
      </c>
      <c r="AS843">
        <v>4.2309999999999999</v>
      </c>
      <c r="AT843">
        <v>3.9390000000000001</v>
      </c>
      <c r="AU843">
        <v>3.7930000000000001</v>
      </c>
      <c r="AV843">
        <v>3.9</v>
      </c>
      <c r="AW843">
        <v>3.8849999999999998</v>
      </c>
      <c r="AX843">
        <v>3.524</v>
      </c>
      <c r="AY843">
        <v>2013</v>
      </c>
    </row>
    <row r="844" spans="1:51" x14ac:dyDescent="0.25">
      <c r="A844">
        <v>537</v>
      </c>
      <c r="B844" t="s">
        <v>814</v>
      </c>
      <c r="C844" t="s">
        <v>289</v>
      </c>
      <c r="D844" t="s">
        <v>215</v>
      </c>
      <c r="E844" t="s">
        <v>287</v>
      </c>
      <c r="F844" t="s">
        <v>290</v>
      </c>
      <c r="G844" t="s">
        <v>291</v>
      </c>
      <c r="H844" t="s">
        <v>283</v>
      </c>
      <c r="I844" t="s">
        <v>292</v>
      </c>
      <c r="J844" t="s">
        <v>285</v>
      </c>
      <c r="K844" t="s">
        <v>285</v>
      </c>
      <c r="L844" t="s">
        <v>285</v>
      </c>
      <c r="M844" t="s">
        <v>285</v>
      </c>
      <c r="N844" t="s">
        <v>285</v>
      </c>
      <c r="O844" t="s">
        <v>285</v>
      </c>
      <c r="P844" t="s">
        <v>285</v>
      </c>
      <c r="Q844" t="s">
        <v>285</v>
      </c>
      <c r="R844" t="s">
        <v>285</v>
      </c>
      <c r="S844" t="s">
        <v>285</v>
      </c>
      <c r="T844" t="s">
        <v>285</v>
      </c>
      <c r="U844" t="s">
        <v>285</v>
      </c>
      <c r="V844" t="s">
        <v>285</v>
      </c>
      <c r="W844" t="s">
        <v>285</v>
      </c>
      <c r="X844" t="s">
        <v>285</v>
      </c>
      <c r="Y844" t="s">
        <v>285</v>
      </c>
      <c r="Z844" t="s">
        <v>285</v>
      </c>
      <c r="AA844" t="s">
        <v>285</v>
      </c>
      <c r="AB844" t="s">
        <v>285</v>
      </c>
      <c r="AC844" t="s">
        <v>285</v>
      </c>
      <c r="AD844">
        <v>0.44700000000000001</v>
      </c>
      <c r="AE844">
        <v>0.496</v>
      </c>
      <c r="AF844">
        <v>0.48599999999999999</v>
      </c>
      <c r="AG844">
        <v>0.50600000000000001</v>
      </c>
      <c r="AH844">
        <v>1.1060000000000001</v>
      </c>
      <c r="AI844">
        <v>1.85</v>
      </c>
      <c r="AJ844">
        <v>2.6840000000000002</v>
      </c>
      <c r="AK844">
        <v>2.9049999999999998</v>
      </c>
      <c r="AL844">
        <v>4.4329999999999998</v>
      </c>
      <c r="AM844">
        <v>3.3180000000000001</v>
      </c>
      <c r="AN844">
        <v>4.069</v>
      </c>
      <c r="AO844">
        <v>5.7880000000000003</v>
      </c>
      <c r="AP844">
        <v>6.8070000000000004</v>
      </c>
      <c r="AQ844">
        <v>5.5960000000000001</v>
      </c>
      <c r="AR844">
        <v>4.97</v>
      </c>
      <c r="AS844">
        <v>4.2309999999999999</v>
      </c>
      <c r="AT844">
        <v>3.9390000000000001</v>
      </c>
      <c r="AU844">
        <v>3.7930000000000001</v>
      </c>
      <c r="AV844">
        <v>3.9</v>
      </c>
      <c r="AW844">
        <v>3.8849999999999998</v>
      </c>
      <c r="AX844">
        <v>3.524</v>
      </c>
      <c r="AY844">
        <v>2013</v>
      </c>
    </row>
    <row r="845" spans="1:51" x14ac:dyDescent="0.25">
      <c r="A845">
        <v>537</v>
      </c>
      <c r="B845" t="s">
        <v>814</v>
      </c>
      <c r="C845" t="s">
        <v>293</v>
      </c>
      <c r="D845" t="s">
        <v>215</v>
      </c>
      <c r="E845" t="s">
        <v>294</v>
      </c>
      <c r="F845" t="s">
        <v>295</v>
      </c>
      <c r="G845" t="s">
        <v>296</v>
      </c>
      <c r="I845" t="s">
        <v>297</v>
      </c>
      <c r="J845" t="s">
        <v>285</v>
      </c>
      <c r="K845" t="s">
        <v>285</v>
      </c>
      <c r="L845" t="s">
        <v>285</v>
      </c>
      <c r="M845" t="s">
        <v>285</v>
      </c>
      <c r="N845" t="s">
        <v>285</v>
      </c>
      <c r="O845" t="s">
        <v>285</v>
      </c>
      <c r="P845" t="s">
        <v>285</v>
      </c>
      <c r="Q845" t="s">
        <v>285</v>
      </c>
      <c r="R845" t="s">
        <v>285</v>
      </c>
      <c r="S845" t="s">
        <v>285</v>
      </c>
      <c r="T845" t="s">
        <v>285</v>
      </c>
      <c r="U845" t="s">
        <v>285</v>
      </c>
      <c r="V845" t="s">
        <v>285</v>
      </c>
      <c r="W845" t="s">
        <v>285</v>
      </c>
      <c r="X845" t="s">
        <v>285</v>
      </c>
      <c r="Y845" t="s">
        <v>285</v>
      </c>
      <c r="Z845" t="s">
        <v>285</v>
      </c>
      <c r="AA845" t="s">
        <v>285</v>
      </c>
      <c r="AB845" t="s">
        <v>285</v>
      </c>
      <c r="AC845" t="s">
        <v>285</v>
      </c>
      <c r="AD845">
        <v>57.847999999999999</v>
      </c>
      <c r="AE845">
        <v>62.731000000000002</v>
      </c>
      <c r="AF845">
        <v>66.146000000000001</v>
      </c>
      <c r="AG845">
        <v>68.957999999999998</v>
      </c>
      <c r="AH845">
        <v>65.257999999999996</v>
      </c>
      <c r="AI845">
        <v>71.488</v>
      </c>
      <c r="AJ845">
        <v>67.421999999999997</v>
      </c>
      <c r="AK845">
        <v>70.221999999999994</v>
      </c>
      <c r="AL845">
        <v>97.066000000000003</v>
      </c>
      <c r="AM845">
        <v>78.831000000000003</v>
      </c>
      <c r="AN845">
        <v>100</v>
      </c>
      <c r="AO845">
        <v>126.32</v>
      </c>
      <c r="AP845">
        <v>141.136</v>
      </c>
      <c r="AQ845">
        <v>134.714</v>
      </c>
      <c r="AR845">
        <v>137.744</v>
      </c>
      <c r="AS845">
        <v>106.824</v>
      </c>
      <c r="AT845">
        <v>102.232</v>
      </c>
      <c r="AU845">
        <v>109.685</v>
      </c>
      <c r="AV845">
        <v>120.074</v>
      </c>
      <c r="AW845">
        <v>150.215</v>
      </c>
      <c r="AX845">
        <v>166.35300000000001</v>
      </c>
      <c r="AY845">
        <v>2013</v>
      </c>
    </row>
    <row r="846" spans="1:51" x14ac:dyDescent="0.25">
      <c r="A846">
        <v>537</v>
      </c>
      <c r="B846" t="s">
        <v>814</v>
      </c>
      <c r="C846" t="s">
        <v>298</v>
      </c>
      <c r="D846" t="s">
        <v>215</v>
      </c>
      <c r="E846" t="s">
        <v>299</v>
      </c>
      <c r="F846" t="s">
        <v>300</v>
      </c>
      <c r="G846" t="s">
        <v>282</v>
      </c>
      <c r="H846" t="s">
        <v>283</v>
      </c>
      <c r="I846" t="s">
        <v>816</v>
      </c>
      <c r="J846" t="s">
        <v>285</v>
      </c>
      <c r="K846" t="s">
        <v>285</v>
      </c>
      <c r="L846" t="s">
        <v>285</v>
      </c>
      <c r="M846" t="s">
        <v>285</v>
      </c>
      <c r="N846" t="s">
        <v>285</v>
      </c>
      <c r="O846" t="s">
        <v>285</v>
      </c>
      <c r="P846" t="s">
        <v>285</v>
      </c>
      <c r="Q846" t="s">
        <v>285</v>
      </c>
      <c r="R846" t="s">
        <v>285</v>
      </c>
      <c r="S846" t="s">
        <v>285</v>
      </c>
      <c r="T846" t="s">
        <v>285</v>
      </c>
      <c r="U846" t="s">
        <v>285</v>
      </c>
      <c r="V846" t="s">
        <v>285</v>
      </c>
      <c r="W846" t="s">
        <v>285</v>
      </c>
      <c r="X846" t="s">
        <v>285</v>
      </c>
      <c r="Y846" t="s">
        <v>285</v>
      </c>
      <c r="Z846" t="s">
        <v>285</v>
      </c>
      <c r="AA846" t="s">
        <v>285</v>
      </c>
      <c r="AB846" t="s">
        <v>285</v>
      </c>
      <c r="AC846" t="s">
        <v>285</v>
      </c>
      <c r="AD846">
        <v>0</v>
      </c>
      <c r="AE846">
        <v>0</v>
      </c>
      <c r="AF846">
        <v>6.0999999999999999E-2</v>
      </c>
      <c r="AG846">
        <v>7.0000000000000007E-2</v>
      </c>
      <c r="AH846">
        <v>7.0000000000000007E-2</v>
      </c>
      <c r="AI846">
        <v>9.4E-2</v>
      </c>
      <c r="AJ846">
        <v>0.115</v>
      </c>
      <c r="AK846">
        <v>0.251</v>
      </c>
      <c r="AL846">
        <v>0.56999999999999995</v>
      </c>
      <c r="AM846">
        <v>0.60399999999999998</v>
      </c>
      <c r="AN846">
        <v>0.76</v>
      </c>
      <c r="AO846">
        <v>1.105</v>
      </c>
      <c r="AP846">
        <v>1.2470000000000001</v>
      </c>
      <c r="AQ846">
        <v>1.081</v>
      </c>
      <c r="AR846">
        <v>1.4039999999999999</v>
      </c>
      <c r="AS846">
        <v>1.4219999999999999</v>
      </c>
      <c r="AT846">
        <v>1.5680000000000001</v>
      </c>
      <c r="AU846">
        <v>1.548</v>
      </c>
      <c r="AV846">
        <v>1.6619999999999999</v>
      </c>
      <c r="AW846">
        <v>1.6080000000000001</v>
      </c>
      <c r="AX846">
        <v>1.67</v>
      </c>
      <c r="AY846">
        <v>2013</v>
      </c>
    </row>
    <row r="847" spans="1:51" x14ac:dyDescent="0.25">
      <c r="A847">
        <v>742</v>
      </c>
      <c r="B847" t="s">
        <v>817</v>
      </c>
      <c r="C847" t="s">
        <v>279</v>
      </c>
      <c r="D847" t="s">
        <v>216</v>
      </c>
      <c r="E847" t="s">
        <v>280</v>
      </c>
      <c r="F847" t="s">
        <v>281</v>
      </c>
      <c r="G847" t="s">
        <v>282</v>
      </c>
      <c r="H847" t="s">
        <v>283</v>
      </c>
      <c r="I847" t="s">
        <v>818</v>
      </c>
      <c r="J847">
        <v>715.81799999999998</v>
      </c>
      <c r="K847">
        <v>691.34400000000005</v>
      </c>
      <c r="L847">
        <v>665.71199999999999</v>
      </c>
      <c r="M847">
        <v>631.38599999999997</v>
      </c>
      <c r="N847">
        <v>668.51800000000003</v>
      </c>
      <c r="O847">
        <v>693.36800000000005</v>
      </c>
      <c r="P847">
        <v>715.97400000000005</v>
      </c>
      <c r="Q847">
        <v>698.19</v>
      </c>
      <c r="R847">
        <v>768.70699999999999</v>
      </c>
      <c r="S847">
        <v>800.22400000000005</v>
      </c>
      <c r="T847">
        <v>847</v>
      </c>
      <c r="U847">
        <v>842</v>
      </c>
      <c r="V847">
        <v>815</v>
      </c>
      <c r="W847">
        <v>682</v>
      </c>
      <c r="X847">
        <v>777</v>
      </c>
      <c r="Y847">
        <v>930</v>
      </c>
      <c r="Z847">
        <v>894</v>
      </c>
      <c r="AA847">
        <v>928</v>
      </c>
      <c r="AB847">
        <v>907</v>
      </c>
      <c r="AC847">
        <v>930</v>
      </c>
      <c r="AD847">
        <v>921</v>
      </c>
      <c r="AE847">
        <v>909</v>
      </c>
      <c r="AF847">
        <v>897</v>
      </c>
      <c r="AG847">
        <v>941</v>
      </c>
      <c r="AH847">
        <v>963.8</v>
      </c>
      <c r="AI847">
        <v>976</v>
      </c>
      <c r="AJ847" s="21">
        <v>1014</v>
      </c>
      <c r="AK847" s="21">
        <v>1035</v>
      </c>
      <c r="AL847" s="21">
        <v>1060</v>
      </c>
      <c r="AM847" s="21">
        <v>1097.0999999999999</v>
      </c>
      <c r="AN847" s="21">
        <v>1141.748</v>
      </c>
      <c r="AO847" s="21">
        <v>1196.453</v>
      </c>
      <c r="AP847" s="21">
        <v>1267.1869999999999</v>
      </c>
      <c r="AQ847" s="21">
        <v>1335.615</v>
      </c>
      <c r="AR847" s="21">
        <v>1402.396</v>
      </c>
      <c r="AS847" s="21">
        <v>1478.125</v>
      </c>
      <c r="AT847" s="21">
        <v>1560.9</v>
      </c>
      <c r="AU847" s="21">
        <v>1648.3109999999999</v>
      </c>
      <c r="AV847" s="21">
        <v>1740.616</v>
      </c>
      <c r="AW847" s="21">
        <v>1836.35</v>
      </c>
      <c r="AX847" s="21">
        <v>1937.3489999999999</v>
      </c>
      <c r="AY847">
        <v>2014</v>
      </c>
    </row>
    <row r="848" spans="1:51" x14ac:dyDescent="0.25">
      <c r="A848">
        <v>742</v>
      </c>
      <c r="B848" t="s">
        <v>817</v>
      </c>
      <c r="C848" t="s">
        <v>286</v>
      </c>
      <c r="D848" t="s">
        <v>216</v>
      </c>
      <c r="E848" t="s">
        <v>287</v>
      </c>
      <c r="F848" t="s">
        <v>288</v>
      </c>
      <c r="G848" t="s">
        <v>282</v>
      </c>
      <c r="H848" t="s">
        <v>283</v>
      </c>
      <c r="I848" t="s">
        <v>818</v>
      </c>
      <c r="J848">
        <v>260.76</v>
      </c>
      <c r="K848">
        <v>278.47899999999998</v>
      </c>
      <c r="L848">
        <v>283.91800000000001</v>
      </c>
      <c r="M848">
        <v>308.24</v>
      </c>
      <c r="N848">
        <v>316.245</v>
      </c>
      <c r="O848">
        <v>342.83199999999999</v>
      </c>
      <c r="P848">
        <v>367.4</v>
      </c>
      <c r="Q848">
        <v>375.4</v>
      </c>
      <c r="R848">
        <v>450.976</v>
      </c>
      <c r="S848">
        <v>473.92599999999999</v>
      </c>
      <c r="T848">
        <v>487.08600000000001</v>
      </c>
      <c r="U848">
        <v>498.65600000000001</v>
      </c>
      <c r="V848">
        <v>490.63799999999998</v>
      </c>
      <c r="W848">
        <v>400.05700000000002</v>
      </c>
      <c r="X848">
        <v>607.97</v>
      </c>
      <c r="Y848">
        <v>721.87099999999998</v>
      </c>
      <c r="Z848">
        <v>808.61699999999996</v>
      </c>
      <c r="AA848">
        <v>939.56700000000001</v>
      </c>
      <c r="AB848">
        <v>898.80600000000004</v>
      </c>
      <c r="AC848">
        <v>939.74900000000002</v>
      </c>
      <c r="AD848">
        <v>921.47500000000002</v>
      </c>
      <c r="AE848">
        <v>976.64800000000002</v>
      </c>
      <c r="AF848" s="21">
        <v>1027.8</v>
      </c>
      <c r="AG848">
        <v>972.74900000000002</v>
      </c>
      <c r="AH848" s="21">
        <v>1023.327</v>
      </c>
      <c r="AI848" s="21">
        <v>1115.6759999999999</v>
      </c>
      <c r="AJ848" s="21">
        <v>1160</v>
      </c>
      <c r="AK848" s="21">
        <v>1209.412</v>
      </c>
      <c r="AL848" s="21">
        <v>1414.8610000000001</v>
      </c>
      <c r="AM848" s="21">
        <v>1493.5260000000001</v>
      </c>
      <c r="AN848" s="21">
        <v>1571.4870000000001</v>
      </c>
      <c r="AO848" s="21">
        <v>1772.3420000000001</v>
      </c>
      <c r="AP848" s="21">
        <v>1999.1089999999999</v>
      </c>
      <c r="AQ848" s="21">
        <v>2149.2020000000002</v>
      </c>
      <c r="AR848" s="21">
        <v>2267.9459999999999</v>
      </c>
      <c r="AS848" s="21">
        <v>2449.252</v>
      </c>
      <c r="AT848" s="21">
        <v>2648.4830000000002</v>
      </c>
      <c r="AU848" s="21">
        <v>2863.922</v>
      </c>
      <c r="AV848" s="21">
        <v>3093.86</v>
      </c>
      <c r="AW848" s="21">
        <v>3339.0949999999998</v>
      </c>
      <c r="AX848" s="21">
        <v>3600.2460000000001</v>
      </c>
      <c r="AY848">
        <v>2014</v>
      </c>
    </row>
    <row r="849" spans="1:51" x14ac:dyDescent="0.25">
      <c r="A849">
        <v>742</v>
      </c>
      <c r="B849" t="s">
        <v>817</v>
      </c>
      <c r="C849" t="s">
        <v>289</v>
      </c>
      <c r="D849" t="s">
        <v>216</v>
      </c>
      <c r="E849" t="s">
        <v>287</v>
      </c>
      <c r="F849" t="s">
        <v>290</v>
      </c>
      <c r="G849" t="s">
        <v>291</v>
      </c>
      <c r="H849" t="s">
        <v>283</v>
      </c>
      <c r="I849" t="s">
        <v>292</v>
      </c>
      <c r="J849">
        <v>1.234</v>
      </c>
      <c r="K849">
        <v>1.0249999999999999</v>
      </c>
      <c r="L849">
        <v>0.86399999999999999</v>
      </c>
      <c r="M849">
        <v>0.80900000000000005</v>
      </c>
      <c r="N849">
        <v>0.72399999999999998</v>
      </c>
      <c r="O849">
        <v>0.76300000000000001</v>
      </c>
      <c r="P849">
        <v>1.0609999999999999</v>
      </c>
      <c r="Q849">
        <v>1.2490000000000001</v>
      </c>
      <c r="R849">
        <v>1.514</v>
      </c>
      <c r="S849">
        <v>1.486</v>
      </c>
      <c r="T849">
        <v>1.7889999999999999</v>
      </c>
      <c r="U849">
        <v>1.768</v>
      </c>
      <c r="V849">
        <v>1.8540000000000001</v>
      </c>
      <c r="W849">
        <v>1.413</v>
      </c>
      <c r="X849">
        <v>1.095</v>
      </c>
      <c r="Y849">
        <v>1.446</v>
      </c>
      <c r="Z849">
        <v>1.581</v>
      </c>
      <c r="AA849">
        <v>1.61</v>
      </c>
      <c r="AB849">
        <v>1.524</v>
      </c>
      <c r="AC849">
        <v>1.5289999999999999</v>
      </c>
      <c r="AD849">
        <v>1.2989999999999999</v>
      </c>
      <c r="AE849">
        <v>1.3340000000000001</v>
      </c>
      <c r="AF849">
        <v>1.4810000000000001</v>
      </c>
      <c r="AG849">
        <v>1.677</v>
      </c>
      <c r="AH849">
        <v>1.94</v>
      </c>
      <c r="AI849">
        <v>2.117</v>
      </c>
      <c r="AJ849">
        <v>2.2210000000000001</v>
      </c>
      <c r="AK849">
        <v>2.5270000000000001</v>
      </c>
      <c r="AL849">
        <v>3.1739999999999999</v>
      </c>
      <c r="AM849">
        <v>3.1709999999999998</v>
      </c>
      <c r="AN849">
        <v>3.1789999999999998</v>
      </c>
      <c r="AO849">
        <v>3.7589999999999999</v>
      </c>
      <c r="AP849">
        <v>3.9180000000000001</v>
      </c>
      <c r="AQ849">
        <v>4.3520000000000003</v>
      </c>
      <c r="AR849">
        <v>4.5940000000000003</v>
      </c>
      <c r="AS849">
        <v>4.1520000000000001</v>
      </c>
      <c r="AT849">
        <v>4.4989999999999997</v>
      </c>
      <c r="AU849">
        <v>4.9180000000000001</v>
      </c>
      <c r="AV849">
        <v>5.367</v>
      </c>
      <c r="AW849">
        <v>5.8360000000000003</v>
      </c>
      <c r="AX849">
        <v>6.3940000000000001</v>
      </c>
      <c r="AY849">
        <v>2014</v>
      </c>
    </row>
    <row r="850" spans="1:51" x14ac:dyDescent="0.25">
      <c r="A850">
        <v>742</v>
      </c>
      <c r="B850" t="s">
        <v>817</v>
      </c>
      <c r="C850" t="s">
        <v>293</v>
      </c>
      <c r="D850" t="s">
        <v>216</v>
      </c>
      <c r="E850" t="s">
        <v>294</v>
      </c>
      <c r="F850" t="s">
        <v>295</v>
      </c>
      <c r="G850" t="s">
        <v>296</v>
      </c>
      <c r="I850" t="s">
        <v>297</v>
      </c>
      <c r="J850">
        <v>36.427999999999997</v>
      </c>
      <c r="K850">
        <v>40.280999999999999</v>
      </c>
      <c r="L850">
        <v>42.649000000000001</v>
      </c>
      <c r="M850">
        <v>48.82</v>
      </c>
      <c r="N850">
        <v>47.305</v>
      </c>
      <c r="O850">
        <v>49.445</v>
      </c>
      <c r="P850">
        <v>51.314999999999998</v>
      </c>
      <c r="Q850">
        <v>53.768000000000001</v>
      </c>
      <c r="R850">
        <v>58.667000000000002</v>
      </c>
      <c r="S850">
        <v>59.223999999999997</v>
      </c>
      <c r="T850">
        <v>57.506999999999998</v>
      </c>
      <c r="U850">
        <v>59.222999999999999</v>
      </c>
      <c r="V850">
        <v>60.201000000000001</v>
      </c>
      <c r="W850">
        <v>58.658999999999999</v>
      </c>
      <c r="X850">
        <v>78.245999999999995</v>
      </c>
      <c r="Y850">
        <v>77.620999999999995</v>
      </c>
      <c r="Z850">
        <v>90.448999999999998</v>
      </c>
      <c r="AA850">
        <v>101.246</v>
      </c>
      <c r="AB850">
        <v>99.096999999999994</v>
      </c>
      <c r="AC850">
        <v>101.048</v>
      </c>
      <c r="AD850">
        <v>100.05200000000001</v>
      </c>
      <c r="AE850">
        <v>107.44199999999999</v>
      </c>
      <c r="AF850">
        <v>114.58199999999999</v>
      </c>
      <c r="AG850">
        <v>103.374</v>
      </c>
      <c r="AH850">
        <v>106.176</v>
      </c>
      <c r="AI850">
        <v>114.31100000000001</v>
      </c>
      <c r="AJ850">
        <v>114.398</v>
      </c>
      <c r="AK850">
        <v>116.851</v>
      </c>
      <c r="AL850">
        <v>133.477</v>
      </c>
      <c r="AM850">
        <v>136.13399999999999</v>
      </c>
      <c r="AN850">
        <v>137.63900000000001</v>
      </c>
      <c r="AO850">
        <v>148.13300000000001</v>
      </c>
      <c r="AP850">
        <v>157.76</v>
      </c>
      <c r="AQ850">
        <v>160.91499999999999</v>
      </c>
      <c r="AR850">
        <v>161.71899999999999</v>
      </c>
      <c r="AS850">
        <v>165.7</v>
      </c>
      <c r="AT850">
        <v>169.67699999999999</v>
      </c>
      <c r="AU850">
        <v>173.749</v>
      </c>
      <c r="AV850">
        <v>177.745</v>
      </c>
      <c r="AW850">
        <v>181.833</v>
      </c>
      <c r="AX850">
        <v>185.834</v>
      </c>
      <c r="AY850">
        <v>2014</v>
      </c>
    </row>
    <row r="851" spans="1:51" x14ac:dyDescent="0.25">
      <c r="A851">
        <v>742</v>
      </c>
      <c r="B851" t="s">
        <v>817</v>
      </c>
      <c r="C851" t="s">
        <v>298</v>
      </c>
      <c r="D851" t="s">
        <v>216</v>
      </c>
      <c r="E851" t="s">
        <v>299</v>
      </c>
      <c r="F851" t="s">
        <v>300</v>
      </c>
      <c r="G851" t="s">
        <v>282</v>
      </c>
      <c r="H851" t="s">
        <v>283</v>
      </c>
      <c r="I851" t="s">
        <v>819</v>
      </c>
      <c r="J851" t="s">
        <v>285</v>
      </c>
      <c r="K851" t="s">
        <v>285</v>
      </c>
      <c r="L851" t="s">
        <v>285</v>
      </c>
      <c r="M851" t="s">
        <v>285</v>
      </c>
      <c r="N851" t="s">
        <v>285</v>
      </c>
      <c r="O851" t="s">
        <v>285</v>
      </c>
      <c r="P851" t="s">
        <v>285</v>
      </c>
      <c r="Q851" t="s">
        <v>285</v>
      </c>
      <c r="R851" t="s">
        <v>285</v>
      </c>
      <c r="S851">
        <v>124.053</v>
      </c>
      <c r="T851">
        <v>127.15600000000001</v>
      </c>
      <c r="U851">
        <v>112.78</v>
      </c>
      <c r="V851">
        <v>96.182000000000002</v>
      </c>
      <c r="W851">
        <v>91.65</v>
      </c>
      <c r="X851">
        <v>124.27500000000001</v>
      </c>
      <c r="Y851">
        <v>142.011</v>
      </c>
      <c r="Z851">
        <v>155.09700000000001</v>
      </c>
      <c r="AA851">
        <v>154.25399999999999</v>
      </c>
      <c r="AB851">
        <v>177.82</v>
      </c>
      <c r="AC851">
        <v>173.44300000000001</v>
      </c>
      <c r="AD851">
        <v>170.09700000000001</v>
      </c>
      <c r="AE851">
        <v>158.94999999999999</v>
      </c>
      <c r="AF851">
        <v>134.495</v>
      </c>
      <c r="AG851">
        <v>147.029</v>
      </c>
      <c r="AH851">
        <v>169.761</v>
      </c>
      <c r="AI851">
        <v>215.012</v>
      </c>
      <c r="AJ851">
        <v>244.119</v>
      </c>
      <c r="AK851">
        <v>246.44</v>
      </c>
      <c r="AL851">
        <v>253.04400000000001</v>
      </c>
      <c r="AM851">
        <v>317.31400000000002</v>
      </c>
      <c r="AN851">
        <v>354.358</v>
      </c>
      <c r="AO851">
        <v>422.00299999999999</v>
      </c>
      <c r="AP851">
        <v>527.83900000000006</v>
      </c>
      <c r="AQ851">
        <v>548.96</v>
      </c>
      <c r="AR851">
        <v>558.12599999999998</v>
      </c>
      <c r="AS851">
        <v>654.85500000000002</v>
      </c>
      <c r="AT851">
        <v>715.65700000000004</v>
      </c>
      <c r="AU851">
        <v>770.43</v>
      </c>
      <c r="AV851">
        <v>829.11599999999999</v>
      </c>
      <c r="AW851">
        <v>892.17200000000003</v>
      </c>
      <c r="AX851">
        <v>956.42100000000005</v>
      </c>
      <c r="AY851">
        <v>2014</v>
      </c>
    </row>
    <row r="852" spans="1:51" x14ac:dyDescent="0.25">
      <c r="A852">
        <v>866</v>
      </c>
      <c r="B852" t="s">
        <v>820</v>
      </c>
      <c r="C852" t="s">
        <v>279</v>
      </c>
      <c r="D852" t="s">
        <v>217</v>
      </c>
      <c r="E852" t="s">
        <v>280</v>
      </c>
      <c r="F852" t="s">
        <v>281</v>
      </c>
      <c r="G852" t="s">
        <v>282</v>
      </c>
      <c r="H852" t="s">
        <v>283</v>
      </c>
      <c r="I852" t="s">
        <v>821</v>
      </c>
      <c r="J852">
        <v>0.254</v>
      </c>
      <c r="K852">
        <v>0.28999999999999998</v>
      </c>
      <c r="L852">
        <v>0.32700000000000001</v>
      </c>
      <c r="M852">
        <v>0.34599999999999997</v>
      </c>
      <c r="N852">
        <v>0.498</v>
      </c>
      <c r="O852">
        <v>0.52600000000000002</v>
      </c>
      <c r="P852">
        <v>0.57299999999999995</v>
      </c>
      <c r="Q852">
        <v>0.58199999999999996</v>
      </c>
      <c r="R852">
        <v>0.56200000000000006</v>
      </c>
      <c r="S852">
        <v>0.56799999999999995</v>
      </c>
      <c r="T852">
        <v>0.59499999999999997</v>
      </c>
      <c r="U852">
        <v>0.63</v>
      </c>
      <c r="V852">
        <v>0.60599999999999998</v>
      </c>
      <c r="W852">
        <v>0.60499999999999998</v>
      </c>
      <c r="X852">
        <v>0.61699999999999999</v>
      </c>
      <c r="Y852">
        <v>0.64500000000000002</v>
      </c>
      <c r="Z852">
        <v>0.64500000000000002</v>
      </c>
      <c r="AA852">
        <v>0.625</v>
      </c>
      <c r="AB852">
        <v>0.64600000000000002</v>
      </c>
      <c r="AC852">
        <v>0.66200000000000003</v>
      </c>
      <c r="AD852">
        <v>0.66900000000000004</v>
      </c>
      <c r="AE852">
        <v>0.69</v>
      </c>
      <c r="AF852">
        <v>0.71</v>
      </c>
      <c r="AG852">
        <v>0.72</v>
      </c>
      <c r="AH852">
        <v>0.72899999999999998</v>
      </c>
      <c r="AI852">
        <v>0.73</v>
      </c>
      <c r="AJ852">
        <v>0.71</v>
      </c>
      <c r="AK852">
        <v>0.70199999999999996</v>
      </c>
      <c r="AL852">
        <v>0.71399999999999997</v>
      </c>
      <c r="AM852">
        <v>0.73299999999999998</v>
      </c>
      <c r="AN852">
        <v>0.755</v>
      </c>
      <c r="AO852">
        <v>0.76500000000000001</v>
      </c>
      <c r="AP852">
        <v>0.75700000000000001</v>
      </c>
      <c r="AQ852">
        <v>0.755</v>
      </c>
      <c r="AR852">
        <v>0.77200000000000002</v>
      </c>
      <c r="AS852">
        <v>0.79300000000000004</v>
      </c>
      <c r="AT852">
        <v>0.81200000000000006</v>
      </c>
      <c r="AU852">
        <v>0.82799999999999996</v>
      </c>
      <c r="AV852">
        <v>0.84799999999999998</v>
      </c>
      <c r="AW852">
        <v>0.871</v>
      </c>
      <c r="AX852">
        <v>0.877</v>
      </c>
      <c r="AY852">
        <v>2012</v>
      </c>
    </row>
    <row r="853" spans="1:51" x14ac:dyDescent="0.25">
      <c r="A853">
        <v>866</v>
      </c>
      <c r="B853" t="s">
        <v>820</v>
      </c>
      <c r="C853" t="s">
        <v>286</v>
      </c>
      <c r="D853" t="s">
        <v>217</v>
      </c>
      <c r="E853" t="s">
        <v>287</v>
      </c>
      <c r="F853" t="s">
        <v>288</v>
      </c>
      <c r="G853" t="s">
        <v>282</v>
      </c>
      <c r="H853" t="s">
        <v>283</v>
      </c>
      <c r="I853" t="s">
        <v>821</v>
      </c>
      <c r="J853">
        <v>6.5000000000000002E-2</v>
      </c>
      <c r="K853">
        <v>7.0999999999999994E-2</v>
      </c>
      <c r="L853">
        <v>0.08</v>
      </c>
      <c r="M853">
        <v>8.8999999999999996E-2</v>
      </c>
      <c r="N853">
        <v>9.6000000000000002E-2</v>
      </c>
      <c r="O853">
        <v>0.113</v>
      </c>
      <c r="P853">
        <v>0.13400000000000001</v>
      </c>
      <c r="Q853">
        <v>0.153</v>
      </c>
      <c r="R853">
        <v>0.16400000000000001</v>
      </c>
      <c r="S853">
        <v>0.17699999999999999</v>
      </c>
      <c r="T853">
        <v>0.193</v>
      </c>
      <c r="U853">
        <v>0.22600000000000001</v>
      </c>
      <c r="V853">
        <v>0.24299999999999999</v>
      </c>
      <c r="W853">
        <v>0.26100000000000001</v>
      </c>
      <c r="X853">
        <v>0.26800000000000002</v>
      </c>
      <c r="Y853">
        <v>0.27100000000000002</v>
      </c>
      <c r="Z853">
        <v>0.28799999999999998</v>
      </c>
      <c r="AA853">
        <v>0.27800000000000002</v>
      </c>
      <c r="AB853">
        <v>0.29499999999999998</v>
      </c>
      <c r="AC853">
        <v>0.32200000000000001</v>
      </c>
      <c r="AD853">
        <v>0.34300000000000003</v>
      </c>
      <c r="AE853">
        <v>0.376</v>
      </c>
      <c r="AF853">
        <v>0.42199999999999999</v>
      </c>
      <c r="AG853">
        <v>0.45500000000000002</v>
      </c>
      <c r="AH853">
        <v>0.48399999999999999</v>
      </c>
      <c r="AI853">
        <v>0.54300000000000004</v>
      </c>
      <c r="AJ853">
        <v>0.58699999999999997</v>
      </c>
      <c r="AK853">
        <v>0.626</v>
      </c>
      <c r="AL853">
        <v>0.65700000000000003</v>
      </c>
      <c r="AM853">
        <v>0.67900000000000005</v>
      </c>
      <c r="AN853">
        <v>0.73399999999999999</v>
      </c>
      <c r="AO853">
        <v>0.77500000000000002</v>
      </c>
      <c r="AP853">
        <v>0.77700000000000002</v>
      </c>
      <c r="AQ853">
        <v>0.78500000000000003</v>
      </c>
      <c r="AR853">
        <v>0.81399999999999995</v>
      </c>
      <c r="AS853">
        <v>0.84399999999999997</v>
      </c>
      <c r="AT853">
        <v>0.878</v>
      </c>
      <c r="AU853">
        <v>0.91400000000000003</v>
      </c>
      <c r="AV853">
        <v>0.96099999999999997</v>
      </c>
      <c r="AW853">
        <v>1.02</v>
      </c>
      <c r="AX853">
        <v>1.0609999999999999</v>
      </c>
      <c r="AY853">
        <v>2012</v>
      </c>
    </row>
    <row r="854" spans="1:51" x14ac:dyDescent="0.25">
      <c r="A854">
        <v>866</v>
      </c>
      <c r="B854" t="s">
        <v>820</v>
      </c>
      <c r="C854" t="s">
        <v>289</v>
      </c>
      <c r="D854" t="s">
        <v>217</v>
      </c>
      <c r="E854" t="s">
        <v>287</v>
      </c>
      <c r="F854" t="s">
        <v>290</v>
      </c>
      <c r="G854" t="s">
        <v>291</v>
      </c>
      <c r="H854" t="s">
        <v>283</v>
      </c>
      <c r="I854" t="s">
        <v>292</v>
      </c>
      <c r="J854">
        <v>7.3999999999999996E-2</v>
      </c>
      <c r="K854">
        <v>8.2000000000000003E-2</v>
      </c>
      <c r="L854">
        <v>8.1000000000000003E-2</v>
      </c>
      <c r="M854">
        <v>0.08</v>
      </c>
      <c r="N854">
        <v>8.4000000000000005E-2</v>
      </c>
      <c r="O854">
        <v>7.9000000000000001E-2</v>
      </c>
      <c r="P854">
        <v>9.4E-2</v>
      </c>
      <c r="Q854">
        <v>0.10199999999999999</v>
      </c>
      <c r="R854">
        <v>0.11899999999999999</v>
      </c>
      <c r="S854">
        <v>0.14399999999999999</v>
      </c>
      <c r="T854">
        <v>0.14799999999999999</v>
      </c>
      <c r="U854">
        <v>0.17699999999999999</v>
      </c>
      <c r="V854">
        <v>0.184</v>
      </c>
      <c r="W854">
        <v>0.19</v>
      </c>
      <c r="X854">
        <v>0.19600000000000001</v>
      </c>
      <c r="Y854">
        <v>0.21099999999999999</v>
      </c>
      <c r="Z854">
        <v>0.22900000000000001</v>
      </c>
      <c r="AA854">
        <v>0.22700000000000001</v>
      </c>
      <c r="AB854">
        <v>0.219</v>
      </c>
      <c r="AC854">
        <v>0.2</v>
      </c>
      <c r="AD854">
        <v>0.191</v>
      </c>
      <c r="AE854">
        <v>0.182</v>
      </c>
      <c r="AF854">
        <v>0.193</v>
      </c>
      <c r="AG854">
        <v>0.215</v>
      </c>
      <c r="AH854">
        <v>0.24299999999999999</v>
      </c>
      <c r="AI854">
        <v>0.27500000000000002</v>
      </c>
      <c r="AJ854">
        <v>0.29299999999999998</v>
      </c>
      <c r="AK854">
        <v>0.32100000000000001</v>
      </c>
      <c r="AL854">
        <v>0.33</v>
      </c>
      <c r="AM854">
        <v>0.33800000000000002</v>
      </c>
      <c r="AN854">
        <v>0.39</v>
      </c>
      <c r="AO854">
        <v>0.439</v>
      </c>
      <c r="AP854">
        <v>0.45300000000000001</v>
      </c>
      <c r="AQ854">
        <v>0.443</v>
      </c>
      <c r="AR854">
        <v>0.438</v>
      </c>
      <c r="AS854">
        <v>0.443</v>
      </c>
      <c r="AT854">
        <v>0.47299999999999998</v>
      </c>
      <c r="AU854">
        <v>0.50700000000000001</v>
      </c>
      <c r="AV854">
        <v>0.53100000000000003</v>
      </c>
      <c r="AW854">
        <v>0.55800000000000005</v>
      </c>
      <c r="AX854">
        <v>0.57399999999999995</v>
      </c>
      <c r="AY854">
        <v>2012</v>
      </c>
    </row>
    <row r="855" spans="1:51" x14ac:dyDescent="0.25">
      <c r="A855">
        <v>866</v>
      </c>
      <c r="B855" t="s">
        <v>820</v>
      </c>
      <c r="C855" t="s">
        <v>293</v>
      </c>
      <c r="D855" t="s">
        <v>217</v>
      </c>
      <c r="E855" t="s">
        <v>294</v>
      </c>
      <c r="F855" t="s">
        <v>295</v>
      </c>
      <c r="G855" t="s">
        <v>296</v>
      </c>
      <c r="I855" t="s">
        <v>297</v>
      </c>
      <c r="J855">
        <v>25.425000000000001</v>
      </c>
      <c r="K855">
        <v>24.533000000000001</v>
      </c>
      <c r="L855">
        <v>24.558</v>
      </c>
      <c r="M855">
        <v>25.638999999999999</v>
      </c>
      <c r="N855">
        <v>19.266999999999999</v>
      </c>
      <c r="O855">
        <v>21.434999999999999</v>
      </c>
      <c r="P855">
        <v>23.367000000000001</v>
      </c>
      <c r="Q855">
        <v>26.265000000000001</v>
      </c>
      <c r="R855">
        <v>29.132000000000001</v>
      </c>
      <c r="S855">
        <v>31.17</v>
      </c>
      <c r="T855">
        <v>32.395000000000003</v>
      </c>
      <c r="U855">
        <v>35.838000000000001</v>
      </c>
      <c r="V855">
        <v>40.024000000000001</v>
      </c>
      <c r="W855">
        <v>43.033000000000001</v>
      </c>
      <c r="X855">
        <v>43.433999999999997</v>
      </c>
      <c r="Y855">
        <v>41.976999999999997</v>
      </c>
      <c r="Z855">
        <v>44.606999999999999</v>
      </c>
      <c r="AA855">
        <v>44.545999999999999</v>
      </c>
      <c r="AB855">
        <v>45.695</v>
      </c>
      <c r="AC855">
        <v>48.68</v>
      </c>
      <c r="AD855">
        <v>51.351999999999997</v>
      </c>
      <c r="AE855">
        <v>54.514000000000003</v>
      </c>
      <c r="AF855">
        <v>59.375</v>
      </c>
      <c r="AG855">
        <v>63.222000000000001</v>
      </c>
      <c r="AH855">
        <v>66.472999999999999</v>
      </c>
      <c r="AI855">
        <v>74.369</v>
      </c>
      <c r="AJ855">
        <v>82.712000000000003</v>
      </c>
      <c r="AK855">
        <v>89.158000000000001</v>
      </c>
      <c r="AL855">
        <v>92.025999999999996</v>
      </c>
      <c r="AM855">
        <v>92.686000000000007</v>
      </c>
      <c r="AN855">
        <v>97.153000000000006</v>
      </c>
      <c r="AO855">
        <v>101.246</v>
      </c>
      <c r="AP855">
        <v>102.666</v>
      </c>
      <c r="AQ855">
        <v>104.032</v>
      </c>
      <c r="AR855">
        <v>105.494</v>
      </c>
      <c r="AS855">
        <v>106.49</v>
      </c>
      <c r="AT855">
        <v>108.176</v>
      </c>
      <c r="AU855">
        <v>110.372</v>
      </c>
      <c r="AV855">
        <v>113.321</v>
      </c>
      <c r="AW855">
        <v>117.152</v>
      </c>
      <c r="AX855">
        <v>120.999</v>
      </c>
      <c r="AY855">
        <v>2012</v>
      </c>
    </row>
    <row r="856" spans="1:51" x14ac:dyDescent="0.25">
      <c r="A856">
        <v>866</v>
      </c>
      <c r="B856" t="s">
        <v>820</v>
      </c>
      <c r="C856" t="s">
        <v>298</v>
      </c>
      <c r="D856" t="s">
        <v>217</v>
      </c>
      <c r="E856" t="s">
        <v>299</v>
      </c>
      <c r="F856" t="s">
        <v>300</v>
      </c>
      <c r="G856" t="s">
        <v>282</v>
      </c>
      <c r="H856" t="s">
        <v>283</v>
      </c>
      <c r="I856" t="s">
        <v>822</v>
      </c>
      <c r="J856" t="s">
        <v>285</v>
      </c>
      <c r="K856" t="s">
        <v>285</v>
      </c>
      <c r="L856" t="s">
        <v>285</v>
      </c>
      <c r="M856" t="s">
        <v>285</v>
      </c>
      <c r="N856" t="s">
        <v>285</v>
      </c>
      <c r="O856" t="s">
        <v>285</v>
      </c>
      <c r="P856" t="s">
        <v>285</v>
      </c>
      <c r="Q856" t="s">
        <v>285</v>
      </c>
      <c r="R856" t="s">
        <v>285</v>
      </c>
      <c r="S856" t="s">
        <v>285</v>
      </c>
      <c r="T856" t="s">
        <v>285</v>
      </c>
      <c r="U856" t="s">
        <v>285</v>
      </c>
      <c r="V856" t="s">
        <v>285</v>
      </c>
      <c r="W856" t="s">
        <v>285</v>
      </c>
      <c r="X856" t="s">
        <v>285</v>
      </c>
      <c r="Y856" t="s">
        <v>285</v>
      </c>
      <c r="Z856" t="s">
        <v>285</v>
      </c>
      <c r="AA856" t="s">
        <v>285</v>
      </c>
      <c r="AB856" t="s">
        <v>285</v>
      </c>
      <c r="AC856">
        <v>6.8000000000000005E-2</v>
      </c>
      <c r="AD856">
        <v>6.7000000000000004E-2</v>
      </c>
      <c r="AE856">
        <v>7.5999999999999998E-2</v>
      </c>
      <c r="AF856">
        <v>8.6999999999999994E-2</v>
      </c>
      <c r="AG856">
        <v>0.09</v>
      </c>
      <c r="AH856">
        <v>9.6000000000000002E-2</v>
      </c>
      <c r="AI856">
        <v>0.125</v>
      </c>
      <c r="AJ856">
        <v>0.14399999999999999</v>
      </c>
      <c r="AK856">
        <v>0.14899999999999999</v>
      </c>
      <c r="AL856">
        <v>0.159</v>
      </c>
      <c r="AM856">
        <v>0.18</v>
      </c>
      <c r="AN856">
        <v>0.22500000000000001</v>
      </c>
      <c r="AO856">
        <v>0.24</v>
      </c>
      <c r="AP856">
        <v>0.219</v>
      </c>
      <c r="AQ856">
        <v>0.216</v>
      </c>
      <c r="AR856">
        <v>0.24199999999999999</v>
      </c>
      <c r="AS856">
        <v>0.248</v>
      </c>
      <c r="AT856">
        <v>0.23599999999999999</v>
      </c>
      <c r="AU856">
        <v>0.245</v>
      </c>
      <c r="AV856">
        <v>0.26600000000000001</v>
      </c>
      <c r="AW856">
        <v>0.28199999999999997</v>
      </c>
      <c r="AX856">
        <v>0.29099999999999998</v>
      </c>
      <c r="AY856">
        <v>2012</v>
      </c>
    </row>
    <row r="857" spans="1:51" x14ac:dyDescent="0.25">
      <c r="A857">
        <v>369</v>
      </c>
      <c r="B857" t="s">
        <v>823</v>
      </c>
      <c r="C857" t="s">
        <v>279</v>
      </c>
      <c r="D857" t="s">
        <v>218</v>
      </c>
      <c r="E857" t="s">
        <v>280</v>
      </c>
      <c r="F857" t="s">
        <v>281</v>
      </c>
      <c r="G857" t="s">
        <v>282</v>
      </c>
      <c r="H857" t="s">
        <v>283</v>
      </c>
      <c r="I857" t="s">
        <v>824</v>
      </c>
      <c r="J857">
        <v>42.293999999999997</v>
      </c>
      <c r="K857">
        <v>44.076999999999998</v>
      </c>
      <c r="L857">
        <v>45.756</v>
      </c>
      <c r="M857">
        <v>41.036999999999999</v>
      </c>
      <c r="N857">
        <v>38.677</v>
      </c>
      <c r="O857">
        <v>37.082999999999998</v>
      </c>
      <c r="P857">
        <v>35.866</v>
      </c>
      <c r="Q857">
        <v>34.229999999999997</v>
      </c>
      <c r="R857">
        <v>32.889000000000003</v>
      </c>
      <c r="S857">
        <v>32.616999999999997</v>
      </c>
      <c r="T857">
        <v>33.109000000000002</v>
      </c>
      <c r="U857">
        <v>33.997</v>
      </c>
      <c r="V857">
        <v>33.436999999999998</v>
      </c>
      <c r="W857">
        <v>32.951000000000001</v>
      </c>
      <c r="X857">
        <v>34.125999999999998</v>
      </c>
      <c r="Y857">
        <v>35.475999999999999</v>
      </c>
      <c r="Z857">
        <v>37.973999999999997</v>
      </c>
      <c r="AA857">
        <v>40.893000000000001</v>
      </c>
      <c r="AB857">
        <v>44.212000000000003</v>
      </c>
      <c r="AC857">
        <v>47.76</v>
      </c>
      <c r="AD857">
        <v>51.371000000000002</v>
      </c>
      <c r="AE857">
        <v>53.512</v>
      </c>
      <c r="AF857">
        <v>57.759</v>
      </c>
      <c r="AG857">
        <v>66.099999999999994</v>
      </c>
      <c r="AH857">
        <v>71.355000000000004</v>
      </c>
      <c r="AI857">
        <v>75.786000000000001</v>
      </c>
      <c r="AJ857">
        <v>85.795000000000002</v>
      </c>
      <c r="AK857">
        <v>89.873999999999995</v>
      </c>
      <c r="AL857">
        <v>92.921000000000006</v>
      </c>
      <c r="AM857">
        <v>88.841999999999999</v>
      </c>
      <c r="AN857">
        <v>88.759</v>
      </c>
      <c r="AO857">
        <v>88.765000000000001</v>
      </c>
      <c r="AP857">
        <v>89.977999999999994</v>
      </c>
      <c r="AQ857">
        <v>91.543000000000006</v>
      </c>
      <c r="AR857">
        <v>92.290999999999997</v>
      </c>
      <c r="AS857">
        <v>93.218999999999994</v>
      </c>
      <c r="AT857">
        <v>94.504999999999995</v>
      </c>
      <c r="AU857">
        <v>95.924000000000007</v>
      </c>
      <c r="AV857">
        <v>97.441999999999993</v>
      </c>
      <c r="AW857">
        <v>99.057000000000002</v>
      </c>
      <c r="AX857">
        <v>100.789</v>
      </c>
      <c r="AY857">
        <v>2012</v>
      </c>
    </row>
    <row r="858" spans="1:51" x14ac:dyDescent="0.25">
      <c r="A858">
        <v>369</v>
      </c>
      <c r="B858" t="s">
        <v>823</v>
      </c>
      <c r="C858" t="s">
        <v>286</v>
      </c>
      <c r="D858" t="s">
        <v>218</v>
      </c>
      <c r="E858" t="s">
        <v>287</v>
      </c>
      <c r="F858" t="s">
        <v>288</v>
      </c>
      <c r="G858" t="s">
        <v>282</v>
      </c>
      <c r="H858" t="s">
        <v>283</v>
      </c>
      <c r="I858" t="s">
        <v>824</v>
      </c>
      <c r="J858">
        <v>14.965999999999999</v>
      </c>
      <c r="K858">
        <v>16.780999999999999</v>
      </c>
      <c r="L858">
        <v>19.536999999999999</v>
      </c>
      <c r="M858">
        <v>18.632999999999999</v>
      </c>
      <c r="N858">
        <v>18.617000000000001</v>
      </c>
      <c r="O858">
        <v>18.071000000000002</v>
      </c>
      <c r="P858">
        <v>17.260000000000002</v>
      </c>
      <c r="Q858">
        <v>17.271999999999998</v>
      </c>
      <c r="R858">
        <v>17.285</v>
      </c>
      <c r="S858">
        <v>18.373000000000001</v>
      </c>
      <c r="T858">
        <v>21.539000000000001</v>
      </c>
      <c r="U858">
        <v>22.114000000000001</v>
      </c>
      <c r="V858">
        <v>22.603000000000002</v>
      </c>
      <c r="W858">
        <v>24.515000000000001</v>
      </c>
      <c r="X858">
        <v>29.312000000000001</v>
      </c>
      <c r="Y858">
        <v>31.696999999999999</v>
      </c>
      <c r="Z858">
        <v>34.587000000000003</v>
      </c>
      <c r="AA858">
        <v>35.871000000000002</v>
      </c>
      <c r="AB858">
        <v>38.064999999999998</v>
      </c>
      <c r="AC858">
        <v>42.889000000000003</v>
      </c>
      <c r="AD858">
        <v>51.371000000000002</v>
      </c>
      <c r="AE858">
        <v>55.006999999999998</v>
      </c>
      <c r="AF858">
        <v>56.29</v>
      </c>
      <c r="AG858">
        <v>71.168999999999997</v>
      </c>
      <c r="AH858">
        <v>83.652000000000001</v>
      </c>
      <c r="AI858">
        <v>100.682</v>
      </c>
      <c r="AJ858">
        <v>115.95099999999999</v>
      </c>
      <c r="AK858">
        <v>136.953</v>
      </c>
      <c r="AL858">
        <v>175.28700000000001</v>
      </c>
      <c r="AM858">
        <v>121.28100000000001</v>
      </c>
      <c r="AN858">
        <v>134.125</v>
      </c>
      <c r="AO858">
        <v>156.44999999999999</v>
      </c>
      <c r="AP858">
        <v>158.04499999999999</v>
      </c>
      <c r="AQ858">
        <v>175.60900000000001</v>
      </c>
      <c r="AR858">
        <v>185.05699999999999</v>
      </c>
      <c r="AS858">
        <v>177.328</v>
      </c>
      <c r="AT858">
        <v>181.51300000000001</v>
      </c>
      <c r="AU858">
        <v>192.416</v>
      </c>
      <c r="AV858">
        <v>204.48599999999999</v>
      </c>
      <c r="AW858">
        <v>217.24</v>
      </c>
      <c r="AX858">
        <v>231.45099999999999</v>
      </c>
      <c r="AY858">
        <v>2012</v>
      </c>
    </row>
    <row r="859" spans="1:51" x14ac:dyDescent="0.25">
      <c r="A859">
        <v>369</v>
      </c>
      <c r="B859" t="s">
        <v>823</v>
      </c>
      <c r="C859" t="s">
        <v>289</v>
      </c>
      <c r="D859" t="s">
        <v>218</v>
      </c>
      <c r="E859" t="s">
        <v>287</v>
      </c>
      <c r="F859" t="s">
        <v>290</v>
      </c>
      <c r="G859" t="s">
        <v>291</v>
      </c>
      <c r="H859" t="s">
        <v>283</v>
      </c>
      <c r="I859" t="s">
        <v>292</v>
      </c>
      <c r="J859">
        <v>6.2359999999999998</v>
      </c>
      <c r="K859">
        <v>6.992</v>
      </c>
      <c r="L859">
        <v>8.14</v>
      </c>
      <c r="M859">
        <v>7.7640000000000002</v>
      </c>
      <c r="N859">
        <v>7.7569999999999997</v>
      </c>
      <c r="O859">
        <v>7.3760000000000003</v>
      </c>
      <c r="P859">
        <v>4.7939999999999996</v>
      </c>
      <c r="Q859">
        <v>4.798</v>
      </c>
      <c r="R859">
        <v>4.4969999999999999</v>
      </c>
      <c r="S859">
        <v>4.3230000000000004</v>
      </c>
      <c r="T859">
        <v>5.0679999999999996</v>
      </c>
      <c r="U859">
        <v>5.2030000000000003</v>
      </c>
      <c r="V859">
        <v>5.3179999999999996</v>
      </c>
      <c r="W859">
        <v>4.5810000000000004</v>
      </c>
      <c r="X859">
        <v>4.9470000000000001</v>
      </c>
      <c r="Y859">
        <v>5.3289999999999997</v>
      </c>
      <c r="Z859">
        <v>5.76</v>
      </c>
      <c r="AA859">
        <v>5.7380000000000004</v>
      </c>
      <c r="AB859">
        <v>6.0439999999999996</v>
      </c>
      <c r="AC859">
        <v>6.8079999999999998</v>
      </c>
      <c r="AD859">
        <v>8.1539999999999999</v>
      </c>
      <c r="AE859">
        <v>8.8249999999999993</v>
      </c>
      <c r="AF859">
        <v>9.0079999999999991</v>
      </c>
      <c r="AG859">
        <v>11.305</v>
      </c>
      <c r="AH859">
        <v>13.28</v>
      </c>
      <c r="AI859">
        <v>15.981999999999999</v>
      </c>
      <c r="AJ859">
        <v>18.369</v>
      </c>
      <c r="AK859">
        <v>21.641999999999999</v>
      </c>
      <c r="AL859">
        <v>27.87</v>
      </c>
      <c r="AM859">
        <v>19.175000000000001</v>
      </c>
      <c r="AN859">
        <v>21.038</v>
      </c>
      <c r="AO859">
        <v>24.41</v>
      </c>
      <c r="AP859">
        <v>24.581</v>
      </c>
      <c r="AQ859">
        <v>27.257000000000001</v>
      </c>
      <c r="AR859">
        <v>28.873999999999999</v>
      </c>
      <c r="AS859">
        <v>27.667999999999999</v>
      </c>
      <c r="AT859">
        <v>28.321000000000002</v>
      </c>
      <c r="AU859">
        <v>30.021999999999998</v>
      </c>
      <c r="AV859">
        <v>31.905999999999999</v>
      </c>
      <c r="AW859">
        <v>33.896000000000001</v>
      </c>
      <c r="AX859">
        <v>36.113</v>
      </c>
      <c r="AY859">
        <v>2012</v>
      </c>
    </row>
    <row r="860" spans="1:51" x14ac:dyDescent="0.25">
      <c r="A860">
        <v>369</v>
      </c>
      <c r="B860" t="s">
        <v>823</v>
      </c>
      <c r="C860" t="s">
        <v>293</v>
      </c>
      <c r="D860" t="s">
        <v>218</v>
      </c>
      <c r="E860" t="s">
        <v>294</v>
      </c>
      <c r="F860" t="s">
        <v>295</v>
      </c>
      <c r="G860" t="s">
        <v>296</v>
      </c>
      <c r="I860" t="s">
        <v>297</v>
      </c>
      <c r="J860">
        <v>35.386000000000003</v>
      </c>
      <c r="K860">
        <v>38.073</v>
      </c>
      <c r="L860">
        <v>42.698</v>
      </c>
      <c r="M860">
        <v>45.405999999999999</v>
      </c>
      <c r="N860">
        <v>48.134999999999998</v>
      </c>
      <c r="O860">
        <v>48.731999999999999</v>
      </c>
      <c r="P860">
        <v>48.122</v>
      </c>
      <c r="Q860">
        <v>50.457999999999998</v>
      </c>
      <c r="R860">
        <v>52.555</v>
      </c>
      <c r="S860">
        <v>56.329000000000001</v>
      </c>
      <c r="T860">
        <v>65.055999999999997</v>
      </c>
      <c r="U860">
        <v>65.046000000000006</v>
      </c>
      <c r="V860">
        <v>67.597999999999999</v>
      </c>
      <c r="W860">
        <v>74.400000000000006</v>
      </c>
      <c r="X860">
        <v>85.891999999999996</v>
      </c>
      <c r="Y860">
        <v>89.347999999999999</v>
      </c>
      <c r="Z860">
        <v>91.08</v>
      </c>
      <c r="AA860">
        <v>87.716999999999999</v>
      </c>
      <c r="AB860">
        <v>86.096000000000004</v>
      </c>
      <c r="AC860">
        <v>89.801000000000002</v>
      </c>
      <c r="AD860">
        <v>100</v>
      </c>
      <c r="AE860">
        <v>102.794</v>
      </c>
      <c r="AF860">
        <v>97.456000000000003</v>
      </c>
      <c r="AG860">
        <v>107.66800000000001</v>
      </c>
      <c r="AH860">
        <v>117.23399999999999</v>
      </c>
      <c r="AI860">
        <v>132.851</v>
      </c>
      <c r="AJ860">
        <v>135.148</v>
      </c>
      <c r="AK860">
        <v>152.38200000000001</v>
      </c>
      <c r="AL860">
        <v>188.64</v>
      </c>
      <c r="AM860">
        <v>136.51400000000001</v>
      </c>
      <c r="AN860">
        <v>151.11199999999999</v>
      </c>
      <c r="AO860">
        <v>176.251</v>
      </c>
      <c r="AP860">
        <v>175.649</v>
      </c>
      <c r="AQ860">
        <v>191.83099999999999</v>
      </c>
      <c r="AR860">
        <v>200.51499999999999</v>
      </c>
      <c r="AS860">
        <v>190.227</v>
      </c>
      <c r="AT860">
        <v>192.06800000000001</v>
      </c>
      <c r="AU860">
        <v>200.59100000000001</v>
      </c>
      <c r="AV860">
        <v>209.85499999999999</v>
      </c>
      <c r="AW860">
        <v>219.30799999999999</v>
      </c>
      <c r="AX860">
        <v>229.63800000000001</v>
      </c>
      <c r="AY860">
        <v>2012</v>
      </c>
    </row>
    <row r="861" spans="1:51" x14ac:dyDescent="0.25">
      <c r="A861">
        <v>369</v>
      </c>
      <c r="B861" t="s">
        <v>823</v>
      </c>
      <c r="C861" t="s">
        <v>298</v>
      </c>
      <c r="D861" t="s">
        <v>218</v>
      </c>
      <c r="E861" t="s">
        <v>299</v>
      </c>
      <c r="F861" t="s">
        <v>300</v>
      </c>
      <c r="G861" t="s">
        <v>282</v>
      </c>
      <c r="H861" t="s">
        <v>283</v>
      </c>
      <c r="I861" t="s">
        <v>825</v>
      </c>
      <c r="J861" t="s">
        <v>285</v>
      </c>
      <c r="K861" t="s">
        <v>285</v>
      </c>
      <c r="L861" t="s">
        <v>285</v>
      </c>
      <c r="M861" t="s">
        <v>285</v>
      </c>
      <c r="N861" t="s">
        <v>285</v>
      </c>
      <c r="O861" t="s">
        <v>285</v>
      </c>
      <c r="P861" t="s">
        <v>285</v>
      </c>
      <c r="Q861" t="s">
        <v>285</v>
      </c>
      <c r="R861">
        <v>5.9269999999999996</v>
      </c>
      <c r="S861">
        <v>5.5679999999999996</v>
      </c>
      <c r="T861">
        <v>5.98</v>
      </c>
      <c r="U861">
        <v>7.3029999999999999</v>
      </c>
      <c r="V861">
        <v>7.1219999999999999</v>
      </c>
      <c r="W861">
        <v>7.1559999999999997</v>
      </c>
      <c r="X861">
        <v>8.327</v>
      </c>
      <c r="Y861">
        <v>8.4290000000000003</v>
      </c>
      <c r="Z861">
        <v>9.8130000000000006</v>
      </c>
      <c r="AA861">
        <v>10.548999999999999</v>
      </c>
      <c r="AB861">
        <v>11.547000000000001</v>
      </c>
      <c r="AC861">
        <v>12.173999999999999</v>
      </c>
      <c r="AD861">
        <v>13.576000000000001</v>
      </c>
      <c r="AE861">
        <v>16.175999999999998</v>
      </c>
      <c r="AF861">
        <v>14.885</v>
      </c>
      <c r="AG861">
        <v>16.739000000000001</v>
      </c>
      <c r="AH861">
        <v>20.946999999999999</v>
      </c>
      <c r="AI861">
        <v>26.56</v>
      </c>
      <c r="AJ861">
        <v>36.033000000000001</v>
      </c>
      <c r="AK861">
        <v>38.963000000000001</v>
      </c>
      <c r="AL861">
        <v>51.082999999999998</v>
      </c>
      <c r="AM861">
        <v>53.737000000000002</v>
      </c>
      <c r="AN861">
        <v>49.491</v>
      </c>
      <c r="AO861">
        <v>51.625</v>
      </c>
      <c r="AP861">
        <v>53.255000000000003</v>
      </c>
      <c r="AQ861">
        <v>60.713999999999999</v>
      </c>
      <c r="AR861">
        <v>64.266000000000005</v>
      </c>
      <c r="AS861">
        <v>64.173000000000002</v>
      </c>
      <c r="AT861">
        <v>65.460999999999999</v>
      </c>
      <c r="AU861">
        <v>68.632000000000005</v>
      </c>
      <c r="AV861">
        <v>73.061000000000007</v>
      </c>
      <c r="AW861">
        <v>77.736000000000004</v>
      </c>
      <c r="AX861">
        <v>82.724000000000004</v>
      </c>
      <c r="AY861">
        <v>2013</v>
      </c>
    </row>
    <row r="862" spans="1:51" x14ac:dyDescent="0.25">
      <c r="A862">
        <v>744</v>
      </c>
      <c r="B862" t="s">
        <v>826</v>
      </c>
      <c r="C862" t="s">
        <v>279</v>
      </c>
      <c r="D862" t="s">
        <v>219</v>
      </c>
      <c r="E862" t="s">
        <v>280</v>
      </c>
      <c r="F862" t="s">
        <v>281</v>
      </c>
      <c r="G862" t="s">
        <v>282</v>
      </c>
      <c r="H862" t="s">
        <v>283</v>
      </c>
      <c r="I862" t="s">
        <v>827</v>
      </c>
      <c r="J862">
        <v>14.28</v>
      </c>
      <c r="K862">
        <v>15.068</v>
      </c>
      <c r="L862">
        <v>14.996</v>
      </c>
      <c r="M862">
        <v>15.696999999999999</v>
      </c>
      <c r="N862">
        <v>16.596</v>
      </c>
      <c r="O862">
        <v>17.536999999999999</v>
      </c>
      <c r="P862">
        <v>17.282</v>
      </c>
      <c r="Q862">
        <v>18.440000000000001</v>
      </c>
      <c r="R862">
        <v>18.452999999999999</v>
      </c>
      <c r="S862">
        <v>18.928999999999998</v>
      </c>
      <c r="T862">
        <v>20.268000000000001</v>
      </c>
      <c r="U862">
        <v>21.106999999999999</v>
      </c>
      <c r="V862">
        <v>22.797999999999998</v>
      </c>
      <c r="W862">
        <v>23.361999999999998</v>
      </c>
      <c r="X862">
        <v>24.21</v>
      </c>
      <c r="Y862">
        <v>24.856999999999999</v>
      </c>
      <c r="Z862">
        <v>26.56</v>
      </c>
      <c r="AA862">
        <v>28.081</v>
      </c>
      <c r="AB862">
        <v>29.475000000000001</v>
      </c>
      <c r="AC862">
        <v>31.248000000000001</v>
      </c>
      <c r="AD862">
        <v>32.591999999999999</v>
      </c>
      <c r="AE862">
        <v>34.171999999999997</v>
      </c>
      <c r="AF862">
        <v>34.753</v>
      </c>
      <c r="AG862">
        <v>36.654000000000003</v>
      </c>
      <c r="AH862">
        <v>38.838999999999999</v>
      </c>
      <c r="AI862">
        <v>40.392000000000003</v>
      </c>
      <c r="AJ862">
        <v>42.676000000000002</v>
      </c>
      <c r="AK862">
        <v>45.344999999999999</v>
      </c>
      <c r="AL862">
        <v>47.366999999999997</v>
      </c>
      <c r="AM862">
        <v>48.841999999999999</v>
      </c>
      <c r="AN862">
        <v>50.122</v>
      </c>
      <c r="AO862">
        <v>49.16</v>
      </c>
      <c r="AP862">
        <v>51.000999999999998</v>
      </c>
      <c r="AQ862">
        <v>52.152000000000001</v>
      </c>
      <c r="AR862">
        <v>53.351999999999997</v>
      </c>
      <c r="AS862">
        <v>53.884999999999998</v>
      </c>
      <c r="AT862">
        <v>55.502000000000002</v>
      </c>
      <c r="AU862">
        <v>57.722000000000001</v>
      </c>
      <c r="AV862">
        <v>60.377000000000002</v>
      </c>
      <c r="AW862">
        <v>63.396000000000001</v>
      </c>
      <c r="AX862">
        <v>66.373999999999995</v>
      </c>
      <c r="AY862">
        <v>2014</v>
      </c>
    </row>
    <row r="863" spans="1:51" x14ac:dyDescent="0.25">
      <c r="A863">
        <v>744</v>
      </c>
      <c r="B863" t="s">
        <v>826</v>
      </c>
      <c r="C863" t="s">
        <v>286</v>
      </c>
      <c r="D863" t="s">
        <v>219</v>
      </c>
      <c r="E863" t="s">
        <v>287</v>
      </c>
      <c r="F863" t="s">
        <v>288</v>
      </c>
      <c r="G863" t="s">
        <v>282</v>
      </c>
      <c r="H863" t="s">
        <v>283</v>
      </c>
      <c r="I863" t="s">
        <v>827</v>
      </c>
      <c r="J863">
        <v>3.8740000000000001</v>
      </c>
      <c r="K863">
        <v>4.5540000000000003</v>
      </c>
      <c r="L863">
        <v>5.2569999999999997</v>
      </c>
      <c r="M863">
        <v>6.2460000000000004</v>
      </c>
      <c r="N863">
        <v>7.0339999999999998</v>
      </c>
      <c r="O863">
        <v>7.7149999999999999</v>
      </c>
      <c r="P863">
        <v>7.8689999999999998</v>
      </c>
      <c r="Q863">
        <v>8.8360000000000003</v>
      </c>
      <c r="R863">
        <v>9.4990000000000006</v>
      </c>
      <c r="S863">
        <v>10.507999999999999</v>
      </c>
      <c r="T863">
        <v>11.835000000000001</v>
      </c>
      <c r="U863">
        <v>13.132</v>
      </c>
      <c r="V863">
        <v>15.016</v>
      </c>
      <c r="W863">
        <v>16.004000000000001</v>
      </c>
      <c r="X863">
        <v>17.248999999999999</v>
      </c>
      <c r="Y863">
        <v>18.588000000000001</v>
      </c>
      <c r="Z863">
        <v>20.716999999999999</v>
      </c>
      <c r="AA863">
        <v>22.943999999999999</v>
      </c>
      <c r="AB863">
        <v>24.827999999999999</v>
      </c>
      <c r="AC863">
        <v>27.216000000000001</v>
      </c>
      <c r="AD863">
        <v>29.433</v>
      </c>
      <c r="AE863">
        <v>31.747</v>
      </c>
      <c r="AF863">
        <v>32.901000000000003</v>
      </c>
      <c r="AG863">
        <v>35.372999999999998</v>
      </c>
      <c r="AH863">
        <v>38.838999999999999</v>
      </c>
      <c r="AI863">
        <v>41.871000000000002</v>
      </c>
      <c r="AJ863">
        <v>45.756</v>
      </c>
      <c r="AK863">
        <v>49.856999999999999</v>
      </c>
      <c r="AL863">
        <v>55.268000000000001</v>
      </c>
      <c r="AM863">
        <v>58.89</v>
      </c>
      <c r="AN863">
        <v>63.058999999999997</v>
      </c>
      <c r="AO863">
        <v>64.69</v>
      </c>
      <c r="AP863">
        <v>70.658000000000001</v>
      </c>
      <c r="AQ863">
        <v>76.349999999999994</v>
      </c>
      <c r="AR863">
        <v>82.561999999999998</v>
      </c>
      <c r="AS863">
        <v>87.399000000000001</v>
      </c>
      <c r="AT863">
        <v>93.262</v>
      </c>
      <c r="AU863">
        <v>100.872</v>
      </c>
      <c r="AV863">
        <v>109.52200000000001</v>
      </c>
      <c r="AW863">
        <v>119.598</v>
      </c>
      <c r="AX863">
        <v>130.226</v>
      </c>
      <c r="AY863">
        <v>2014</v>
      </c>
    </row>
    <row r="864" spans="1:51" x14ac:dyDescent="0.25">
      <c r="A864">
        <v>744</v>
      </c>
      <c r="B864" t="s">
        <v>826</v>
      </c>
      <c r="C864" t="s">
        <v>289</v>
      </c>
      <c r="D864" t="s">
        <v>219</v>
      </c>
      <c r="E864" t="s">
        <v>287</v>
      </c>
      <c r="F864" t="s">
        <v>290</v>
      </c>
      <c r="G864" t="s">
        <v>291</v>
      </c>
      <c r="H864" t="s">
        <v>283</v>
      </c>
      <c r="I864" t="s">
        <v>292</v>
      </c>
      <c r="J864">
        <v>9.5660000000000007</v>
      </c>
      <c r="K864">
        <v>9.2230000000000008</v>
      </c>
      <c r="L864">
        <v>8.9</v>
      </c>
      <c r="M864">
        <v>9.202</v>
      </c>
      <c r="N864">
        <v>9.0549999999999997</v>
      </c>
      <c r="O864">
        <v>9.2460000000000004</v>
      </c>
      <c r="P864">
        <v>9.9109999999999996</v>
      </c>
      <c r="Q864">
        <v>10.663</v>
      </c>
      <c r="R864">
        <v>11.073</v>
      </c>
      <c r="S864">
        <v>11.069000000000001</v>
      </c>
      <c r="T864">
        <v>13.474</v>
      </c>
      <c r="U864">
        <v>14.202</v>
      </c>
      <c r="V864">
        <v>16.978999999999999</v>
      </c>
      <c r="W864">
        <v>15.944000000000001</v>
      </c>
      <c r="X864">
        <v>17.052</v>
      </c>
      <c r="Y864">
        <v>19.654</v>
      </c>
      <c r="Z864">
        <v>21.283000000000001</v>
      </c>
      <c r="AA864">
        <v>20.747</v>
      </c>
      <c r="AB864">
        <v>21.803000000000001</v>
      </c>
      <c r="AC864">
        <v>22.943000000000001</v>
      </c>
      <c r="AD864">
        <v>21.472999999999999</v>
      </c>
      <c r="AE864">
        <v>22.065999999999999</v>
      </c>
      <c r="AF864">
        <v>23.141999999999999</v>
      </c>
      <c r="AG864">
        <v>27.454000000000001</v>
      </c>
      <c r="AH864">
        <v>31.184000000000001</v>
      </c>
      <c r="AI864">
        <v>32.271999999999998</v>
      </c>
      <c r="AJ864">
        <v>34.377000000000002</v>
      </c>
      <c r="AK864">
        <v>38.909999999999997</v>
      </c>
      <c r="AL864">
        <v>44.854999999999997</v>
      </c>
      <c r="AM864">
        <v>43.613999999999997</v>
      </c>
      <c r="AN864">
        <v>44.054000000000002</v>
      </c>
      <c r="AO864">
        <v>45.951000000000001</v>
      </c>
      <c r="AP864">
        <v>45.238999999999997</v>
      </c>
      <c r="AQ864">
        <v>46.994999999999997</v>
      </c>
      <c r="AR864">
        <v>48.633000000000003</v>
      </c>
      <c r="AS864">
        <v>44.271999999999998</v>
      </c>
      <c r="AT864">
        <v>44.584000000000003</v>
      </c>
      <c r="AU864">
        <v>45.628999999999998</v>
      </c>
      <c r="AV864">
        <v>46.962000000000003</v>
      </c>
      <c r="AW864">
        <v>50.170999999999999</v>
      </c>
      <c r="AX864">
        <v>53.536999999999999</v>
      </c>
      <c r="AY864">
        <v>2014</v>
      </c>
    </row>
    <row r="865" spans="1:51" x14ac:dyDescent="0.25">
      <c r="A865">
        <v>744</v>
      </c>
      <c r="B865" t="s">
        <v>826</v>
      </c>
      <c r="C865" t="s">
        <v>293</v>
      </c>
      <c r="D865" t="s">
        <v>219</v>
      </c>
      <c r="E865" t="s">
        <v>294</v>
      </c>
      <c r="F865" t="s">
        <v>295</v>
      </c>
      <c r="G865" t="s">
        <v>296</v>
      </c>
      <c r="I865" t="s">
        <v>297</v>
      </c>
      <c r="J865">
        <v>27.132000000000001</v>
      </c>
      <c r="K865">
        <v>30.225000000000001</v>
      </c>
      <c r="L865">
        <v>35.06</v>
      </c>
      <c r="M865">
        <v>39.793999999999997</v>
      </c>
      <c r="N865">
        <v>42.381</v>
      </c>
      <c r="O865">
        <v>43.996000000000002</v>
      </c>
      <c r="P865">
        <v>45.533000000000001</v>
      </c>
      <c r="Q865">
        <v>47.917999999999999</v>
      </c>
      <c r="R865">
        <v>51.473999999999997</v>
      </c>
      <c r="S865">
        <v>55.512999999999998</v>
      </c>
      <c r="T865">
        <v>58.390999999999998</v>
      </c>
      <c r="U865">
        <v>62.215000000000003</v>
      </c>
      <c r="V865">
        <v>65.869</v>
      </c>
      <c r="W865">
        <v>68.501999999999995</v>
      </c>
      <c r="X865">
        <v>71.248000000000005</v>
      </c>
      <c r="Y865">
        <v>74.78</v>
      </c>
      <c r="Z865">
        <v>78</v>
      </c>
      <c r="AA865">
        <v>81.706000000000003</v>
      </c>
      <c r="AB865">
        <v>84.233999999999995</v>
      </c>
      <c r="AC865">
        <v>87.096000000000004</v>
      </c>
      <c r="AD865">
        <v>90.308999999999997</v>
      </c>
      <c r="AE865">
        <v>92.900999999999996</v>
      </c>
      <c r="AF865">
        <v>94.671000000000006</v>
      </c>
      <c r="AG865">
        <v>96.504999999999995</v>
      </c>
      <c r="AH865">
        <v>100</v>
      </c>
      <c r="AI865">
        <v>103.661</v>
      </c>
      <c r="AJ865">
        <v>107.218</v>
      </c>
      <c r="AK865">
        <v>109.952</v>
      </c>
      <c r="AL865">
        <v>116.68</v>
      </c>
      <c r="AM865">
        <v>120.57299999999999</v>
      </c>
      <c r="AN865">
        <v>125.81100000000001</v>
      </c>
      <c r="AO865">
        <v>131.589</v>
      </c>
      <c r="AP865">
        <v>138.542</v>
      </c>
      <c r="AQ865">
        <v>146.4</v>
      </c>
      <c r="AR865">
        <v>154.75200000000001</v>
      </c>
      <c r="AS865">
        <v>162.196</v>
      </c>
      <c r="AT865">
        <v>168.035</v>
      </c>
      <c r="AU865">
        <v>174.756</v>
      </c>
      <c r="AV865">
        <v>181.39699999999999</v>
      </c>
      <c r="AW865">
        <v>188.65299999999999</v>
      </c>
      <c r="AX865">
        <v>196.19900000000001</v>
      </c>
      <c r="AY865">
        <v>2014</v>
      </c>
    </row>
    <row r="866" spans="1:51" x14ac:dyDescent="0.25">
      <c r="A866">
        <v>744</v>
      </c>
      <c r="B866" t="s">
        <v>826</v>
      </c>
      <c r="C866" t="s">
        <v>298</v>
      </c>
      <c r="D866" t="s">
        <v>219</v>
      </c>
      <c r="E866" t="s">
        <v>299</v>
      </c>
      <c r="F866" t="s">
        <v>300</v>
      </c>
      <c r="G866" t="s">
        <v>282</v>
      </c>
      <c r="H866" t="s">
        <v>283</v>
      </c>
      <c r="I866" t="s">
        <v>828</v>
      </c>
      <c r="J866" t="s">
        <v>285</v>
      </c>
      <c r="K866" t="s">
        <v>285</v>
      </c>
      <c r="L866" t="s">
        <v>285</v>
      </c>
      <c r="M866" t="s">
        <v>285</v>
      </c>
      <c r="N866" t="s">
        <v>285</v>
      </c>
      <c r="O866" t="s">
        <v>285</v>
      </c>
      <c r="P866" t="s">
        <v>285</v>
      </c>
      <c r="Q866" t="s">
        <v>285</v>
      </c>
      <c r="R866" t="s">
        <v>285</v>
      </c>
      <c r="S866" t="s">
        <v>285</v>
      </c>
      <c r="T866" t="s">
        <v>285</v>
      </c>
      <c r="U866">
        <v>3.806</v>
      </c>
      <c r="V866">
        <v>4.048</v>
      </c>
      <c r="W866">
        <v>4.4770000000000003</v>
      </c>
      <c r="X866">
        <v>4.694</v>
      </c>
      <c r="Y866">
        <v>5.1820000000000004</v>
      </c>
      <c r="Z866">
        <v>5.7969999999999997</v>
      </c>
      <c r="AA866">
        <v>5.9039999999999999</v>
      </c>
      <c r="AB866">
        <v>6.2960000000000003</v>
      </c>
      <c r="AC866">
        <v>6.8540000000000001</v>
      </c>
      <c r="AD866">
        <v>7.423</v>
      </c>
      <c r="AE866">
        <v>7.9880000000000004</v>
      </c>
      <c r="AF866">
        <v>8.3260000000000005</v>
      </c>
      <c r="AG866">
        <v>8.7100000000000009</v>
      </c>
      <c r="AH866">
        <v>9.3780000000000001</v>
      </c>
      <c r="AI866">
        <v>10.119</v>
      </c>
      <c r="AJ866">
        <v>10.968</v>
      </c>
      <c r="AK866">
        <v>12.196999999999999</v>
      </c>
      <c r="AL866">
        <v>13.724</v>
      </c>
      <c r="AM866">
        <v>15.164</v>
      </c>
      <c r="AN866">
        <v>15.125</v>
      </c>
      <c r="AO866">
        <v>18.117999999999999</v>
      </c>
      <c r="AP866">
        <v>20.344000000000001</v>
      </c>
      <c r="AQ866">
        <v>22.745999999999999</v>
      </c>
      <c r="AR866">
        <v>23.206</v>
      </c>
      <c r="AS866">
        <v>24.864000000000001</v>
      </c>
      <c r="AT866">
        <v>25.533999999999999</v>
      </c>
      <c r="AU866">
        <v>27.058</v>
      </c>
      <c r="AV866">
        <v>29.13</v>
      </c>
      <c r="AW866">
        <v>30.815999999999999</v>
      </c>
      <c r="AX866">
        <v>32.566000000000003</v>
      </c>
      <c r="AY866">
        <v>2014</v>
      </c>
    </row>
    <row r="867" spans="1:51" x14ac:dyDescent="0.25">
      <c r="A867">
        <v>186</v>
      </c>
      <c r="B867" t="s">
        <v>829</v>
      </c>
      <c r="C867" t="s">
        <v>279</v>
      </c>
      <c r="D867" t="s">
        <v>220</v>
      </c>
      <c r="E867" t="s">
        <v>280</v>
      </c>
      <c r="F867" t="s">
        <v>281</v>
      </c>
      <c r="G867" t="s">
        <v>282</v>
      </c>
      <c r="H867" t="s">
        <v>283</v>
      </c>
      <c r="I867" t="s">
        <v>830</v>
      </c>
      <c r="J867">
        <v>30.486999999999998</v>
      </c>
      <c r="K867">
        <v>31.818000000000001</v>
      </c>
      <c r="L867">
        <v>32.908999999999999</v>
      </c>
      <c r="M867">
        <v>34.473999999999997</v>
      </c>
      <c r="N867">
        <v>36.826000000000001</v>
      </c>
      <c r="O867">
        <v>38.395000000000003</v>
      </c>
      <c r="P867">
        <v>41.06</v>
      </c>
      <c r="Q867">
        <v>45.177</v>
      </c>
      <c r="R867">
        <v>46.134999999999998</v>
      </c>
      <c r="S867">
        <v>46.252000000000002</v>
      </c>
      <c r="T867">
        <v>50.531999999999996</v>
      </c>
      <c r="U867">
        <v>51</v>
      </c>
      <c r="V867">
        <v>54.052</v>
      </c>
      <c r="W867">
        <v>58.399000000000001</v>
      </c>
      <c r="X867">
        <v>55.213000000000001</v>
      </c>
      <c r="Y867">
        <v>59.183</v>
      </c>
      <c r="Z867">
        <v>63.33</v>
      </c>
      <c r="AA867">
        <v>68.096999999999994</v>
      </c>
      <c r="AB867">
        <v>70.203000000000003</v>
      </c>
      <c r="AC867">
        <v>67.840999999999994</v>
      </c>
      <c r="AD867">
        <v>72.436000000000007</v>
      </c>
      <c r="AE867">
        <v>68.308999999999997</v>
      </c>
      <c r="AF867">
        <v>72.52</v>
      </c>
      <c r="AG867">
        <v>76.337999999999994</v>
      </c>
      <c r="AH867">
        <v>83.486000000000004</v>
      </c>
      <c r="AI867">
        <v>90.5</v>
      </c>
      <c r="AJ867">
        <v>96.738</v>
      </c>
      <c r="AK867">
        <v>101.255</v>
      </c>
      <c r="AL867">
        <v>101.922</v>
      </c>
      <c r="AM867">
        <v>97.003</v>
      </c>
      <c r="AN867">
        <v>105.886</v>
      </c>
      <c r="AO867">
        <v>115.175</v>
      </c>
      <c r="AP867">
        <v>117.625</v>
      </c>
      <c r="AQ867">
        <v>122.556</v>
      </c>
      <c r="AR867">
        <v>126.128</v>
      </c>
      <c r="AS867">
        <v>129.96799999999999</v>
      </c>
      <c r="AT867">
        <v>133.714</v>
      </c>
      <c r="AU867">
        <v>138.65100000000001</v>
      </c>
      <c r="AV867">
        <v>143.483</v>
      </c>
      <c r="AW867">
        <v>148.483</v>
      </c>
      <c r="AX867">
        <v>153.65700000000001</v>
      </c>
      <c r="AY867">
        <v>2014</v>
      </c>
    </row>
    <row r="868" spans="1:51" x14ac:dyDescent="0.25">
      <c r="A868">
        <v>186</v>
      </c>
      <c r="B868" t="s">
        <v>829</v>
      </c>
      <c r="C868" t="s">
        <v>286</v>
      </c>
      <c r="D868" t="s">
        <v>220</v>
      </c>
      <c r="E868" t="s">
        <v>287</v>
      </c>
      <c r="F868" t="s">
        <v>288</v>
      </c>
      <c r="G868" t="s">
        <v>282</v>
      </c>
      <c r="H868" t="s">
        <v>283</v>
      </c>
      <c r="I868" t="s">
        <v>830</v>
      </c>
      <c r="J868">
        <v>7.0000000000000001E-3</v>
      </c>
      <c r="K868">
        <v>1.0999999999999999E-2</v>
      </c>
      <c r="L868">
        <v>1.4E-2</v>
      </c>
      <c r="M868">
        <v>1.9E-2</v>
      </c>
      <c r="N868">
        <v>0.03</v>
      </c>
      <c r="O868">
        <v>4.7E-2</v>
      </c>
      <c r="P868">
        <v>6.9000000000000006E-2</v>
      </c>
      <c r="Q868">
        <v>0.1</v>
      </c>
      <c r="R868">
        <v>0.17399999999999999</v>
      </c>
      <c r="S868">
        <v>0.30599999999999999</v>
      </c>
      <c r="T868">
        <v>0.52800000000000002</v>
      </c>
      <c r="U868">
        <v>0.84699999999999998</v>
      </c>
      <c r="V868">
        <v>1.47</v>
      </c>
      <c r="W868">
        <v>2.6640000000000001</v>
      </c>
      <c r="X868">
        <v>5.2</v>
      </c>
      <c r="Y868">
        <v>10.435</v>
      </c>
      <c r="Z868">
        <v>19.856999999999999</v>
      </c>
      <c r="AA868">
        <v>38.762999999999998</v>
      </c>
      <c r="AB868">
        <v>70.203000000000003</v>
      </c>
      <c r="AC868">
        <v>104.596</v>
      </c>
      <c r="AD868">
        <v>166.65799999999999</v>
      </c>
      <c r="AE868">
        <v>240.22399999999999</v>
      </c>
      <c r="AF868">
        <v>350.476</v>
      </c>
      <c r="AG868">
        <v>454.78100000000001</v>
      </c>
      <c r="AH868">
        <v>559.03300000000002</v>
      </c>
      <c r="AI868">
        <v>648.93200000000002</v>
      </c>
      <c r="AJ868">
        <v>758.39099999999996</v>
      </c>
      <c r="AK868">
        <v>843.178</v>
      </c>
      <c r="AL868">
        <v>950.53399999999999</v>
      </c>
      <c r="AM868">
        <v>952.55899999999997</v>
      </c>
      <c r="AN868" s="21">
        <v>1098.799</v>
      </c>
      <c r="AO868" s="21">
        <v>1297.713</v>
      </c>
      <c r="AP868" s="21">
        <v>1416.798</v>
      </c>
      <c r="AQ868" s="21">
        <v>1567.289</v>
      </c>
      <c r="AR868" s="21">
        <v>1747.3620000000001</v>
      </c>
      <c r="AS868" s="21">
        <v>1985.7059999999999</v>
      </c>
      <c r="AT868" s="21">
        <v>2199.355</v>
      </c>
      <c r="AU868" s="21">
        <v>2414.7109999999998</v>
      </c>
      <c r="AV868" s="21">
        <v>2648.4650000000001</v>
      </c>
      <c r="AW868" s="21">
        <v>2911.0639999999999</v>
      </c>
      <c r="AX868" s="21">
        <v>3202.6660000000002</v>
      </c>
      <c r="AY868">
        <v>2014</v>
      </c>
    </row>
    <row r="869" spans="1:51" x14ac:dyDescent="0.25">
      <c r="A869">
        <v>186</v>
      </c>
      <c r="B869" t="s">
        <v>829</v>
      </c>
      <c r="C869" t="s">
        <v>289</v>
      </c>
      <c r="D869" t="s">
        <v>220</v>
      </c>
      <c r="E869" t="s">
        <v>287</v>
      </c>
      <c r="F869" t="s">
        <v>290</v>
      </c>
      <c r="G869" t="s">
        <v>291</v>
      </c>
      <c r="H869" t="s">
        <v>283</v>
      </c>
      <c r="I869" t="s">
        <v>292</v>
      </c>
      <c r="J869">
        <v>94.257999999999996</v>
      </c>
      <c r="K869">
        <v>95.495999999999995</v>
      </c>
      <c r="L869">
        <v>86.766000000000005</v>
      </c>
      <c r="M869">
        <v>82.911000000000001</v>
      </c>
      <c r="N869">
        <v>80.641999999999996</v>
      </c>
      <c r="O869">
        <v>90.58</v>
      </c>
      <c r="P869">
        <v>100.483</v>
      </c>
      <c r="Q869">
        <v>115.898</v>
      </c>
      <c r="R869">
        <v>121.901</v>
      </c>
      <c r="S869">
        <v>144.08500000000001</v>
      </c>
      <c r="T869">
        <v>202.24700000000001</v>
      </c>
      <c r="U869">
        <v>203.49100000000001</v>
      </c>
      <c r="V869">
        <v>213.78299999999999</v>
      </c>
      <c r="W869">
        <v>242.46799999999999</v>
      </c>
      <c r="X869">
        <v>174.99</v>
      </c>
      <c r="Y869">
        <v>227.81</v>
      </c>
      <c r="Z869">
        <v>244.386</v>
      </c>
      <c r="AA869">
        <v>255.64699999999999</v>
      </c>
      <c r="AB869">
        <v>269.52800000000002</v>
      </c>
      <c r="AC869">
        <v>250.334</v>
      </c>
      <c r="AD869">
        <v>266.67099999999999</v>
      </c>
      <c r="AE869">
        <v>196.05699999999999</v>
      </c>
      <c r="AF869">
        <v>232.45</v>
      </c>
      <c r="AG869">
        <v>303.12299999999999</v>
      </c>
      <c r="AH869">
        <v>392.233</v>
      </c>
      <c r="AI869">
        <v>482.73700000000002</v>
      </c>
      <c r="AJ869">
        <v>529.27800000000002</v>
      </c>
      <c r="AK869">
        <v>646.42499999999995</v>
      </c>
      <c r="AL869">
        <v>730.62800000000004</v>
      </c>
      <c r="AM869">
        <v>614.38900000000001</v>
      </c>
      <c r="AN869">
        <v>731.53899999999999</v>
      </c>
      <c r="AO869">
        <v>774.72900000000004</v>
      </c>
      <c r="AP869">
        <v>788.60500000000002</v>
      </c>
      <c r="AQ869">
        <v>823.02499999999998</v>
      </c>
      <c r="AR869">
        <v>798.33199999999999</v>
      </c>
      <c r="AS869">
        <v>722.21900000000005</v>
      </c>
      <c r="AT869">
        <v>721.16700000000003</v>
      </c>
      <c r="AU869">
        <v>761.44</v>
      </c>
      <c r="AV869">
        <v>804.56299999999999</v>
      </c>
      <c r="AW869">
        <v>851.77300000000002</v>
      </c>
      <c r="AX869">
        <v>905.84400000000005</v>
      </c>
      <c r="AY869">
        <v>2014</v>
      </c>
    </row>
    <row r="870" spans="1:51" x14ac:dyDescent="0.25">
      <c r="A870">
        <v>186</v>
      </c>
      <c r="B870" t="s">
        <v>829</v>
      </c>
      <c r="C870" t="s">
        <v>293</v>
      </c>
      <c r="D870" t="s">
        <v>220</v>
      </c>
      <c r="E870" t="s">
        <v>294</v>
      </c>
      <c r="F870" t="s">
        <v>295</v>
      </c>
      <c r="G870" t="s">
        <v>296</v>
      </c>
      <c r="I870" t="s">
        <v>297</v>
      </c>
      <c r="J870">
        <v>2.4E-2</v>
      </c>
      <c r="K870">
        <v>3.3000000000000002E-2</v>
      </c>
      <c r="L870">
        <v>4.2999999999999997E-2</v>
      </c>
      <c r="M870">
        <v>5.3999999999999999E-2</v>
      </c>
      <c r="N870">
        <v>0.08</v>
      </c>
      <c r="O870">
        <v>0.123</v>
      </c>
      <c r="P870">
        <v>0.16700000000000001</v>
      </c>
      <c r="Q870">
        <v>0.222</v>
      </c>
      <c r="R870">
        <v>0.377</v>
      </c>
      <c r="S870">
        <v>0.66100000000000003</v>
      </c>
      <c r="T870">
        <v>1.046</v>
      </c>
      <c r="U870">
        <v>1.661</v>
      </c>
      <c r="V870">
        <v>2.7189999999999999</v>
      </c>
      <c r="W870">
        <v>4.5620000000000003</v>
      </c>
      <c r="X870">
        <v>9.4179999999999993</v>
      </c>
      <c r="Y870">
        <v>17.631</v>
      </c>
      <c r="Z870">
        <v>31.355</v>
      </c>
      <c r="AA870">
        <v>56.921999999999997</v>
      </c>
      <c r="AB870">
        <v>100</v>
      </c>
      <c r="AC870">
        <v>154.179</v>
      </c>
      <c r="AD870">
        <v>230.07499999999999</v>
      </c>
      <c r="AE870">
        <v>351.67099999999999</v>
      </c>
      <c r="AF870">
        <v>483.28300000000002</v>
      </c>
      <c r="AG870">
        <v>595.745</v>
      </c>
      <c r="AH870">
        <v>669.61599999999999</v>
      </c>
      <c r="AI870">
        <v>717.05399999999997</v>
      </c>
      <c r="AJ870">
        <v>783.96100000000001</v>
      </c>
      <c r="AK870">
        <v>832.73099999999999</v>
      </c>
      <c r="AL870">
        <v>932.61199999999997</v>
      </c>
      <c r="AM870">
        <v>981.98800000000006</v>
      </c>
      <c r="AN870" s="21">
        <v>1037.723</v>
      </c>
      <c r="AO870" s="21">
        <v>1126.7339999999999</v>
      </c>
      <c r="AP870" s="21">
        <v>1204.5039999999999</v>
      </c>
      <c r="AQ870" s="21">
        <v>1278.83</v>
      </c>
      <c r="AR870" s="21">
        <v>1385.3889999999999</v>
      </c>
      <c r="AS870" s="21">
        <v>1527.847</v>
      </c>
      <c r="AT870" s="21">
        <v>1644.826</v>
      </c>
      <c r="AU870" s="21">
        <v>1741.5709999999999</v>
      </c>
      <c r="AV870" s="21">
        <v>1845.8409999999999</v>
      </c>
      <c r="AW870" s="21">
        <v>1960.5419999999999</v>
      </c>
      <c r="AX870" s="21">
        <v>2084.3000000000002</v>
      </c>
      <c r="AY870">
        <v>2014</v>
      </c>
    </row>
    <row r="871" spans="1:51" x14ac:dyDescent="0.25">
      <c r="A871">
        <v>186</v>
      </c>
      <c r="B871" t="s">
        <v>829</v>
      </c>
      <c r="C871" t="s">
        <v>298</v>
      </c>
      <c r="D871" t="s">
        <v>220</v>
      </c>
      <c r="E871" t="s">
        <v>299</v>
      </c>
      <c r="F871" t="s">
        <v>300</v>
      </c>
      <c r="G871" t="s">
        <v>282</v>
      </c>
      <c r="H871" t="s">
        <v>283</v>
      </c>
      <c r="I871" t="s">
        <v>831</v>
      </c>
      <c r="J871" t="s">
        <v>285</v>
      </c>
      <c r="K871" t="s">
        <v>285</v>
      </c>
      <c r="L871" t="s">
        <v>285</v>
      </c>
      <c r="M871" t="s">
        <v>285</v>
      </c>
      <c r="N871" t="s">
        <v>285</v>
      </c>
      <c r="O871" t="s">
        <v>285</v>
      </c>
      <c r="P871" t="s">
        <v>285</v>
      </c>
      <c r="Q871" t="s">
        <v>285</v>
      </c>
      <c r="R871" t="s">
        <v>285</v>
      </c>
      <c r="S871" t="s">
        <v>285</v>
      </c>
      <c r="T871" t="s">
        <v>285</v>
      </c>
      <c r="U871" t="s">
        <v>285</v>
      </c>
      <c r="V871" t="s">
        <v>285</v>
      </c>
      <c r="W871" t="s">
        <v>285</v>
      </c>
      <c r="X871" t="s">
        <v>285</v>
      </c>
      <c r="Y871" t="s">
        <v>285</v>
      </c>
      <c r="Z871" t="s">
        <v>285</v>
      </c>
      <c r="AA871" t="s">
        <v>285</v>
      </c>
      <c r="AB871" t="s">
        <v>285</v>
      </c>
      <c r="AC871" t="s">
        <v>285</v>
      </c>
      <c r="AD871">
        <v>60.944000000000003</v>
      </c>
      <c r="AE871">
        <v>98.570999999999998</v>
      </c>
      <c r="AF871">
        <v>151.22800000000001</v>
      </c>
      <c r="AG871">
        <v>188.23</v>
      </c>
      <c r="AH871">
        <v>198.58</v>
      </c>
      <c r="AI871">
        <v>215.25800000000001</v>
      </c>
      <c r="AJ871">
        <v>253.94399999999999</v>
      </c>
      <c r="AK871">
        <v>283.59500000000003</v>
      </c>
      <c r="AL871">
        <v>327.98099999999999</v>
      </c>
      <c r="AM871">
        <v>367.34199999999998</v>
      </c>
      <c r="AN871">
        <v>403.16</v>
      </c>
      <c r="AO871">
        <v>456.911</v>
      </c>
      <c r="AP871">
        <v>518.899</v>
      </c>
      <c r="AQ871">
        <v>601.99199999999996</v>
      </c>
      <c r="AR871">
        <v>652.22</v>
      </c>
      <c r="AS871">
        <v>724.09500000000003</v>
      </c>
      <c r="AT871">
        <v>800.06899999999996</v>
      </c>
      <c r="AU871">
        <v>881.23900000000003</v>
      </c>
      <c r="AV871">
        <v>969.65200000000004</v>
      </c>
      <c r="AW871" s="21">
        <v>1072.4590000000001</v>
      </c>
      <c r="AX871" s="21">
        <v>1188.7850000000001</v>
      </c>
      <c r="AY871">
        <v>2014</v>
      </c>
    </row>
    <row r="872" spans="1:51" x14ac:dyDescent="0.25">
      <c r="A872">
        <v>925</v>
      </c>
      <c r="B872" t="s">
        <v>832</v>
      </c>
      <c r="C872" t="s">
        <v>279</v>
      </c>
      <c r="D872" t="s">
        <v>221</v>
      </c>
      <c r="E872" t="s">
        <v>280</v>
      </c>
      <c r="F872" t="s">
        <v>281</v>
      </c>
      <c r="G872" t="s">
        <v>282</v>
      </c>
      <c r="H872" t="s">
        <v>283</v>
      </c>
      <c r="I872" t="s">
        <v>833</v>
      </c>
      <c r="J872" t="s">
        <v>285</v>
      </c>
      <c r="K872" t="s">
        <v>285</v>
      </c>
      <c r="L872" t="s">
        <v>285</v>
      </c>
      <c r="M872" t="s">
        <v>285</v>
      </c>
      <c r="N872" t="s">
        <v>285</v>
      </c>
      <c r="O872" t="s">
        <v>285</v>
      </c>
      <c r="P872" t="s">
        <v>285</v>
      </c>
      <c r="Q872" t="s">
        <v>285</v>
      </c>
      <c r="R872" t="s">
        <v>285</v>
      </c>
      <c r="S872" t="s">
        <v>285</v>
      </c>
      <c r="T872" t="s">
        <v>285</v>
      </c>
      <c r="U872" t="s">
        <v>285</v>
      </c>
      <c r="V872">
        <v>10.018000000000001</v>
      </c>
      <c r="W872">
        <v>9.016</v>
      </c>
      <c r="X872">
        <v>7.4560000000000004</v>
      </c>
      <c r="Y872">
        <v>6.92</v>
      </c>
      <c r="Z872">
        <v>6.4560000000000004</v>
      </c>
      <c r="AA872">
        <v>5.726</v>
      </c>
      <c r="AB872">
        <v>6.11</v>
      </c>
      <c r="AC872">
        <v>7.1180000000000003</v>
      </c>
      <c r="AD872">
        <v>8.4410000000000007</v>
      </c>
      <c r="AE872">
        <v>10.163</v>
      </c>
      <c r="AF872">
        <v>11.765000000000001</v>
      </c>
      <c r="AG872">
        <v>13.776</v>
      </c>
      <c r="AH872">
        <v>15.8</v>
      </c>
      <c r="AI872">
        <v>17.861000000000001</v>
      </c>
      <c r="AJ872">
        <v>19.82</v>
      </c>
      <c r="AK872">
        <v>22.010999999999999</v>
      </c>
      <c r="AL872">
        <v>25.257000000000001</v>
      </c>
      <c r="AM872">
        <v>26.806000000000001</v>
      </c>
      <c r="AN872">
        <v>29.260999999999999</v>
      </c>
      <c r="AO872">
        <v>33.575000000000003</v>
      </c>
      <c r="AP872">
        <v>37.284999999999997</v>
      </c>
      <c r="AQ872">
        <v>41.085999999999999</v>
      </c>
      <c r="AR872">
        <v>45.326999999999998</v>
      </c>
      <c r="AS872">
        <v>49.189</v>
      </c>
      <c r="AT872">
        <v>53.552</v>
      </c>
      <c r="AU872">
        <v>58.481999999999999</v>
      </c>
      <c r="AV872">
        <v>63.529000000000003</v>
      </c>
      <c r="AW872">
        <v>68.89</v>
      </c>
      <c r="AX872">
        <v>74.53</v>
      </c>
      <c r="AY872">
        <v>2014</v>
      </c>
    </row>
    <row r="873" spans="1:51" x14ac:dyDescent="0.25">
      <c r="A873">
        <v>925</v>
      </c>
      <c r="B873" t="s">
        <v>832</v>
      </c>
      <c r="C873" t="s">
        <v>286</v>
      </c>
      <c r="D873" t="s">
        <v>221</v>
      </c>
      <c r="E873" t="s">
        <v>287</v>
      </c>
      <c r="F873" t="s">
        <v>288</v>
      </c>
      <c r="G873" t="s">
        <v>282</v>
      </c>
      <c r="H873" t="s">
        <v>283</v>
      </c>
      <c r="I873" t="s">
        <v>833</v>
      </c>
      <c r="J873" t="s">
        <v>285</v>
      </c>
      <c r="K873" t="s">
        <v>285</v>
      </c>
      <c r="L873" t="s">
        <v>285</v>
      </c>
      <c r="M873" t="s">
        <v>285</v>
      </c>
      <c r="N873" t="s">
        <v>285</v>
      </c>
      <c r="O873" t="s">
        <v>285</v>
      </c>
      <c r="P873" t="s">
        <v>285</v>
      </c>
      <c r="Q873" t="s">
        <v>285</v>
      </c>
      <c r="R873" t="s">
        <v>285</v>
      </c>
      <c r="S873" t="s">
        <v>285</v>
      </c>
      <c r="T873" t="s">
        <v>285</v>
      </c>
      <c r="U873" t="s">
        <v>285</v>
      </c>
      <c r="V873" t="s">
        <v>310</v>
      </c>
      <c r="W873">
        <v>2E-3</v>
      </c>
      <c r="X873">
        <v>1.7000000000000001E-2</v>
      </c>
      <c r="Y873">
        <v>0.13</v>
      </c>
      <c r="Z873">
        <v>1.55</v>
      </c>
      <c r="AA873">
        <v>2.222</v>
      </c>
      <c r="AB873">
        <v>2.7989999999999999</v>
      </c>
      <c r="AC873">
        <v>4.0110000000000001</v>
      </c>
      <c r="AD873">
        <v>5.2229999999999999</v>
      </c>
      <c r="AE873">
        <v>7.2110000000000003</v>
      </c>
      <c r="AF873">
        <v>9.048</v>
      </c>
      <c r="AG873">
        <v>11.881</v>
      </c>
      <c r="AH873">
        <v>14.763999999999999</v>
      </c>
      <c r="AI873">
        <v>17.861000000000001</v>
      </c>
      <c r="AJ873">
        <v>22.248999999999999</v>
      </c>
      <c r="AK873">
        <v>27</v>
      </c>
      <c r="AL873">
        <v>49.47</v>
      </c>
      <c r="AM873">
        <v>57.610999999999997</v>
      </c>
      <c r="AN873">
        <v>63.122</v>
      </c>
      <c r="AO873">
        <v>83.314999999999998</v>
      </c>
      <c r="AP873">
        <v>100.218</v>
      </c>
      <c r="AQ873">
        <v>116.887</v>
      </c>
      <c r="AR873">
        <v>136.60599999999999</v>
      </c>
      <c r="AS873">
        <v>155.268</v>
      </c>
      <c r="AT873">
        <v>179.44900000000001</v>
      </c>
      <c r="AU873">
        <v>203.67500000000001</v>
      </c>
      <c r="AV873">
        <v>229.11699999999999</v>
      </c>
      <c r="AW873">
        <v>258.911</v>
      </c>
      <c r="AX873">
        <v>293.97699999999998</v>
      </c>
      <c r="AY873">
        <v>2014</v>
      </c>
    </row>
    <row r="874" spans="1:51" x14ac:dyDescent="0.25">
      <c r="A874">
        <v>925</v>
      </c>
      <c r="B874" t="s">
        <v>832</v>
      </c>
      <c r="C874" t="s">
        <v>289</v>
      </c>
      <c r="D874" t="s">
        <v>221</v>
      </c>
      <c r="E874" t="s">
        <v>287</v>
      </c>
      <c r="F874" t="s">
        <v>290</v>
      </c>
      <c r="G874" t="s">
        <v>291</v>
      </c>
      <c r="H874" t="s">
        <v>283</v>
      </c>
      <c r="I874" t="s">
        <v>292</v>
      </c>
      <c r="J874" t="s">
        <v>285</v>
      </c>
      <c r="K874" t="s">
        <v>285</v>
      </c>
      <c r="L874" t="s">
        <v>285</v>
      </c>
      <c r="M874" t="s">
        <v>285</v>
      </c>
      <c r="N874" t="s">
        <v>285</v>
      </c>
      <c r="O874" t="s">
        <v>285</v>
      </c>
      <c r="P874" t="s">
        <v>285</v>
      </c>
      <c r="Q874" t="s">
        <v>285</v>
      </c>
      <c r="R874" t="s">
        <v>285</v>
      </c>
      <c r="S874" t="s">
        <v>285</v>
      </c>
      <c r="T874" t="s">
        <v>285</v>
      </c>
      <c r="U874" t="s">
        <v>285</v>
      </c>
      <c r="V874">
        <v>0.95099999999999996</v>
      </c>
      <c r="W874">
        <v>5.3630000000000004</v>
      </c>
      <c r="X874">
        <v>4.5419999999999998</v>
      </c>
      <c r="Y874">
        <v>5.8739999999999997</v>
      </c>
      <c r="Z874">
        <v>2.379</v>
      </c>
      <c r="AA874">
        <v>2.681</v>
      </c>
      <c r="AB874">
        <v>2.8620000000000001</v>
      </c>
      <c r="AC874">
        <v>3.8570000000000002</v>
      </c>
      <c r="AD874">
        <v>5.0220000000000002</v>
      </c>
      <c r="AE874">
        <v>6.9329999999999998</v>
      </c>
      <c r="AF874">
        <v>8.6999999999999993</v>
      </c>
      <c r="AG874">
        <v>11.423999999999999</v>
      </c>
      <c r="AH874">
        <v>14.196</v>
      </c>
      <c r="AI874">
        <v>17.173999999999999</v>
      </c>
      <c r="AJ874">
        <v>21.393000000000001</v>
      </c>
      <c r="AK874">
        <v>25.962</v>
      </c>
      <c r="AL874">
        <v>21.515999999999998</v>
      </c>
      <c r="AM874">
        <v>20.213999999999999</v>
      </c>
      <c r="AN874">
        <v>22.148</v>
      </c>
      <c r="AO874">
        <v>29.233000000000001</v>
      </c>
      <c r="AP874">
        <v>35.164000000000001</v>
      </c>
      <c r="AQ874">
        <v>41.012999999999998</v>
      </c>
      <c r="AR874">
        <v>47.932000000000002</v>
      </c>
      <c r="AS874">
        <v>44.362000000000002</v>
      </c>
      <c r="AT874">
        <v>51.271000000000001</v>
      </c>
      <c r="AU874">
        <v>58.192999999999998</v>
      </c>
      <c r="AV874">
        <v>65.462000000000003</v>
      </c>
      <c r="AW874">
        <v>73.974000000000004</v>
      </c>
      <c r="AX874">
        <v>83.992999999999995</v>
      </c>
      <c r="AY874">
        <v>2014</v>
      </c>
    </row>
    <row r="875" spans="1:51" x14ac:dyDescent="0.25">
      <c r="A875">
        <v>925</v>
      </c>
      <c r="B875" t="s">
        <v>832</v>
      </c>
      <c r="C875" t="s">
        <v>293</v>
      </c>
      <c r="D875" t="s">
        <v>221</v>
      </c>
      <c r="E875" t="s">
        <v>294</v>
      </c>
      <c r="F875" t="s">
        <v>295</v>
      </c>
      <c r="G875" t="s">
        <v>296</v>
      </c>
      <c r="I875" t="s">
        <v>297</v>
      </c>
      <c r="J875" t="s">
        <v>285</v>
      </c>
      <c r="K875" t="s">
        <v>285</v>
      </c>
      <c r="L875" t="s">
        <v>285</v>
      </c>
      <c r="M875" t="s">
        <v>285</v>
      </c>
      <c r="N875" t="s">
        <v>285</v>
      </c>
      <c r="O875" t="s">
        <v>285</v>
      </c>
      <c r="P875" t="s">
        <v>285</v>
      </c>
      <c r="Q875" t="s">
        <v>285</v>
      </c>
      <c r="R875" t="s">
        <v>285</v>
      </c>
      <c r="S875" t="s">
        <v>285</v>
      </c>
      <c r="T875" t="s">
        <v>285</v>
      </c>
      <c r="U875" t="s">
        <v>285</v>
      </c>
      <c r="V875">
        <v>1E-3</v>
      </c>
      <c r="W875">
        <v>2.1000000000000001E-2</v>
      </c>
      <c r="X875">
        <v>0.23400000000000001</v>
      </c>
      <c r="Y875">
        <v>1.8839999999999999</v>
      </c>
      <c r="Z875">
        <v>24.013999999999999</v>
      </c>
      <c r="AA875">
        <v>38.798000000000002</v>
      </c>
      <c r="AB875">
        <v>45.808999999999997</v>
      </c>
      <c r="AC875">
        <v>56.353999999999999</v>
      </c>
      <c r="AD875">
        <v>61.874000000000002</v>
      </c>
      <c r="AE875">
        <v>70.954999999999998</v>
      </c>
      <c r="AF875">
        <v>76.906000000000006</v>
      </c>
      <c r="AG875">
        <v>86.244</v>
      </c>
      <c r="AH875">
        <v>93.441000000000003</v>
      </c>
      <c r="AI875">
        <v>100</v>
      </c>
      <c r="AJ875">
        <v>112.258</v>
      </c>
      <c r="AK875">
        <v>122.667</v>
      </c>
      <c r="AL875">
        <v>195.86600000000001</v>
      </c>
      <c r="AM875">
        <v>214.91800000000001</v>
      </c>
      <c r="AN875">
        <v>215.71799999999999</v>
      </c>
      <c r="AO875">
        <v>248.14599999999999</v>
      </c>
      <c r="AP875">
        <v>268.78800000000001</v>
      </c>
      <c r="AQ875">
        <v>284.495</v>
      </c>
      <c r="AR875">
        <v>301.38200000000001</v>
      </c>
      <c r="AS875">
        <v>315.654</v>
      </c>
      <c r="AT875">
        <v>335.09500000000003</v>
      </c>
      <c r="AU875">
        <v>348.27100000000002</v>
      </c>
      <c r="AV875">
        <v>360.65100000000001</v>
      </c>
      <c r="AW875">
        <v>375.82900000000001</v>
      </c>
      <c r="AX875">
        <v>394.44</v>
      </c>
      <c r="AY875">
        <v>2014</v>
      </c>
    </row>
    <row r="876" spans="1:51" x14ac:dyDescent="0.25">
      <c r="A876">
        <v>925</v>
      </c>
      <c r="B876" t="s">
        <v>832</v>
      </c>
      <c r="C876" t="s">
        <v>298</v>
      </c>
      <c r="D876" t="s">
        <v>221</v>
      </c>
      <c r="E876" t="s">
        <v>299</v>
      </c>
      <c r="F876" t="s">
        <v>300</v>
      </c>
      <c r="G876" t="s">
        <v>282</v>
      </c>
      <c r="H876" t="s">
        <v>283</v>
      </c>
      <c r="I876" t="s">
        <v>834</v>
      </c>
      <c r="J876" t="s">
        <v>285</v>
      </c>
      <c r="K876" t="s">
        <v>285</v>
      </c>
      <c r="L876" t="s">
        <v>285</v>
      </c>
      <c r="M876" t="s">
        <v>285</v>
      </c>
      <c r="N876" t="s">
        <v>285</v>
      </c>
      <c r="O876" t="s">
        <v>285</v>
      </c>
      <c r="P876" t="s">
        <v>285</v>
      </c>
      <c r="Q876" t="s">
        <v>285</v>
      </c>
      <c r="R876" t="s">
        <v>285</v>
      </c>
      <c r="S876" t="s">
        <v>285</v>
      </c>
      <c r="T876" t="s">
        <v>285</v>
      </c>
      <c r="U876" t="s">
        <v>285</v>
      </c>
      <c r="V876" t="s">
        <v>285</v>
      </c>
      <c r="W876" t="s">
        <v>285</v>
      </c>
      <c r="X876" t="s">
        <v>285</v>
      </c>
      <c r="Y876" t="s">
        <v>285</v>
      </c>
      <c r="Z876" t="s">
        <v>285</v>
      </c>
      <c r="AA876">
        <v>0.55600000000000005</v>
      </c>
      <c r="AB876">
        <v>0.68</v>
      </c>
      <c r="AC876">
        <v>0.77800000000000002</v>
      </c>
      <c r="AD876">
        <v>1.2589999999999999</v>
      </c>
      <c r="AE876">
        <v>1.5209999999999999</v>
      </c>
      <c r="AF876">
        <v>1.633</v>
      </c>
      <c r="AG876">
        <v>2.2989999999999999</v>
      </c>
      <c r="AH876">
        <v>2.7879999999999998</v>
      </c>
      <c r="AI876">
        <v>3.5129999999999999</v>
      </c>
      <c r="AJ876">
        <v>3.3260000000000001</v>
      </c>
      <c r="AK876">
        <v>3.629</v>
      </c>
      <c r="AL876">
        <v>5.375</v>
      </c>
      <c r="AM876">
        <v>7.7229999999999999</v>
      </c>
      <c r="AN876">
        <v>8.8780000000000001</v>
      </c>
      <c r="AO876">
        <v>12.18</v>
      </c>
      <c r="AP876">
        <v>14.695</v>
      </c>
      <c r="AQ876">
        <v>18.850000000000001</v>
      </c>
      <c r="AR876">
        <v>21.099</v>
      </c>
      <c r="AS876">
        <v>22.937000000000001</v>
      </c>
      <c r="AT876">
        <v>24.800999999999998</v>
      </c>
      <c r="AU876">
        <v>27.201000000000001</v>
      </c>
      <c r="AV876">
        <v>29.677</v>
      </c>
      <c r="AW876">
        <v>32.576999999999998</v>
      </c>
      <c r="AX876">
        <v>35.732999999999997</v>
      </c>
      <c r="AY876">
        <v>2014</v>
      </c>
    </row>
    <row r="877" spans="1:51" x14ac:dyDescent="0.25">
      <c r="A877">
        <v>869</v>
      </c>
      <c r="B877" t="s">
        <v>835</v>
      </c>
      <c r="C877" t="s">
        <v>279</v>
      </c>
      <c r="D877" t="s">
        <v>222</v>
      </c>
      <c r="E877" t="s">
        <v>280</v>
      </c>
      <c r="F877" t="s">
        <v>281</v>
      </c>
      <c r="G877" t="s">
        <v>282</v>
      </c>
      <c r="H877" t="s">
        <v>283</v>
      </c>
      <c r="I877" t="s">
        <v>836</v>
      </c>
      <c r="J877" t="s">
        <v>285</v>
      </c>
      <c r="K877" t="s">
        <v>285</v>
      </c>
      <c r="L877" t="s">
        <v>285</v>
      </c>
      <c r="M877" t="s">
        <v>285</v>
      </c>
      <c r="N877" t="s">
        <v>285</v>
      </c>
      <c r="O877" t="s">
        <v>285</v>
      </c>
      <c r="P877" t="s">
        <v>285</v>
      </c>
      <c r="Q877" t="s">
        <v>285</v>
      </c>
      <c r="R877" t="s">
        <v>285</v>
      </c>
      <c r="S877" t="s">
        <v>285</v>
      </c>
      <c r="T877" t="s">
        <v>285</v>
      </c>
      <c r="U877" t="s">
        <v>285</v>
      </c>
      <c r="V877" t="s">
        <v>285</v>
      </c>
      <c r="W877" t="s">
        <v>285</v>
      </c>
      <c r="X877" t="s">
        <v>285</v>
      </c>
      <c r="Y877" t="s">
        <v>285</v>
      </c>
      <c r="Z877" t="s">
        <v>285</v>
      </c>
      <c r="AA877" t="s">
        <v>285</v>
      </c>
      <c r="AB877" t="s">
        <v>285</v>
      </c>
      <c r="AC877" t="s">
        <v>285</v>
      </c>
      <c r="AD877">
        <v>2.8000000000000001E-2</v>
      </c>
      <c r="AE877">
        <v>2.9000000000000001E-2</v>
      </c>
      <c r="AF877">
        <v>3.1E-2</v>
      </c>
      <c r="AG877">
        <v>0.03</v>
      </c>
      <c r="AH877">
        <v>0.03</v>
      </c>
      <c r="AI877">
        <v>2.8000000000000001E-2</v>
      </c>
      <c r="AJ877">
        <v>2.9000000000000001E-2</v>
      </c>
      <c r="AK877">
        <v>3.1E-2</v>
      </c>
      <c r="AL877">
        <v>3.4000000000000002E-2</v>
      </c>
      <c r="AM877">
        <v>3.2000000000000001E-2</v>
      </c>
      <c r="AN877">
        <v>3.1E-2</v>
      </c>
      <c r="AO877">
        <v>3.4000000000000002E-2</v>
      </c>
      <c r="AP877">
        <v>3.4000000000000002E-2</v>
      </c>
      <c r="AQ877">
        <v>3.4000000000000002E-2</v>
      </c>
      <c r="AR877">
        <v>3.5000000000000003E-2</v>
      </c>
      <c r="AS877">
        <v>3.5999999999999997E-2</v>
      </c>
      <c r="AT877">
        <v>3.7999999999999999E-2</v>
      </c>
      <c r="AU877">
        <v>3.7999999999999999E-2</v>
      </c>
      <c r="AV877">
        <v>3.9E-2</v>
      </c>
      <c r="AW877">
        <v>0.04</v>
      </c>
      <c r="AX877">
        <v>4.1000000000000002E-2</v>
      </c>
      <c r="AY877">
        <v>2012</v>
      </c>
    </row>
    <row r="878" spans="1:51" x14ac:dyDescent="0.25">
      <c r="A878">
        <v>869</v>
      </c>
      <c r="B878" t="s">
        <v>835</v>
      </c>
      <c r="C878" t="s">
        <v>286</v>
      </c>
      <c r="D878" t="s">
        <v>222</v>
      </c>
      <c r="E878" t="s">
        <v>287</v>
      </c>
      <c r="F878" t="s">
        <v>288</v>
      </c>
      <c r="G878" t="s">
        <v>282</v>
      </c>
      <c r="H878" t="s">
        <v>283</v>
      </c>
      <c r="I878" t="s">
        <v>836</v>
      </c>
      <c r="J878" t="s">
        <v>285</v>
      </c>
      <c r="K878" t="s">
        <v>285</v>
      </c>
      <c r="L878" t="s">
        <v>285</v>
      </c>
      <c r="M878" t="s">
        <v>285</v>
      </c>
      <c r="N878" t="s">
        <v>285</v>
      </c>
      <c r="O878" t="s">
        <v>285</v>
      </c>
      <c r="P878" t="s">
        <v>285</v>
      </c>
      <c r="Q878" t="s">
        <v>285</v>
      </c>
      <c r="R878" t="s">
        <v>285</v>
      </c>
      <c r="S878" t="s">
        <v>285</v>
      </c>
      <c r="T878" t="s">
        <v>285</v>
      </c>
      <c r="U878" t="s">
        <v>285</v>
      </c>
      <c r="V878" t="s">
        <v>285</v>
      </c>
      <c r="W878" t="s">
        <v>285</v>
      </c>
      <c r="X878" t="s">
        <v>285</v>
      </c>
      <c r="Y878" t="s">
        <v>285</v>
      </c>
      <c r="Z878" t="s">
        <v>285</v>
      </c>
      <c r="AA878" t="s">
        <v>285</v>
      </c>
      <c r="AB878" t="s">
        <v>285</v>
      </c>
      <c r="AC878" t="s">
        <v>285</v>
      </c>
      <c r="AD878">
        <v>2.4E-2</v>
      </c>
      <c r="AE878">
        <v>2.5999999999999999E-2</v>
      </c>
      <c r="AF878">
        <v>2.9000000000000001E-2</v>
      </c>
      <c r="AG878">
        <v>2.8000000000000001E-2</v>
      </c>
      <c r="AH878">
        <v>2.9000000000000001E-2</v>
      </c>
      <c r="AI878">
        <v>2.8000000000000001E-2</v>
      </c>
      <c r="AJ878">
        <v>0.03</v>
      </c>
      <c r="AK878">
        <v>3.2000000000000001E-2</v>
      </c>
      <c r="AL878">
        <v>3.5999999999999997E-2</v>
      </c>
      <c r="AM878">
        <v>3.5000000000000003E-2</v>
      </c>
      <c r="AN878">
        <v>3.5000000000000003E-2</v>
      </c>
      <c r="AO878">
        <v>3.7999999999999999E-2</v>
      </c>
      <c r="AP878">
        <v>3.9E-2</v>
      </c>
      <c r="AQ878">
        <v>0.04</v>
      </c>
      <c r="AR878">
        <v>4.2000000000000003E-2</v>
      </c>
      <c r="AS878">
        <v>4.3999999999999997E-2</v>
      </c>
      <c r="AT878">
        <v>4.7E-2</v>
      </c>
      <c r="AU878">
        <v>4.9000000000000002E-2</v>
      </c>
      <c r="AV878">
        <v>5.0999999999999997E-2</v>
      </c>
      <c r="AW878">
        <v>5.2999999999999999E-2</v>
      </c>
      <c r="AX878">
        <v>5.5E-2</v>
      </c>
      <c r="AY878">
        <v>2012</v>
      </c>
    </row>
    <row r="879" spans="1:51" x14ac:dyDescent="0.25">
      <c r="A879">
        <v>869</v>
      </c>
      <c r="B879" t="s">
        <v>835</v>
      </c>
      <c r="C879" t="s">
        <v>289</v>
      </c>
      <c r="D879" t="s">
        <v>222</v>
      </c>
      <c r="E879" t="s">
        <v>287</v>
      </c>
      <c r="F879" t="s">
        <v>290</v>
      </c>
      <c r="G879" t="s">
        <v>291</v>
      </c>
      <c r="H879" t="s">
        <v>283</v>
      </c>
      <c r="I879" t="s">
        <v>292</v>
      </c>
      <c r="J879" t="s">
        <v>285</v>
      </c>
      <c r="K879" t="s">
        <v>285</v>
      </c>
      <c r="L879" t="s">
        <v>285</v>
      </c>
      <c r="M879" t="s">
        <v>285</v>
      </c>
      <c r="N879" t="s">
        <v>285</v>
      </c>
      <c r="O879" t="s">
        <v>285</v>
      </c>
      <c r="P879" t="s">
        <v>285</v>
      </c>
      <c r="Q879" t="s">
        <v>285</v>
      </c>
      <c r="R879" t="s">
        <v>285</v>
      </c>
      <c r="S879" t="s">
        <v>285</v>
      </c>
      <c r="T879" t="s">
        <v>285</v>
      </c>
      <c r="U879" t="s">
        <v>285</v>
      </c>
      <c r="V879" t="s">
        <v>285</v>
      </c>
      <c r="W879" t="s">
        <v>285</v>
      </c>
      <c r="X879" t="s">
        <v>285</v>
      </c>
      <c r="Y879" t="s">
        <v>285</v>
      </c>
      <c r="Z879" t="s">
        <v>285</v>
      </c>
      <c r="AA879" t="s">
        <v>285</v>
      </c>
      <c r="AB879" t="s">
        <v>285</v>
      </c>
      <c r="AC879" t="s">
        <v>285</v>
      </c>
      <c r="AD879">
        <v>1.4E-2</v>
      </c>
      <c r="AE879">
        <v>1.2999999999999999E-2</v>
      </c>
      <c r="AF879">
        <v>1.6E-2</v>
      </c>
      <c r="AG879">
        <v>1.7999999999999999E-2</v>
      </c>
      <c r="AH879">
        <v>2.1999999999999999E-2</v>
      </c>
      <c r="AI879">
        <v>2.1999999999999999E-2</v>
      </c>
      <c r="AJ879">
        <v>2.3E-2</v>
      </c>
      <c r="AK879">
        <v>2.7E-2</v>
      </c>
      <c r="AL879">
        <v>3.1E-2</v>
      </c>
      <c r="AM879">
        <v>2.8000000000000001E-2</v>
      </c>
      <c r="AN879">
        <v>3.2000000000000001E-2</v>
      </c>
      <c r="AO879">
        <v>3.9E-2</v>
      </c>
      <c r="AP879">
        <v>0.04</v>
      </c>
      <c r="AQ879">
        <v>3.7999999999999999E-2</v>
      </c>
      <c r="AR879">
        <v>3.7999999999999999E-2</v>
      </c>
      <c r="AS879">
        <v>3.4000000000000002E-2</v>
      </c>
      <c r="AT879">
        <v>3.5000000000000003E-2</v>
      </c>
      <c r="AU879">
        <v>3.5999999999999997E-2</v>
      </c>
      <c r="AV879">
        <v>3.6999999999999998E-2</v>
      </c>
      <c r="AW879">
        <v>3.7999999999999999E-2</v>
      </c>
      <c r="AX879">
        <v>3.9E-2</v>
      </c>
      <c r="AY879">
        <v>2012</v>
      </c>
    </row>
    <row r="880" spans="1:51" x14ac:dyDescent="0.25">
      <c r="A880">
        <v>869</v>
      </c>
      <c r="B880" t="s">
        <v>835</v>
      </c>
      <c r="C880" t="s">
        <v>293</v>
      </c>
      <c r="D880" t="s">
        <v>222</v>
      </c>
      <c r="E880" t="s">
        <v>294</v>
      </c>
      <c r="F880" t="s">
        <v>295</v>
      </c>
      <c r="G880" t="s">
        <v>296</v>
      </c>
      <c r="I880" t="s">
        <v>297</v>
      </c>
      <c r="J880" t="s">
        <v>285</v>
      </c>
      <c r="K880" t="s">
        <v>285</v>
      </c>
      <c r="L880" t="s">
        <v>285</v>
      </c>
      <c r="M880" t="s">
        <v>285</v>
      </c>
      <c r="N880" t="s">
        <v>285</v>
      </c>
      <c r="O880" t="s">
        <v>285</v>
      </c>
      <c r="P880" t="s">
        <v>285</v>
      </c>
      <c r="Q880" t="s">
        <v>285</v>
      </c>
      <c r="R880" t="s">
        <v>285</v>
      </c>
      <c r="S880" t="s">
        <v>285</v>
      </c>
      <c r="T880" t="s">
        <v>285</v>
      </c>
      <c r="U880" t="s">
        <v>285</v>
      </c>
      <c r="V880" t="s">
        <v>285</v>
      </c>
      <c r="W880" t="s">
        <v>285</v>
      </c>
      <c r="X880" t="s">
        <v>285</v>
      </c>
      <c r="Y880" t="s">
        <v>285</v>
      </c>
      <c r="Z880" t="s">
        <v>285</v>
      </c>
      <c r="AA880" t="s">
        <v>285</v>
      </c>
      <c r="AB880" t="s">
        <v>285</v>
      </c>
      <c r="AC880" t="s">
        <v>285</v>
      </c>
      <c r="AD880">
        <v>83.900999999999996</v>
      </c>
      <c r="AE880">
        <v>88.981999999999999</v>
      </c>
      <c r="AF880">
        <v>92</v>
      </c>
      <c r="AG880">
        <v>94.001000000000005</v>
      </c>
      <c r="AH880">
        <v>99.326999999999998</v>
      </c>
      <c r="AI880">
        <v>100</v>
      </c>
      <c r="AJ880">
        <v>104.116</v>
      </c>
      <c r="AK880">
        <v>103.98099999999999</v>
      </c>
      <c r="AL880">
        <v>107.64700000000001</v>
      </c>
      <c r="AM880">
        <v>108.389</v>
      </c>
      <c r="AN880">
        <v>111.261</v>
      </c>
      <c r="AO880">
        <v>112.696</v>
      </c>
      <c r="AP880">
        <v>113.672</v>
      </c>
      <c r="AQ880">
        <v>115.667</v>
      </c>
      <c r="AR880">
        <v>118.742</v>
      </c>
      <c r="AS880">
        <v>122.23099999999999</v>
      </c>
      <c r="AT880">
        <v>124.57599999999999</v>
      </c>
      <c r="AU880">
        <v>127.28700000000001</v>
      </c>
      <c r="AV880">
        <v>129.83799999999999</v>
      </c>
      <c r="AW880">
        <v>132.22800000000001</v>
      </c>
      <c r="AX880">
        <v>134.36500000000001</v>
      </c>
      <c r="AY880">
        <v>2012</v>
      </c>
    </row>
    <row r="881" spans="1:51" x14ac:dyDescent="0.25">
      <c r="A881">
        <v>869</v>
      </c>
      <c r="B881" t="s">
        <v>835</v>
      </c>
      <c r="C881" t="s">
        <v>298</v>
      </c>
      <c r="D881" t="s">
        <v>222</v>
      </c>
      <c r="E881" t="s">
        <v>299</v>
      </c>
      <c r="F881" t="s">
        <v>300</v>
      </c>
      <c r="G881" t="s">
        <v>282</v>
      </c>
      <c r="H881" t="s">
        <v>283</v>
      </c>
      <c r="I881" t="s">
        <v>837</v>
      </c>
      <c r="J881" t="s">
        <v>285</v>
      </c>
      <c r="K881" t="s">
        <v>285</v>
      </c>
      <c r="L881" t="s">
        <v>285</v>
      </c>
      <c r="M881" t="s">
        <v>285</v>
      </c>
      <c r="N881" t="s">
        <v>285</v>
      </c>
      <c r="O881" t="s">
        <v>285</v>
      </c>
      <c r="P881" t="s">
        <v>285</v>
      </c>
      <c r="Q881" t="s">
        <v>285</v>
      </c>
      <c r="R881" t="s">
        <v>285</v>
      </c>
      <c r="S881" t="s">
        <v>285</v>
      </c>
      <c r="T881" t="s">
        <v>285</v>
      </c>
      <c r="U881" t="s">
        <v>285</v>
      </c>
      <c r="V881" t="s">
        <v>285</v>
      </c>
      <c r="W881" t="s">
        <v>285</v>
      </c>
      <c r="X881" t="s">
        <v>285</v>
      </c>
      <c r="Y881" t="s">
        <v>285</v>
      </c>
      <c r="Z881" t="s">
        <v>285</v>
      </c>
      <c r="AA881" t="s">
        <v>285</v>
      </c>
      <c r="AB881" t="s">
        <v>285</v>
      </c>
      <c r="AC881" t="s">
        <v>285</v>
      </c>
      <c r="AD881" t="s">
        <v>285</v>
      </c>
      <c r="AE881" t="s">
        <v>285</v>
      </c>
      <c r="AF881" t="s">
        <v>285</v>
      </c>
      <c r="AG881" t="s">
        <v>285</v>
      </c>
      <c r="AH881">
        <v>2.3E-2</v>
      </c>
      <c r="AI881">
        <v>2.5000000000000001E-2</v>
      </c>
      <c r="AJ881">
        <v>3.2000000000000001E-2</v>
      </c>
      <c r="AK881">
        <v>0.03</v>
      </c>
      <c r="AL881">
        <v>3.2000000000000001E-2</v>
      </c>
      <c r="AM881">
        <v>3.5999999999999997E-2</v>
      </c>
      <c r="AN881">
        <v>3.3000000000000002E-2</v>
      </c>
      <c r="AO881">
        <v>0.03</v>
      </c>
      <c r="AP881">
        <v>2.9000000000000001E-2</v>
      </c>
      <c r="AQ881">
        <v>3.2000000000000001E-2</v>
      </c>
      <c r="AR881">
        <v>3.5999999999999997E-2</v>
      </c>
      <c r="AS881">
        <v>5.6000000000000001E-2</v>
      </c>
      <c r="AT881">
        <v>4.4999999999999998E-2</v>
      </c>
      <c r="AU881">
        <v>4.3999999999999997E-2</v>
      </c>
      <c r="AV881">
        <v>4.3999999999999997E-2</v>
      </c>
      <c r="AW881">
        <v>4.3999999999999997E-2</v>
      </c>
      <c r="AX881">
        <v>4.4999999999999998E-2</v>
      </c>
      <c r="AY881">
        <v>2013</v>
      </c>
    </row>
    <row r="882" spans="1:51" x14ac:dyDescent="0.25">
      <c r="A882">
        <v>746</v>
      </c>
      <c r="B882" t="s">
        <v>838</v>
      </c>
      <c r="C882" t="s">
        <v>279</v>
      </c>
      <c r="D882" t="s">
        <v>223</v>
      </c>
      <c r="E882" t="s">
        <v>280</v>
      </c>
      <c r="F882" t="s">
        <v>281</v>
      </c>
      <c r="G882" t="s">
        <v>282</v>
      </c>
      <c r="H882" t="s">
        <v>283</v>
      </c>
      <c r="I882" t="s">
        <v>839</v>
      </c>
      <c r="J882" s="21">
        <v>7717.1409999999996</v>
      </c>
      <c r="K882" s="21">
        <v>8014.9740000000002</v>
      </c>
      <c r="L882" s="21">
        <v>8672.5660000000007</v>
      </c>
      <c r="M882" s="21">
        <v>9097.4529999999995</v>
      </c>
      <c r="N882" s="21">
        <v>8824.5290000000005</v>
      </c>
      <c r="O882" s="21">
        <v>8559.7929999999997</v>
      </c>
      <c r="P882" s="21">
        <v>8640.7929999999997</v>
      </c>
      <c r="Q882" s="21">
        <v>8986.4249999999993</v>
      </c>
      <c r="R882" s="21">
        <v>9731.7929999999997</v>
      </c>
      <c r="S882" s="21">
        <v>10354.948</v>
      </c>
      <c r="T882" s="21">
        <v>11027.752</v>
      </c>
      <c r="U882" s="21">
        <v>11223.870999999999</v>
      </c>
      <c r="V882" s="21">
        <v>11535.842000000001</v>
      </c>
      <c r="W882" s="21">
        <v>12486.617</v>
      </c>
      <c r="X882" s="21">
        <v>13289.182000000001</v>
      </c>
      <c r="Y882" s="21">
        <v>14789.866</v>
      </c>
      <c r="Z882" s="21">
        <v>16136.022000000001</v>
      </c>
      <c r="AA882" s="21">
        <v>17018.953000000001</v>
      </c>
      <c r="AB882" s="21">
        <v>17667.043000000001</v>
      </c>
      <c r="AC882" s="21">
        <v>19108.473000000002</v>
      </c>
      <c r="AD882" s="21">
        <v>20147.362000000001</v>
      </c>
      <c r="AE882" s="21">
        <v>21913.373</v>
      </c>
      <c r="AF882" s="21">
        <v>23459.786</v>
      </c>
      <c r="AG882" s="21">
        <v>24904.643</v>
      </c>
      <c r="AH882" s="21">
        <v>26349.944</v>
      </c>
      <c r="AI882" s="21">
        <v>28986.892</v>
      </c>
      <c r="AJ882" s="21">
        <v>31030.282999999999</v>
      </c>
      <c r="AK882" s="21">
        <v>33532.521000000001</v>
      </c>
      <c r="AL882" s="21">
        <v>37029.290999999997</v>
      </c>
      <c r="AM882" s="21">
        <v>40017.123</v>
      </c>
      <c r="AN882" s="21">
        <v>43084.942000000003</v>
      </c>
      <c r="AO882" s="21">
        <v>46023.610999999997</v>
      </c>
      <c r="AP882" s="21">
        <v>47233.063999999998</v>
      </c>
      <c r="AQ882" s="21">
        <v>49070.491000000002</v>
      </c>
      <c r="AR882" s="21">
        <v>51413.813999999998</v>
      </c>
      <c r="AS882" s="21">
        <v>54084.836000000003</v>
      </c>
      <c r="AT882" s="21">
        <v>57036.000999999997</v>
      </c>
      <c r="AU882" s="21">
        <v>60347.373</v>
      </c>
      <c r="AV882" s="21">
        <v>64014.894999999997</v>
      </c>
      <c r="AW882" s="21">
        <v>67991.05</v>
      </c>
      <c r="AX882" s="21">
        <v>72374.982000000004</v>
      </c>
      <c r="AY882">
        <v>2013</v>
      </c>
    </row>
    <row r="883" spans="1:51" x14ac:dyDescent="0.25">
      <c r="A883">
        <v>746</v>
      </c>
      <c r="B883" t="s">
        <v>838</v>
      </c>
      <c r="C883" t="s">
        <v>286</v>
      </c>
      <c r="D883" t="s">
        <v>223</v>
      </c>
      <c r="E883" t="s">
        <v>287</v>
      </c>
      <c r="F883" t="s">
        <v>288</v>
      </c>
      <c r="G883" t="s">
        <v>282</v>
      </c>
      <c r="H883" t="s">
        <v>283</v>
      </c>
      <c r="I883" t="s">
        <v>839</v>
      </c>
      <c r="J883">
        <v>1.665</v>
      </c>
      <c r="K883">
        <v>2.6960000000000002</v>
      </c>
      <c r="L883">
        <v>4.3650000000000002</v>
      </c>
      <c r="M883">
        <v>6.4189999999999996</v>
      </c>
      <c r="N883">
        <v>12.618</v>
      </c>
      <c r="O883">
        <v>25.603999999999999</v>
      </c>
      <c r="P883">
        <v>54.517000000000003</v>
      </c>
      <c r="Q883">
        <v>159.69399999999999</v>
      </c>
      <c r="R883">
        <v>501.28899999999999</v>
      </c>
      <c r="S883" s="21">
        <v>1148.7919999999999</v>
      </c>
      <c r="T883" s="21">
        <v>1765.8720000000001</v>
      </c>
      <c r="U883" s="21">
        <v>2121.047</v>
      </c>
      <c r="V883" s="21">
        <v>3184.9879999999998</v>
      </c>
      <c r="W883" s="21">
        <v>4480.7190000000001</v>
      </c>
      <c r="X883" s="21">
        <v>5075.1310000000003</v>
      </c>
      <c r="Y883" s="21">
        <v>6260.6120000000001</v>
      </c>
      <c r="Z883" s="21">
        <v>7169.9120000000003</v>
      </c>
      <c r="AA883" s="21">
        <v>7794.5770000000002</v>
      </c>
      <c r="AB883" s="21">
        <v>9093.2790000000005</v>
      </c>
      <c r="AC883" s="21">
        <v>9840.6610000000001</v>
      </c>
      <c r="AD883" s="21">
        <v>11267.922</v>
      </c>
      <c r="AE883" s="21">
        <v>12151.951999999999</v>
      </c>
      <c r="AF883" s="21">
        <v>13379.364</v>
      </c>
      <c r="AG883" s="21">
        <v>15135.578</v>
      </c>
      <c r="AH883" s="21">
        <v>17191.931</v>
      </c>
      <c r="AI883" s="21">
        <v>19600.309000000001</v>
      </c>
      <c r="AJ883" s="21">
        <v>22572.291000000001</v>
      </c>
      <c r="AK883" s="21">
        <v>26196.727999999999</v>
      </c>
      <c r="AL883" s="21">
        <v>31291.844000000001</v>
      </c>
      <c r="AM883" s="21">
        <v>37725.146999999997</v>
      </c>
      <c r="AN883" s="21">
        <v>44012.101000000002</v>
      </c>
      <c r="AO883" s="21">
        <v>53248.925999999999</v>
      </c>
      <c r="AP883" s="21">
        <v>61662.351000000002</v>
      </c>
      <c r="AQ883" s="21">
        <v>66155.626000000004</v>
      </c>
      <c r="AR883" s="21">
        <v>71794.774999999994</v>
      </c>
      <c r="AS883" s="21">
        <v>79829.209000000003</v>
      </c>
      <c r="AT883" s="21">
        <v>88626.68</v>
      </c>
      <c r="AU883" s="21">
        <v>97569.577999999994</v>
      </c>
      <c r="AV883" s="21">
        <v>107686.444</v>
      </c>
      <c r="AW883" s="21">
        <v>119065.236</v>
      </c>
      <c r="AX883" s="21">
        <v>132005.55900000001</v>
      </c>
      <c r="AY883">
        <v>2013</v>
      </c>
    </row>
    <row r="884" spans="1:51" x14ac:dyDescent="0.25">
      <c r="A884">
        <v>746</v>
      </c>
      <c r="B884" t="s">
        <v>838</v>
      </c>
      <c r="C884" t="s">
        <v>289</v>
      </c>
      <c r="D884" t="s">
        <v>223</v>
      </c>
      <c r="E884" t="s">
        <v>287</v>
      </c>
      <c r="F884" t="s">
        <v>290</v>
      </c>
      <c r="G884" t="s">
        <v>291</v>
      </c>
      <c r="H884" t="s">
        <v>283</v>
      </c>
      <c r="I884" t="s">
        <v>292</v>
      </c>
      <c r="J884">
        <v>5.55</v>
      </c>
      <c r="K884">
        <v>8.9860000000000007</v>
      </c>
      <c r="L884">
        <v>6.2350000000000003</v>
      </c>
      <c r="M884">
        <v>7.1319999999999997</v>
      </c>
      <c r="N884">
        <v>5.4859999999999998</v>
      </c>
      <c r="O884">
        <v>5.0199999999999996</v>
      </c>
      <c r="P884">
        <v>5.0019999999999998</v>
      </c>
      <c r="Q884">
        <v>8.0649999999999995</v>
      </c>
      <c r="R884">
        <v>8.3550000000000004</v>
      </c>
      <c r="S884">
        <v>6.774</v>
      </c>
      <c r="T884">
        <v>5.5250000000000004</v>
      </c>
      <c r="U884">
        <v>2.2080000000000002</v>
      </c>
      <c r="V884">
        <v>3.3149999999999999</v>
      </c>
      <c r="W884">
        <v>3.7280000000000002</v>
      </c>
      <c r="X884">
        <v>4.6020000000000003</v>
      </c>
      <c r="Y884">
        <v>6.7140000000000004</v>
      </c>
      <c r="Z884">
        <v>7.0789999999999997</v>
      </c>
      <c r="AA884">
        <v>7.367</v>
      </c>
      <c r="AB884">
        <v>7.91</v>
      </c>
      <c r="AC884">
        <v>7.2249999999999996</v>
      </c>
      <c r="AD884">
        <v>6.8520000000000003</v>
      </c>
      <c r="AE884">
        <v>6.9219999999999997</v>
      </c>
      <c r="AF884">
        <v>7.4429999999999996</v>
      </c>
      <c r="AG884">
        <v>7.7080000000000002</v>
      </c>
      <c r="AH884">
        <v>9.4969999999999999</v>
      </c>
      <c r="AI884">
        <v>11.007</v>
      </c>
      <c r="AJ884">
        <v>12.324999999999999</v>
      </c>
      <c r="AK884">
        <v>15.2</v>
      </c>
      <c r="AL884">
        <v>18.187999999999999</v>
      </c>
      <c r="AM884">
        <v>18.579000000000001</v>
      </c>
      <c r="AN884">
        <v>20.212</v>
      </c>
      <c r="AO884">
        <v>21.108000000000001</v>
      </c>
      <c r="AP884">
        <v>24.62</v>
      </c>
      <c r="AQ884">
        <v>25.573</v>
      </c>
      <c r="AR884">
        <v>27.616</v>
      </c>
      <c r="AS884">
        <v>24.943000000000001</v>
      </c>
      <c r="AT884">
        <v>26.631</v>
      </c>
      <c r="AU884">
        <v>29.257999999999999</v>
      </c>
      <c r="AV884">
        <v>31.577000000000002</v>
      </c>
      <c r="AW884">
        <v>34.188000000000002</v>
      </c>
      <c r="AX884">
        <v>37.688000000000002</v>
      </c>
      <c r="AY884">
        <v>2013</v>
      </c>
    </row>
    <row r="885" spans="1:51" x14ac:dyDescent="0.25">
      <c r="A885">
        <v>746</v>
      </c>
      <c r="B885" t="s">
        <v>838</v>
      </c>
      <c r="C885" t="s">
        <v>293</v>
      </c>
      <c r="D885" t="s">
        <v>223</v>
      </c>
      <c r="E885" t="s">
        <v>294</v>
      </c>
      <c r="F885" t="s">
        <v>295</v>
      </c>
      <c r="G885" t="s">
        <v>296</v>
      </c>
      <c r="I885" t="s">
        <v>297</v>
      </c>
      <c r="J885">
        <v>2.1999999999999999E-2</v>
      </c>
      <c r="K885">
        <v>3.4000000000000002E-2</v>
      </c>
      <c r="L885">
        <v>0.05</v>
      </c>
      <c r="M885">
        <v>7.0999999999999994E-2</v>
      </c>
      <c r="N885">
        <v>0.14299999999999999</v>
      </c>
      <c r="O885">
        <v>0.29899999999999999</v>
      </c>
      <c r="P885">
        <v>0.63100000000000001</v>
      </c>
      <c r="Q885">
        <v>1.7769999999999999</v>
      </c>
      <c r="R885">
        <v>5.1509999999999998</v>
      </c>
      <c r="S885">
        <v>11.093999999999999</v>
      </c>
      <c r="T885">
        <v>16.013000000000002</v>
      </c>
      <c r="U885">
        <v>18.898</v>
      </c>
      <c r="V885">
        <v>27.609000000000002</v>
      </c>
      <c r="W885">
        <v>35.884</v>
      </c>
      <c r="X885">
        <v>38.19</v>
      </c>
      <c r="Y885">
        <v>42.33</v>
      </c>
      <c r="Z885">
        <v>44.433999999999997</v>
      </c>
      <c r="AA885">
        <v>45.798999999999999</v>
      </c>
      <c r="AB885">
        <v>51.47</v>
      </c>
      <c r="AC885">
        <v>51.499000000000002</v>
      </c>
      <c r="AD885">
        <v>55.927999999999997</v>
      </c>
      <c r="AE885">
        <v>55.454999999999998</v>
      </c>
      <c r="AF885">
        <v>57.030999999999999</v>
      </c>
      <c r="AG885">
        <v>60.774000000000001</v>
      </c>
      <c r="AH885">
        <v>65.245000000000005</v>
      </c>
      <c r="AI885">
        <v>67.617999999999995</v>
      </c>
      <c r="AJ885">
        <v>72.742999999999995</v>
      </c>
      <c r="AK885">
        <v>78.123000000000005</v>
      </c>
      <c r="AL885">
        <v>84.506</v>
      </c>
      <c r="AM885">
        <v>94.272999999999996</v>
      </c>
      <c r="AN885">
        <v>102.152</v>
      </c>
      <c r="AO885">
        <v>115.699</v>
      </c>
      <c r="AP885">
        <v>130.54900000000001</v>
      </c>
      <c r="AQ885">
        <v>134.81800000000001</v>
      </c>
      <c r="AR885">
        <v>139.64099999999999</v>
      </c>
      <c r="AS885">
        <v>147.6</v>
      </c>
      <c r="AT885">
        <v>155.387</v>
      </c>
      <c r="AU885">
        <v>161.68</v>
      </c>
      <c r="AV885">
        <v>168.221</v>
      </c>
      <c r="AW885">
        <v>175.119</v>
      </c>
      <c r="AX885">
        <v>182.39099999999999</v>
      </c>
      <c r="AY885">
        <v>2013</v>
      </c>
    </row>
    <row r="886" spans="1:51" x14ac:dyDescent="0.25">
      <c r="A886">
        <v>746</v>
      </c>
      <c r="B886" t="s">
        <v>838</v>
      </c>
      <c r="C886" t="s">
        <v>298</v>
      </c>
      <c r="D886" t="s">
        <v>223</v>
      </c>
      <c r="E886" t="s">
        <v>299</v>
      </c>
      <c r="F886" t="s">
        <v>300</v>
      </c>
      <c r="G886" t="s">
        <v>282</v>
      </c>
      <c r="H886" t="s">
        <v>283</v>
      </c>
      <c r="I886" t="s">
        <v>840</v>
      </c>
      <c r="J886" t="s">
        <v>285</v>
      </c>
      <c r="K886" t="s">
        <v>285</v>
      </c>
      <c r="L886" t="s">
        <v>285</v>
      </c>
      <c r="M886" t="s">
        <v>285</v>
      </c>
      <c r="N886" t="s">
        <v>285</v>
      </c>
      <c r="O886" t="s">
        <v>285</v>
      </c>
      <c r="P886" t="s">
        <v>285</v>
      </c>
      <c r="Q886" t="s">
        <v>285</v>
      </c>
      <c r="R886" t="s">
        <v>285</v>
      </c>
      <c r="S886" t="s">
        <v>285</v>
      </c>
      <c r="T886" t="s">
        <v>285</v>
      </c>
      <c r="U886" t="s">
        <v>285</v>
      </c>
      <c r="V886" t="s">
        <v>285</v>
      </c>
      <c r="W886" t="s">
        <v>285</v>
      </c>
      <c r="X886" t="s">
        <v>285</v>
      </c>
      <c r="Y886" t="s">
        <v>285</v>
      </c>
      <c r="Z886" t="s">
        <v>285</v>
      </c>
      <c r="AA886" s="21">
        <v>1262.1590000000001</v>
      </c>
      <c r="AB886" s="21">
        <v>1424.145</v>
      </c>
      <c r="AC886" s="21">
        <v>1674.319</v>
      </c>
      <c r="AD886" s="21">
        <v>1942.424</v>
      </c>
      <c r="AE886" s="21">
        <v>2229.2370000000001</v>
      </c>
      <c r="AF886" s="21">
        <v>2538.46</v>
      </c>
      <c r="AG886" s="21">
        <v>2819.8780000000002</v>
      </c>
      <c r="AH886" s="21">
        <v>3034.4580000000001</v>
      </c>
      <c r="AI886" s="21">
        <v>3210.6729999999998</v>
      </c>
      <c r="AJ886" s="21">
        <v>3531.2460000000001</v>
      </c>
      <c r="AK886" s="21">
        <v>3993.6680000000001</v>
      </c>
      <c r="AL886" s="21">
        <v>4993.2550000000001</v>
      </c>
      <c r="AM886" s="21">
        <v>5754.5410000000002</v>
      </c>
      <c r="AN886" s="21">
        <v>8290.0920000000006</v>
      </c>
      <c r="AO886" s="21">
        <v>9140.2039999999997</v>
      </c>
      <c r="AP886" s="21">
        <v>10164.582</v>
      </c>
      <c r="AQ886" s="21">
        <v>11116.242</v>
      </c>
      <c r="AR886" s="21">
        <v>12265.968999999999</v>
      </c>
      <c r="AS886" s="21">
        <v>14960.806</v>
      </c>
      <c r="AT886" s="21">
        <v>17267.499</v>
      </c>
      <c r="AU886" s="21">
        <v>19260.208999999999</v>
      </c>
      <c r="AV886" s="21">
        <v>22362.202000000001</v>
      </c>
      <c r="AW886" s="21">
        <v>25047.393</v>
      </c>
      <c r="AX886" s="21">
        <v>26309.123</v>
      </c>
      <c r="AY886">
        <v>2013</v>
      </c>
    </row>
    <row r="887" spans="1:51" x14ac:dyDescent="0.25">
      <c r="A887">
        <v>926</v>
      </c>
      <c r="B887" t="s">
        <v>841</v>
      </c>
      <c r="C887" t="s">
        <v>279</v>
      </c>
      <c r="D887" t="s">
        <v>224</v>
      </c>
      <c r="E887" t="s">
        <v>280</v>
      </c>
      <c r="F887" t="s">
        <v>281</v>
      </c>
      <c r="G887" t="s">
        <v>282</v>
      </c>
      <c r="H887" t="s">
        <v>283</v>
      </c>
      <c r="I887" t="s">
        <v>842</v>
      </c>
      <c r="J887" t="s">
        <v>285</v>
      </c>
      <c r="K887" t="s">
        <v>285</v>
      </c>
      <c r="L887" t="s">
        <v>285</v>
      </c>
      <c r="M887" t="s">
        <v>285</v>
      </c>
      <c r="N887" t="s">
        <v>285</v>
      </c>
      <c r="O887" t="s">
        <v>285</v>
      </c>
      <c r="P887" t="s">
        <v>285</v>
      </c>
      <c r="Q887" t="s">
        <v>285</v>
      </c>
      <c r="R887" t="s">
        <v>285</v>
      </c>
      <c r="S887" t="s">
        <v>285</v>
      </c>
      <c r="T887" t="s">
        <v>285</v>
      </c>
      <c r="U887" t="s">
        <v>285</v>
      </c>
      <c r="V887" s="21">
        <v>1401.365</v>
      </c>
      <c r="W887" s="21">
        <v>1193.972</v>
      </c>
      <c r="X887">
        <v>922.15300000000002</v>
      </c>
      <c r="Y887">
        <v>810.18299999999999</v>
      </c>
      <c r="Z887">
        <v>730.37099999999998</v>
      </c>
      <c r="AA887">
        <v>707.178</v>
      </c>
      <c r="AB887">
        <v>694.34</v>
      </c>
      <c r="AC887">
        <v>692.93399999999997</v>
      </c>
      <c r="AD887">
        <v>734.03700000000003</v>
      </c>
      <c r="AE887">
        <v>801.77</v>
      </c>
      <c r="AF887">
        <v>844.58199999999999</v>
      </c>
      <c r="AG887">
        <v>924.95699999999999</v>
      </c>
      <c r="AH887" s="21">
        <v>1034.059</v>
      </c>
      <c r="AI887" s="21">
        <v>1065.818</v>
      </c>
      <c r="AJ887" s="21">
        <v>1146.5150000000001</v>
      </c>
      <c r="AK887" s="21">
        <v>1240.711</v>
      </c>
      <c r="AL887" s="21">
        <v>1268.546</v>
      </c>
      <c r="AM887" s="21">
        <v>1076.5329999999999</v>
      </c>
      <c r="AN887" s="21">
        <v>1079.346</v>
      </c>
      <c r="AO887" s="21">
        <v>1138.338</v>
      </c>
      <c r="AP887" s="21">
        <v>1141.0550000000001</v>
      </c>
      <c r="AQ887" s="21">
        <v>1140.75</v>
      </c>
      <c r="AR887" s="21">
        <v>1062.835</v>
      </c>
      <c r="AS887">
        <v>966.67</v>
      </c>
      <c r="AT887">
        <v>985.66700000000003</v>
      </c>
      <c r="AU887" s="21">
        <v>1020.112</v>
      </c>
      <c r="AV887" s="21">
        <v>1060.558</v>
      </c>
      <c r="AW887" s="21">
        <v>1102.8520000000001</v>
      </c>
      <c r="AX887" s="21">
        <v>1147.4259999999999</v>
      </c>
      <c r="AY887">
        <v>2015</v>
      </c>
    </row>
    <row r="888" spans="1:51" x14ac:dyDescent="0.25">
      <c r="A888">
        <v>926</v>
      </c>
      <c r="B888" t="s">
        <v>841</v>
      </c>
      <c r="C888" t="s">
        <v>286</v>
      </c>
      <c r="D888" t="s">
        <v>224</v>
      </c>
      <c r="E888" t="s">
        <v>287</v>
      </c>
      <c r="F888" t="s">
        <v>288</v>
      </c>
      <c r="G888" t="s">
        <v>282</v>
      </c>
      <c r="H888" t="s">
        <v>283</v>
      </c>
      <c r="I888" t="s">
        <v>842</v>
      </c>
      <c r="J888" t="s">
        <v>285</v>
      </c>
      <c r="K888" t="s">
        <v>285</v>
      </c>
      <c r="L888" t="s">
        <v>285</v>
      </c>
      <c r="M888" t="s">
        <v>285</v>
      </c>
      <c r="N888" t="s">
        <v>285</v>
      </c>
      <c r="O888" t="s">
        <v>285</v>
      </c>
      <c r="P888" t="s">
        <v>285</v>
      </c>
      <c r="Q888" t="s">
        <v>285</v>
      </c>
      <c r="R888" t="s">
        <v>285</v>
      </c>
      <c r="S888" t="s">
        <v>285</v>
      </c>
      <c r="T888" t="s">
        <v>285</v>
      </c>
      <c r="U888" t="s">
        <v>285</v>
      </c>
      <c r="V888">
        <v>5.1999999999999998E-2</v>
      </c>
      <c r="W888">
        <v>1.587</v>
      </c>
      <c r="X888">
        <v>12.449</v>
      </c>
      <c r="Y888">
        <v>56.381</v>
      </c>
      <c r="Z888">
        <v>84.308000000000007</v>
      </c>
      <c r="AA888">
        <v>96.558999999999997</v>
      </c>
      <c r="AB888">
        <v>106.10299999999999</v>
      </c>
      <c r="AC888">
        <v>134.904</v>
      </c>
      <c r="AD888">
        <v>175.88800000000001</v>
      </c>
      <c r="AE888">
        <v>211.17500000000001</v>
      </c>
      <c r="AF888">
        <v>234.13800000000001</v>
      </c>
      <c r="AG888">
        <v>277.35500000000002</v>
      </c>
      <c r="AH888">
        <v>357.54399999999998</v>
      </c>
      <c r="AI888">
        <v>457.32499999999999</v>
      </c>
      <c r="AJ888">
        <v>565.01800000000003</v>
      </c>
      <c r="AK888">
        <v>751.10599999999999</v>
      </c>
      <c r="AL888">
        <v>990.81899999999996</v>
      </c>
      <c r="AM888">
        <v>947.04200000000003</v>
      </c>
      <c r="AN888" s="21">
        <v>1079.346</v>
      </c>
      <c r="AO888" s="21">
        <v>1299.991</v>
      </c>
      <c r="AP888" s="21">
        <v>1404.6690000000001</v>
      </c>
      <c r="AQ888" s="21">
        <v>1465.1980000000001</v>
      </c>
      <c r="AR888" s="21">
        <v>1566.7280000000001</v>
      </c>
      <c r="AS888" s="21">
        <v>1980.741</v>
      </c>
      <c r="AT888" s="21">
        <v>2261.886</v>
      </c>
      <c r="AU888" s="21">
        <v>2571.9250000000002</v>
      </c>
      <c r="AV888" s="21">
        <v>2888.1909999999998</v>
      </c>
      <c r="AW888" s="21">
        <v>3183.2649999999999</v>
      </c>
      <c r="AX888" s="21">
        <v>3510.297</v>
      </c>
      <c r="AY888">
        <v>2015</v>
      </c>
    </row>
    <row r="889" spans="1:51" x14ac:dyDescent="0.25">
      <c r="A889">
        <v>926</v>
      </c>
      <c r="B889" t="s">
        <v>841</v>
      </c>
      <c r="C889" t="s">
        <v>289</v>
      </c>
      <c r="D889" t="s">
        <v>224</v>
      </c>
      <c r="E889" t="s">
        <v>287</v>
      </c>
      <c r="F889" t="s">
        <v>290</v>
      </c>
      <c r="G889" t="s">
        <v>291</v>
      </c>
      <c r="H889" t="s">
        <v>283</v>
      </c>
      <c r="I889" t="s">
        <v>292</v>
      </c>
      <c r="J889" t="s">
        <v>285</v>
      </c>
      <c r="K889" t="s">
        <v>285</v>
      </c>
      <c r="L889" t="s">
        <v>285</v>
      </c>
      <c r="M889" t="s">
        <v>285</v>
      </c>
      <c r="N889" t="s">
        <v>285</v>
      </c>
      <c r="O889" t="s">
        <v>285</v>
      </c>
      <c r="P889" t="s">
        <v>285</v>
      </c>
      <c r="Q889" t="s">
        <v>285</v>
      </c>
      <c r="R889" t="s">
        <v>285</v>
      </c>
      <c r="S889" t="s">
        <v>285</v>
      </c>
      <c r="T889" t="s">
        <v>285</v>
      </c>
      <c r="U889" t="s">
        <v>285</v>
      </c>
      <c r="V889">
        <v>22.193000000000001</v>
      </c>
      <c r="W889">
        <v>35.024999999999999</v>
      </c>
      <c r="X889">
        <v>38.012</v>
      </c>
      <c r="Y889">
        <v>38.274999999999999</v>
      </c>
      <c r="Z889">
        <v>46.082999999999998</v>
      </c>
      <c r="AA889">
        <v>51.866999999999997</v>
      </c>
      <c r="AB889">
        <v>43.314999999999998</v>
      </c>
      <c r="AC889">
        <v>32.661000000000001</v>
      </c>
      <c r="AD889">
        <v>32.331000000000003</v>
      </c>
      <c r="AE889">
        <v>39.308999999999997</v>
      </c>
      <c r="AF889">
        <v>43.956000000000003</v>
      </c>
      <c r="AG889">
        <v>52.01</v>
      </c>
      <c r="AH889">
        <v>67.225999999999999</v>
      </c>
      <c r="AI889">
        <v>89.281999999999996</v>
      </c>
      <c r="AJ889">
        <v>111.88500000000001</v>
      </c>
      <c r="AK889">
        <v>148.73400000000001</v>
      </c>
      <c r="AL889">
        <v>188.24</v>
      </c>
      <c r="AM889">
        <v>121.55200000000001</v>
      </c>
      <c r="AN889">
        <v>136.011</v>
      </c>
      <c r="AO889">
        <v>163.161</v>
      </c>
      <c r="AP889">
        <v>175.70699999999999</v>
      </c>
      <c r="AQ889">
        <v>179.572</v>
      </c>
      <c r="AR889">
        <v>130.66</v>
      </c>
      <c r="AS889">
        <v>90.138000000000005</v>
      </c>
      <c r="AT889">
        <v>93.811999999999998</v>
      </c>
      <c r="AU889">
        <v>104.307</v>
      </c>
      <c r="AV889">
        <v>115.455</v>
      </c>
      <c r="AW889">
        <v>125.991</v>
      </c>
      <c r="AX889">
        <v>137.85599999999999</v>
      </c>
      <c r="AY889">
        <v>2015</v>
      </c>
    </row>
    <row r="890" spans="1:51" x14ac:dyDescent="0.25">
      <c r="A890">
        <v>926</v>
      </c>
      <c r="B890" t="s">
        <v>841</v>
      </c>
      <c r="C890" t="s">
        <v>293</v>
      </c>
      <c r="D890" t="s">
        <v>224</v>
      </c>
      <c r="E890" t="s">
        <v>294</v>
      </c>
      <c r="F890" t="s">
        <v>295</v>
      </c>
      <c r="G890" t="s">
        <v>296</v>
      </c>
      <c r="I890" t="s">
        <v>297</v>
      </c>
      <c r="J890" t="s">
        <v>285</v>
      </c>
      <c r="K890" t="s">
        <v>285</v>
      </c>
      <c r="L890" t="s">
        <v>285</v>
      </c>
      <c r="M890" t="s">
        <v>285</v>
      </c>
      <c r="N890" t="s">
        <v>285</v>
      </c>
      <c r="O890" t="s">
        <v>285</v>
      </c>
      <c r="P890" t="s">
        <v>285</v>
      </c>
      <c r="Q890" t="s">
        <v>285</v>
      </c>
      <c r="R890" t="s">
        <v>285</v>
      </c>
      <c r="S890" t="s">
        <v>285</v>
      </c>
      <c r="T890" t="s">
        <v>285</v>
      </c>
      <c r="U890" t="s">
        <v>285</v>
      </c>
      <c r="V890">
        <v>4.0000000000000001E-3</v>
      </c>
      <c r="W890">
        <v>0.13300000000000001</v>
      </c>
      <c r="X890">
        <v>1.35</v>
      </c>
      <c r="Y890">
        <v>6.9589999999999996</v>
      </c>
      <c r="Z890">
        <v>11.542999999999999</v>
      </c>
      <c r="AA890">
        <v>13.654</v>
      </c>
      <c r="AB890">
        <v>15.281000000000001</v>
      </c>
      <c r="AC890">
        <v>19.469000000000001</v>
      </c>
      <c r="AD890">
        <v>23.962</v>
      </c>
      <c r="AE890">
        <v>26.338999999999999</v>
      </c>
      <c r="AF890">
        <v>27.722000000000001</v>
      </c>
      <c r="AG890">
        <v>29.986000000000001</v>
      </c>
      <c r="AH890">
        <v>34.576999999999998</v>
      </c>
      <c r="AI890">
        <v>42.908000000000001</v>
      </c>
      <c r="AJ890">
        <v>49.280999999999999</v>
      </c>
      <c r="AK890">
        <v>60.537999999999997</v>
      </c>
      <c r="AL890">
        <v>78.106999999999999</v>
      </c>
      <c r="AM890">
        <v>87.971000000000004</v>
      </c>
      <c r="AN890">
        <v>100</v>
      </c>
      <c r="AO890">
        <v>114.20099999999999</v>
      </c>
      <c r="AP890">
        <v>123.10299999999999</v>
      </c>
      <c r="AQ890">
        <v>128.44200000000001</v>
      </c>
      <c r="AR890">
        <v>147.41</v>
      </c>
      <c r="AS890">
        <v>204.90299999999999</v>
      </c>
      <c r="AT890">
        <v>229.47800000000001</v>
      </c>
      <c r="AU890">
        <v>252.12200000000001</v>
      </c>
      <c r="AV890">
        <v>272.327</v>
      </c>
      <c r="AW890">
        <v>288.63900000000001</v>
      </c>
      <c r="AX890">
        <v>305.928</v>
      </c>
      <c r="AY890">
        <v>2015</v>
      </c>
    </row>
    <row r="891" spans="1:51" x14ac:dyDescent="0.25">
      <c r="A891">
        <v>926</v>
      </c>
      <c r="B891" t="s">
        <v>841</v>
      </c>
      <c r="C891" t="s">
        <v>298</v>
      </c>
      <c r="D891" t="s">
        <v>224</v>
      </c>
      <c r="E891" t="s">
        <v>299</v>
      </c>
      <c r="F891" t="s">
        <v>300</v>
      </c>
      <c r="G891" t="s">
        <v>282</v>
      </c>
      <c r="H891" t="s">
        <v>283</v>
      </c>
      <c r="I891" t="s">
        <v>843</v>
      </c>
      <c r="J891" t="s">
        <v>285</v>
      </c>
      <c r="K891" t="s">
        <v>285</v>
      </c>
      <c r="L891" t="s">
        <v>285</v>
      </c>
      <c r="M891" t="s">
        <v>285</v>
      </c>
      <c r="N891" t="s">
        <v>285</v>
      </c>
      <c r="O891" t="s">
        <v>285</v>
      </c>
      <c r="P891" t="s">
        <v>285</v>
      </c>
      <c r="Q891" t="s">
        <v>285</v>
      </c>
      <c r="R891" t="s">
        <v>285</v>
      </c>
      <c r="S891" t="s">
        <v>285</v>
      </c>
      <c r="T891" t="s">
        <v>285</v>
      </c>
      <c r="U891" t="s">
        <v>285</v>
      </c>
      <c r="V891" t="s">
        <v>285</v>
      </c>
      <c r="W891" t="s">
        <v>285</v>
      </c>
      <c r="X891" t="s">
        <v>285</v>
      </c>
      <c r="Y891">
        <v>23.28</v>
      </c>
      <c r="Z891">
        <v>31.105</v>
      </c>
      <c r="AA891">
        <v>39.412999999999997</v>
      </c>
      <c r="AB891">
        <v>39.348999999999997</v>
      </c>
      <c r="AC891">
        <v>34.871000000000002</v>
      </c>
      <c r="AD891">
        <v>62.378</v>
      </c>
      <c r="AE891">
        <v>74.600999999999999</v>
      </c>
      <c r="AF891">
        <v>85.433000000000007</v>
      </c>
      <c r="AG891">
        <v>103.871</v>
      </c>
      <c r="AH891">
        <v>143.327</v>
      </c>
      <c r="AI891">
        <v>194.672</v>
      </c>
      <c r="AJ891">
        <v>242.65199999999999</v>
      </c>
      <c r="AK891">
        <v>315.85199999999998</v>
      </c>
      <c r="AL891">
        <v>449.69499999999999</v>
      </c>
      <c r="AM891">
        <v>443.46100000000001</v>
      </c>
      <c r="AN891">
        <v>530.5</v>
      </c>
      <c r="AO891">
        <v>594.1</v>
      </c>
      <c r="AP891">
        <v>687.9</v>
      </c>
      <c r="AQ891">
        <v>704.9</v>
      </c>
      <c r="AR891">
        <v>710.524</v>
      </c>
      <c r="AS891">
        <v>891.06799999999998</v>
      </c>
      <c r="AT891">
        <v>982.71299999999997</v>
      </c>
      <c r="AU891" s="21">
        <v>1107.579</v>
      </c>
      <c r="AV891" s="21">
        <v>1229.376</v>
      </c>
      <c r="AW891" s="21">
        <v>1348.8820000000001</v>
      </c>
      <c r="AX891" s="21">
        <v>1476.0429999999999</v>
      </c>
      <c r="AY891">
        <v>2014</v>
      </c>
    </row>
    <row r="892" spans="1:51" x14ac:dyDescent="0.25">
      <c r="A892">
        <v>466</v>
      </c>
      <c r="B892" t="s">
        <v>844</v>
      </c>
      <c r="C892" t="s">
        <v>279</v>
      </c>
      <c r="D892" t="s">
        <v>225</v>
      </c>
      <c r="E892" t="s">
        <v>280</v>
      </c>
      <c r="F892" t="s">
        <v>281</v>
      </c>
      <c r="G892" t="s">
        <v>282</v>
      </c>
      <c r="H892" t="s">
        <v>283</v>
      </c>
      <c r="I892" t="s">
        <v>845</v>
      </c>
      <c r="J892">
        <v>345.92899999999997</v>
      </c>
      <c r="K892">
        <v>373.68700000000001</v>
      </c>
      <c r="L892">
        <v>346.82499999999999</v>
      </c>
      <c r="M892">
        <v>328.61799999999999</v>
      </c>
      <c r="N892">
        <v>343.24299999999999</v>
      </c>
      <c r="O892">
        <v>334.58699999999999</v>
      </c>
      <c r="P892">
        <v>270.11700000000002</v>
      </c>
      <c r="Q892">
        <v>284.44400000000002</v>
      </c>
      <c r="R892">
        <v>276.98200000000003</v>
      </c>
      <c r="S892">
        <v>320.55900000000003</v>
      </c>
      <c r="T892">
        <v>396.09</v>
      </c>
      <c r="U892">
        <v>404.572</v>
      </c>
      <c r="V892">
        <v>417.09399999999999</v>
      </c>
      <c r="W892">
        <v>416.97399999999999</v>
      </c>
      <c r="X892">
        <v>447.67500000000001</v>
      </c>
      <c r="Y892">
        <v>477.13099999999997</v>
      </c>
      <c r="Z892">
        <v>502.61099999999999</v>
      </c>
      <c r="AA892">
        <v>545.59900000000005</v>
      </c>
      <c r="AB892">
        <v>549.91499999999996</v>
      </c>
      <c r="AC892">
        <v>570.54300000000001</v>
      </c>
      <c r="AD892">
        <v>640.88300000000004</v>
      </c>
      <c r="AE892">
        <v>652.73400000000004</v>
      </c>
      <c r="AF892">
        <v>668.61800000000005</v>
      </c>
      <c r="AG892">
        <v>727.46</v>
      </c>
      <c r="AH892">
        <v>797.05200000000002</v>
      </c>
      <c r="AI892">
        <v>835.75</v>
      </c>
      <c r="AJ892">
        <v>917.96500000000003</v>
      </c>
      <c r="AK892">
        <v>947.197</v>
      </c>
      <c r="AL892">
        <v>977.43</v>
      </c>
      <c r="AM892">
        <v>926.18399999999997</v>
      </c>
      <c r="AN892">
        <v>941.33100000000002</v>
      </c>
      <c r="AO892">
        <v>987.31799999999998</v>
      </c>
      <c r="AP892" s="21">
        <v>1058.625</v>
      </c>
      <c r="AQ892" s="21">
        <v>1104.3720000000001</v>
      </c>
      <c r="AR892" s="21">
        <v>1154.845</v>
      </c>
      <c r="AS892" s="21">
        <v>1189.473</v>
      </c>
      <c r="AT892" s="21">
        <v>1226.7449999999999</v>
      </c>
      <c r="AU892" s="21">
        <v>1266.704</v>
      </c>
      <c r="AV892" s="21">
        <v>1310.4739999999999</v>
      </c>
      <c r="AW892" s="21">
        <v>1358.19</v>
      </c>
      <c r="AX892" s="21">
        <v>1410.0509999999999</v>
      </c>
      <c r="AY892">
        <v>2014</v>
      </c>
    </row>
    <row r="893" spans="1:51" x14ac:dyDescent="0.25">
      <c r="A893">
        <v>466</v>
      </c>
      <c r="B893" t="s">
        <v>844</v>
      </c>
      <c r="C893" t="s">
        <v>286</v>
      </c>
      <c r="D893" t="s">
        <v>225</v>
      </c>
      <c r="E893" t="s">
        <v>287</v>
      </c>
      <c r="F893" t="s">
        <v>288</v>
      </c>
      <c r="G893" t="s">
        <v>282</v>
      </c>
      <c r="H893" t="s">
        <v>283</v>
      </c>
      <c r="I893" t="s">
        <v>845</v>
      </c>
      <c r="J893">
        <v>149.83199999999999</v>
      </c>
      <c r="K893">
        <v>165.202</v>
      </c>
      <c r="L893">
        <v>153.625</v>
      </c>
      <c r="M893">
        <v>140.76400000000001</v>
      </c>
      <c r="N893">
        <v>139.54300000000001</v>
      </c>
      <c r="O893">
        <v>136.964</v>
      </c>
      <c r="P893">
        <v>108.542</v>
      </c>
      <c r="Q893">
        <v>119.18300000000001</v>
      </c>
      <c r="R893">
        <v>121.139</v>
      </c>
      <c r="S893">
        <v>139.82900000000001</v>
      </c>
      <c r="T893">
        <v>180.21</v>
      </c>
      <c r="U893">
        <v>182.892</v>
      </c>
      <c r="V893">
        <v>191.654</v>
      </c>
      <c r="W893">
        <v>196.17099999999999</v>
      </c>
      <c r="X893">
        <v>210.90100000000001</v>
      </c>
      <c r="Y893">
        <v>233.61099999999999</v>
      </c>
      <c r="Z893">
        <v>260.60700000000003</v>
      </c>
      <c r="AA893">
        <v>279.73599999999999</v>
      </c>
      <c r="AB893">
        <v>269.53899999999999</v>
      </c>
      <c r="AC893">
        <v>304.32100000000003</v>
      </c>
      <c r="AD893">
        <v>381.54899999999998</v>
      </c>
      <c r="AE893">
        <v>379.41199999999998</v>
      </c>
      <c r="AF893">
        <v>403.3</v>
      </c>
      <c r="AG893">
        <v>456.66199999999998</v>
      </c>
      <c r="AH893">
        <v>542.88499999999999</v>
      </c>
      <c r="AI893">
        <v>663.31799999999998</v>
      </c>
      <c r="AJ893">
        <v>815.72299999999996</v>
      </c>
      <c r="AK893">
        <v>947.197</v>
      </c>
      <c r="AL893" s="21">
        <v>1158.5809999999999</v>
      </c>
      <c r="AM893">
        <v>931.15300000000002</v>
      </c>
      <c r="AN893" s="21">
        <v>1050.5160000000001</v>
      </c>
      <c r="AO893" s="21">
        <v>1276.0250000000001</v>
      </c>
      <c r="AP893" s="21">
        <v>1371.421</v>
      </c>
      <c r="AQ893" s="21">
        <v>1421.963</v>
      </c>
      <c r="AR893" s="21">
        <v>1466.9849999999999</v>
      </c>
      <c r="AS893" s="21">
        <v>1245.288</v>
      </c>
      <c r="AT893" s="21">
        <v>1308.2159999999999</v>
      </c>
      <c r="AU893" s="21">
        <v>1405.1690000000001</v>
      </c>
      <c r="AV893" s="21">
        <v>1507.277</v>
      </c>
      <c r="AW893" s="21">
        <v>1608.99</v>
      </c>
      <c r="AX893" s="21">
        <v>1722.0440000000001</v>
      </c>
      <c r="AY893">
        <v>2014</v>
      </c>
    </row>
    <row r="894" spans="1:51" x14ac:dyDescent="0.25">
      <c r="A894">
        <v>466</v>
      </c>
      <c r="B894" t="s">
        <v>844</v>
      </c>
      <c r="C894" t="s">
        <v>289</v>
      </c>
      <c r="D894" t="s">
        <v>225</v>
      </c>
      <c r="E894" t="s">
        <v>287</v>
      </c>
      <c r="F894" t="s">
        <v>290</v>
      </c>
      <c r="G894" t="s">
        <v>291</v>
      </c>
      <c r="H894" t="s">
        <v>283</v>
      </c>
      <c r="I894" t="s">
        <v>292</v>
      </c>
      <c r="J894">
        <v>40.414999999999999</v>
      </c>
      <c r="K894">
        <v>45.002000000000002</v>
      </c>
      <c r="L894">
        <v>41.847999999999999</v>
      </c>
      <c r="M894">
        <v>38.344999999999999</v>
      </c>
      <c r="N894">
        <v>38.012</v>
      </c>
      <c r="O894">
        <v>37.31</v>
      </c>
      <c r="P894">
        <v>29.568000000000001</v>
      </c>
      <c r="Q894">
        <v>32.466000000000001</v>
      </c>
      <c r="R894">
        <v>32.999000000000002</v>
      </c>
      <c r="S894">
        <v>38.090000000000003</v>
      </c>
      <c r="T894">
        <v>49.09</v>
      </c>
      <c r="U894">
        <v>49.820999999999998</v>
      </c>
      <c r="V894">
        <v>52.207999999999998</v>
      </c>
      <c r="W894">
        <v>53.438000000000002</v>
      </c>
      <c r="X894">
        <v>57.45</v>
      </c>
      <c r="Y894">
        <v>63.637</v>
      </c>
      <c r="Z894">
        <v>70.991</v>
      </c>
      <c r="AA894">
        <v>76.201999999999998</v>
      </c>
      <c r="AB894">
        <v>73.394000000000005</v>
      </c>
      <c r="AC894">
        <v>82.864999999999995</v>
      </c>
      <c r="AD894">
        <v>103.893</v>
      </c>
      <c r="AE894">
        <v>103.312</v>
      </c>
      <c r="AF894">
        <v>109.816</v>
      </c>
      <c r="AG894">
        <v>124.346</v>
      </c>
      <c r="AH894">
        <v>147.82400000000001</v>
      </c>
      <c r="AI894">
        <v>180.61699999999999</v>
      </c>
      <c r="AJ894">
        <v>222.11699999999999</v>
      </c>
      <c r="AK894">
        <v>257.916</v>
      </c>
      <c r="AL894">
        <v>315.47500000000002</v>
      </c>
      <c r="AM894">
        <v>253.547</v>
      </c>
      <c r="AN894">
        <v>286.04899999999998</v>
      </c>
      <c r="AO894">
        <v>347.45400000000001</v>
      </c>
      <c r="AP894">
        <v>373.43</v>
      </c>
      <c r="AQ894">
        <v>387.19200000000001</v>
      </c>
      <c r="AR894">
        <v>399.45100000000002</v>
      </c>
      <c r="AS894">
        <v>339.08499999999998</v>
      </c>
      <c r="AT894">
        <v>356.21899999999999</v>
      </c>
      <c r="AU894">
        <v>382.61900000000003</v>
      </c>
      <c r="AV894">
        <v>410.42200000000003</v>
      </c>
      <c r="AW894">
        <v>438.11799999999999</v>
      </c>
      <c r="AX894">
        <v>468.90199999999999</v>
      </c>
      <c r="AY894">
        <v>2014</v>
      </c>
    </row>
    <row r="895" spans="1:51" x14ac:dyDescent="0.25">
      <c r="A895">
        <v>466</v>
      </c>
      <c r="B895" t="s">
        <v>844</v>
      </c>
      <c r="C895" t="s">
        <v>293</v>
      </c>
      <c r="D895" t="s">
        <v>225</v>
      </c>
      <c r="E895" t="s">
        <v>294</v>
      </c>
      <c r="F895" t="s">
        <v>295</v>
      </c>
      <c r="G895" t="s">
        <v>296</v>
      </c>
      <c r="I895" t="s">
        <v>297</v>
      </c>
      <c r="J895">
        <v>43.313000000000002</v>
      </c>
      <c r="K895">
        <v>44.209000000000003</v>
      </c>
      <c r="L895">
        <v>44.295000000000002</v>
      </c>
      <c r="M895">
        <v>42.835000000000001</v>
      </c>
      <c r="N895">
        <v>40.654000000000003</v>
      </c>
      <c r="O895">
        <v>40.935000000000002</v>
      </c>
      <c r="P895">
        <v>40.183</v>
      </c>
      <c r="Q895">
        <v>41.9</v>
      </c>
      <c r="R895">
        <v>43.734999999999999</v>
      </c>
      <c r="S895">
        <v>43.62</v>
      </c>
      <c r="T895">
        <v>45.497</v>
      </c>
      <c r="U895">
        <v>45.206000000000003</v>
      </c>
      <c r="V895">
        <v>45.95</v>
      </c>
      <c r="W895">
        <v>47.045999999999999</v>
      </c>
      <c r="X895">
        <v>47.11</v>
      </c>
      <c r="Y895">
        <v>48.962000000000003</v>
      </c>
      <c r="Z895">
        <v>51.850999999999999</v>
      </c>
      <c r="AA895">
        <v>51.271000000000001</v>
      </c>
      <c r="AB895">
        <v>49.015000000000001</v>
      </c>
      <c r="AC895">
        <v>53.338999999999999</v>
      </c>
      <c r="AD895">
        <v>59.534999999999997</v>
      </c>
      <c r="AE895">
        <v>58.127000000000002</v>
      </c>
      <c r="AF895">
        <v>60.317999999999998</v>
      </c>
      <c r="AG895">
        <v>62.774999999999999</v>
      </c>
      <c r="AH895">
        <v>68.111999999999995</v>
      </c>
      <c r="AI895">
        <v>79.367999999999995</v>
      </c>
      <c r="AJ895">
        <v>88.861999999999995</v>
      </c>
      <c r="AK895">
        <v>100</v>
      </c>
      <c r="AL895">
        <v>118.533</v>
      </c>
      <c r="AM895">
        <v>100.536</v>
      </c>
      <c r="AN895">
        <v>111.599</v>
      </c>
      <c r="AO895">
        <v>129.24199999999999</v>
      </c>
      <c r="AP895">
        <v>129.547</v>
      </c>
      <c r="AQ895">
        <v>128.75800000000001</v>
      </c>
      <c r="AR895">
        <v>127.029</v>
      </c>
      <c r="AS895">
        <v>104.69199999999999</v>
      </c>
      <c r="AT895">
        <v>106.64100000000001</v>
      </c>
      <c r="AU895">
        <v>110.931</v>
      </c>
      <c r="AV895">
        <v>115.018</v>
      </c>
      <c r="AW895">
        <v>118.46599999999999</v>
      </c>
      <c r="AX895">
        <v>122.126</v>
      </c>
      <c r="AY895">
        <v>2014</v>
      </c>
    </row>
    <row r="896" spans="1:51" x14ac:dyDescent="0.25">
      <c r="A896">
        <v>466</v>
      </c>
      <c r="B896" t="s">
        <v>844</v>
      </c>
      <c r="C896" t="s">
        <v>298</v>
      </c>
      <c r="D896" t="s">
        <v>225</v>
      </c>
      <c r="E896" t="s">
        <v>299</v>
      </c>
      <c r="F896" t="s">
        <v>300</v>
      </c>
      <c r="G896" t="s">
        <v>282</v>
      </c>
      <c r="H896" t="s">
        <v>283</v>
      </c>
      <c r="I896" t="s">
        <v>846</v>
      </c>
      <c r="J896" t="s">
        <v>285</v>
      </c>
      <c r="K896" t="s">
        <v>285</v>
      </c>
      <c r="L896" t="s">
        <v>285</v>
      </c>
      <c r="M896" t="s">
        <v>285</v>
      </c>
      <c r="N896" t="s">
        <v>285</v>
      </c>
      <c r="O896" t="s">
        <v>285</v>
      </c>
      <c r="P896" t="s">
        <v>285</v>
      </c>
      <c r="Q896" t="s">
        <v>285</v>
      </c>
      <c r="R896" t="s">
        <v>285</v>
      </c>
      <c r="S896" t="s">
        <v>285</v>
      </c>
      <c r="T896" t="s">
        <v>285</v>
      </c>
      <c r="U896">
        <v>65.087000000000003</v>
      </c>
      <c r="V896">
        <v>56.384</v>
      </c>
      <c r="W896">
        <v>60.280999999999999</v>
      </c>
      <c r="X896">
        <v>63.478000000000002</v>
      </c>
      <c r="Y896">
        <v>60.878999999999998</v>
      </c>
      <c r="Z896">
        <v>73.825000000000003</v>
      </c>
      <c r="AA896">
        <v>63.914999999999999</v>
      </c>
      <c r="AB896">
        <v>71.47</v>
      </c>
      <c r="AC896">
        <v>75.275999999999996</v>
      </c>
      <c r="AD896">
        <v>82.406999999999996</v>
      </c>
      <c r="AE896">
        <v>95.72</v>
      </c>
      <c r="AF896">
        <v>86.034999999999997</v>
      </c>
      <c r="AG896">
        <v>91.561000000000007</v>
      </c>
      <c r="AH896">
        <v>96.131</v>
      </c>
      <c r="AI896">
        <v>104.431</v>
      </c>
      <c r="AJ896">
        <v>127.47499999999999</v>
      </c>
      <c r="AK896">
        <v>167.22399999999999</v>
      </c>
      <c r="AL896">
        <v>254.30799999999999</v>
      </c>
      <c r="AM896">
        <v>325.875</v>
      </c>
      <c r="AN896">
        <v>343.01299999999998</v>
      </c>
      <c r="AO896">
        <v>401.43</v>
      </c>
      <c r="AP896">
        <v>400.89299999999997</v>
      </c>
      <c r="AQ896">
        <v>434.48899999999998</v>
      </c>
      <c r="AR896">
        <v>480.786</v>
      </c>
      <c r="AS896">
        <v>458.03699999999998</v>
      </c>
      <c r="AT896">
        <v>443.13299999999998</v>
      </c>
      <c r="AU896">
        <v>447.44600000000003</v>
      </c>
      <c r="AV896">
        <v>452.815</v>
      </c>
      <c r="AW896">
        <v>459.08199999999999</v>
      </c>
      <c r="AX896">
        <v>466.12</v>
      </c>
      <c r="AY896">
        <v>2014</v>
      </c>
    </row>
    <row r="897" spans="1:51" x14ac:dyDescent="0.25">
      <c r="A897">
        <v>112</v>
      </c>
      <c r="B897" t="s">
        <v>847</v>
      </c>
      <c r="C897" t="s">
        <v>279</v>
      </c>
      <c r="D897" t="s">
        <v>226</v>
      </c>
      <c r="E897" t="s">
        <v>280</v>
      </c>
      <c r="F897" t="s">
        <v>281</v>
      </c>
      <c r="G897" t="s">
        <v>282</v>
      </c>
      <c r="H897" t="s">
        <v>283</v>
      </c>
      <c r="I897" t="s">
        <v>849</v>
      </c>
      <c r="J897">
        <v>797.25099999999998</v>
      </c>
      <c r="K897">
        <v>790.49599999999998</v>
      </c>
      <c r="L897">
        <v>806.90300000000002</v>
      </c>
      <c r="M897">
        <v>840.81100000000004</v>
      </c>
      <c r="N897">
        <v>859.79700000000003</v>
      </c>
      <c r="O897">
        <v>890.27800000000002</v>
      </c>
      <c r="P897">
        <v>918.41499999999996</v>
      </c>
      <c r="Q897">
        <v>969.35199999999998</v>
      </c>
      <c r="R897" s="21">
        <v>1026.874</v>
      </c>
      <c r="S897" s="21">
        <v>1052.73</v>
      </c>
      <c r="T897" s="21">
        <v>1058.384</v>
      </c>
      <c r="U897" s="21">
        <v>1045.299</v>
      </c>
      <c r="V897" s="21">
        <v>1049.971</v>
      </c>
      <c r="W897" s="21">
        <v>1077.749</v>
      </c>
      <c r="X897" s="21">
        <v>1121.1279999999999</v>
      </c>
      <c r="Y897" s="21">
        <v>1149.4970000000001</v>
      </c>
      <c r="Z897" s="21">
        <v>1180.1510000000001</v>
      </c>
      <c r="AA897" s="21">
        <v>1210.277</v>
      </c>
      <c r="AB897" s="21">
        <v>1252.7670000000001</v>
      </c>
      <c r="AC897" s="21">
        <v>1292.2439999999999</v>
      </c>
      <c r="AD897" s="21">
        <v>1340.9469999999999</v>
      </c>
      <c r="AE897" s="21">
        <v>1376.6769999999999</v>
      </c>
      <c r="AF897" s="21">
        <v>1410.4369999999999</v>
      </c>
      <c r="AG897" s="21">
        <v>1471.0909999999999</v>
      </c>
      <c r="AH897" s="21">
        <v>1507.191</v>
      </c>
      <c r="AI897" s="21">
        <v>1549.491</v>
      </c>
      <c r="AJ897" s="21">
        <v>1596.6279999999999</v>
      </c>
      <c r="AK897" s="21">
        <v>1637.432</v>
      </c>
      <c r="AL897" s="21">
        <v>1631.9949999999999</v>
      </c>
      <c r="AM897" s="21">
        <v>1561.646</v>
      </c>
      <c r="AN897" s="21">
        <v>1591.4939999999999</v>
      </c>
      <c r="AO897" s="21">
        <v>1617.6769999999999</v>
      </c>
      <c r="AP897" s="21">
        <v>1628.338</v>
      </c>
      <c r="AQ897" s="21">
        <v>1655.4469999999999</v>
      </c>
      <c r="AR897" s="21">
        <v>1704.998</v>
      </c>
      <c r="AS897" s="21">
        <v>1747.9110000000001</v>
      </c>
      <c r="AT897" s="21">
        <v>1786.9639999999999</v>
      </c>
      <c r="AU897" s="21">
        <v>1826.5260000000001</v>
      </c>
      <c r="AV897" s="21">
        <v>1867.433</v>
      </c>
      <c r="AW897" s="21">
        <v>1907.587</v>
      </c>
      <c r="AX897" s="21">
        <v>1947.944</v>
      </c>
      <c r="AY897">
        <v>2014</v>
      </c>
    </row>
    <row r="898" spans="1:51" x14ac:dyDescent="0.25">
      <c r="A898">
        <v>112</v>
      </c>
      <c r="B898" t="s">
        <v>847</v>
      </c>
      <c r="C898" t="s">
        <v>286</v>
      </c>
      <c r="D898" t="s">
        <v>226</v>
      </c>
      <c r="E898" t="s">
        <v>287</v>
      </c>
      <c r="F898" t="s">
        <v>288</v>
      </c>
      <c r="G898" t="s">
        <v>282</v>
      </c>
      <c r="H898" t="s">
        <v>283</v>
      </c>
      <c r="I898" t="s">
        <v>849</v>
      </c>
      <c r="J898">
        <v>243.09700000000001</v>
      </c>
      <c r="K898">
        <v>269.08499999999998</v>
      </c>
      <c r="L898">
        <v>294.81400000000002</v>
      </c>
      <c r="M898">
        <v>323.00099999999998</v>
      </c>
      <c r="N898">
        <v>346.94600000000003</v>
      </c>
      <c r="O898">
        <v>381.25099999999998</v>
      </c>
      <c r="P898">
        <v>410.31099999999998</v>
      </c>
      <c r="Q898">
        <v>455.96499999999997</v>
      </c>
      <c r="R898">
        <v>511.67099999999999</v>
      </c>
      <c r="S898">
        <v>566.51199999999994</v>
      </c>
      <c r="T898">
        <v>615.673</v>
      </c>
      <c r="U898">
        <v>647.96600000000001</v>
      </c>
      <c r="V898">
        <v>672.17</v>
      </c>
      <c r="W898">
        <v>707.73400000000004</v>
      </c>
      <c r="X898">
        <v>745.19600000000003</v>
      </c>
      <c r="Y898">
        <v>782.97900000000004</v>
      </c>
      <c r="Z898">
        <v>836.18899999999996</v>
      </c>
      <c r="AA898">
        <v>878.78</v>
      </c>
      <c r="AB898">
        <v>923.29399999999998</v>
      </c>
      <c r="AC898">
        <v>963.19600000000003</v>
      </c>
      <c r="AD898" s="21">
        <v>1023.5119999999999</v>
      </c>
      <c r="AE898" s="21">
        <v>1062.2619999999999</v>
      </c>
      <c r="AF898" s="21">
        <v>1117.171</v>
      </c>
      <c r="AG898" s="21">
        <v>1190.5250000000001</v>
      </c>
      <c r="AH898" s="21">
        <v>1255.191</v>
      </c>
      <c r="AI898" s="21">
        <v>1326.66</v>
      </c>
      <c r="AJ898" s="21">
        <v>1403.7260000000001</v>
      </c>
      <c r="AK898" s="21">
        <v>1480.9559999999999</v>
      </c>
      <c r="AL898" s="21">
        <v>1518.675</v>
      </c>
      <c r="AM898" s="21">
        <v>1482.144</v>
      </c>
      <c r="AN898" s="21">
        <v>1558.365</v>
      </c>
      <c r="AO898" s="21">
        <v>1617.6769999999999</v>
      </c>
      <c r="AP898" s="21">
        <v>1655.384</v>
      </c>
      <c r="AQ898" s="21">
        <v>1713.1220000000001</v>
      </c>
      <c r="AR898" s="21">
        <v>1791.934</v>
      </c>
      <c r="AS898" s="21">
        <v>1856.3920000000001</v>
      </c>
      <c r="AT898" s="21">
        <v>1931.194</v>
      </c>
      <c r="AU898" s="21">
        <v>2011.1389999999999</v>
      </c>
      <c r="AV898" s="21">
        <v>2098.462</v>
      </c>
      <c r="AW898" s="21">
        <v>2188.3609999999999</v>
      </c>
      <c r="AX898" s="21">
        <v>2288.2269999999999</v>
      </c>
      <c r="AY898">
        <v>2014</v>
      </c>
    </row>
    <row r="899" spans="1:51" x14ac:dyDescent="0.25">
      <c r="A899">
        <v>112</v>
      </c>
      <c r="B899" t="s">
        <v>847</v>
      </c>
      <c r="C899" t="s">
        <v>289</v>
      </c>
      <c r="D899" t="s">
        <v>226</v>
      </c>
      <c r="E899" t="s">
        <v>287</v>
      </c>
      <c r="F899" t="s">
        <v>290</v>
      </c>
      <c r="G899" t="s">
        <v>291</v>
      </c>
      <c r="H899" t="s">
        <v>283</v>
      </c>
      <c r="I899" t="s">
        <v>292</v>
      </c>
      <c r="J899">
        <v>565.01900000000001</v>
      </c>
      <c r="K899">
        <v>540.82799999999997</v>
      </c>
      <c r="L899">
        <v>515.06899999999996</v>
      </c>
      <c r="M899">
        <v>489.66</v>
      </c>
      <c r="N899">
        <v>461.56700000000001</v>
      </c>
      <c r="O899">
        <v>489.55200000000002</v>
      </c>
      <c r="P899">
        <v>601.57399999999996</v>
      </c>
      <c r="Q899">
        <v>745.24</v>
      </c>
      <c r="R899">
        <v>910.32299999999998</v>
      </c>
      <c r="S899">
        <v>927.10500000000002</v>
      </c>
      <c r="T899" s="21">
        <v>1093.357</v>
      </c>
      <c r="U899" s="21">
        <v>1143.078</v>
      </c>
      <c r="V899" s="21">
        <v>1180.4059999999999</v>
      </c>
      <c r="W899" s="21">
        <v>1062.546</v>
      </c>
      <c r="X899" s="21">
        <v>1140.529</v>
      </c>
      <c r="Y899" s="21">
        <v>1235.7260000000001</v>
      </c>
      <c r="Z899" s="21">
        <v>1304.6590000000001</v>
      </c>
      <c r="AA899" s="21">
        <v>1438.7860000000001</v>
      </c>
      <c r="AB899" s="21">
        <v>1529.15</v>
      </c>
      <c r="AC899" s="21">
        <v>1558.3969999999999</v>
      </c>
      <c r="AD899" s="21">
        <v>1548.752</v>
      </c>
      <c r="AE899" s="21">
        <v>1529.3240000000001</v>
      </c>
      <c r="AF899" s="21">
        <v>1674.4590000000001</v>
      </c>
      <c r="AG899" s="21">
        <v>1944.0809999999999</v>
      </c>
      <c r="AH899" s="21">
        <v>2298.3139999999999</v>
      </c>
      <c r="AI899" s="21">
        <v>2412.348</v>
      </c>
      <c r="AJ899" s="21">
        <v>2582.9740000000002</v>
      </c>
      <c r="AK899" s="21">
        <v>2963.43</v>
      </c>
      <c r="AL899" s="21">
        <v>2785.922</v>
      </c>
      <c r="AM899" s="21">
        <v>2310.674</v>
      </c>
      <c r="AN899" s="21">
        <v>2407.3510000000001</v>
      </c>
      <c r="AO899" s="21">
        <v>2593.4520000000002</v>
      </c>
      <c r="AP899" s="21">
        <v>2623.8249999999998</v>
      </c>
      <c r="AQ899" s="21">
        <v>2678.384</v>
      </c>
      <c r="AR899" s="21">
        <v>2950.0390000000002</v>
      </c>
      <c r="AS899" s="21">
        <v>2864.9029999999998</v>
      </c>
      <c r="AT899" s="21">
        <v>3054.84</v>
      </c>
      <c r="AU899" s="21">
        <v>3232.2809999999999</v>
      </c>
      <c r="AV899" s="21">
        <v>3425.5390000000002</v>
      </c>
      <c r="AW899" s="21">
        <v>3616.8209999999999</v>
      </c>
      <c r="AX899" s="21">
        <v>3851.9830000000002</v>
      </c>
      <c r="AY899">
        <v>2014</v>
      </c>
    </row>
    <row r="900" spans="1:51" x14ac:dyDescent="0.25">
      <c r="A900">
        <v>112</v>
      </c>
      <c r="B900" t="s">
        <v>847</v>
      </c>
      <c r="C900" t="s">
        <v>293</v>
      </c>
      <c r="D900" t="s">
        <v>226</v>
      </c>
      <c r="E900" t="s">
        <v>294</v>
      </c>
      <c r="F900" t="s">
        <v>295</v>
      </c>
      <c r="G900" t="s">
        <v>296</v>
      </c>
      <c r="I900" t="s">
        <v>297</v>
      </c>
      <c r="J900">
        <v>30.492000000000001</v>
      </c>
      <c r="K900">
        <v>34.04</v>
      </c>
      <c r="L900">
        <v>36.536000000000001</v>
      </c>
      <c r="M900">
        <v>38.414999999999999</v>
      </c>
      <c r="N900">
        <v>40.351999999999997</v>
      </c>
      <c r="O900">
        <v>42.823999999999998</v>
      </c>
      <c r="P900">
        <v>44.676000000000002</v>
      </c>
      <c r="Q900">
        <v>47.037999999999997</v>
      </c>
      <c r="R900">
        <v>49.828000000000003</v>
      </c>
      <c r="S900">
        <v>53.814</v>
      </c>
      <c r="T900">
        <v>58.170999999999999</v>
      </c>
      <c r="U900">
        <v>61.988999999999997</v>
      </c>
      <c r="V900">
        <v>64.018000000000001</v>
      </c>
      <c r="W900">
        <v>65.668000000000006</v>
      </c>
      <c r="X900">
        <v>66.468000000000004</v>
      </c>
      <c r="Y900">
        <v>68.114999999999995</v>
      </c>
      <c r="Z900">
        <v>70.853999999999999</v>
      </c>
      <c r="AA900">
        <v>72.61</v>
      </c>
      <c r="AB900">
        <v>73.7</v>
      </c>
      <c r="AC900">
        <v>74.537000000000006</v>
      </c>
      <c r="AD900">
        <v>76.328000000000003</v>
      </c>
      <c r="AE900">
        <v>77.161000000000001</v>
      </c>
      <c r="AF900">
        <v>79.206999999999994</v>
      </c>
      <c r="AG900">
        <v>80.927999999999997</v>
      </c>
      <c r="AH900">
        <v>83.28</v>
      </c>
      <c r="AI900">
        <v>85.619</v>
      </c>
      <c r="AJ900">
        <v>87.918000000000006</v>
      </c>
      <c r="AK900">
        <v>90.444000000000003</v>
      </c>
      <c r="AL900">
        <v>93.055999999999997</v>
      </c>
      <c r="AM900">
        <v>94.909000000000006</v>
      </c>
      <c r="AN900">
        <v>97.918000000000006</v>
      </c>
      <c r="AO900">
        <v>100</v>
      </c>
      <c r="AP900">
        <v>101.661</v>
      </c>
      <c r="AQ900">
        <v>103.48399999999999</v>
      </c>
      <c r="AR900">
        <v>105.099</v>
      </c>
      <c r="AS900">
        <v>106.206</v>
      </c>
      <c r="AT900">
        <v>108.071</v>
      </c>
      <c r="AU900">
        <v>110.107</v>
      </c>
      <c r="AV900">
        <v>112.371</v>
      </c>
      <c r="AW900">
        <v>114.71899999999999</v>
      </c>
      <c r="AX900">
        <v>117.46899999999999</v>
      </c>
      <c r="AY900">
        <v>2014</v>
      </c>
    </row>
    <row r="901" spans="1:51" x14ac:dyDescent="0.25">
      <c r="A901">
        <v>112</v>
      </c>
      <c r="B901" t="s">
        <v>847</v>
      </c>
      <c r="C901" t="s">
        <v>298</v>
      </c>
      <c r="D901" t="s">
        <v>226</v>
      </c>
      <c r="E901" t="s">
        <v>299</v>
      </c>
      <c r="F901" t="s">
        <v>300</v>
      </c>
      <c r="G901" t="s">
        <v>282</v>
      </c>
      <c r="H901" t="s">
        <v>283</v>
      </c>
      <c r="I901" t="s">
        <v>850</v>
      </c>
      <c r="J901">
        <v>101.675</v>
      </c>
      <c r="K901">
        <v>120.339</v>
      </c>
      <c r="L901">
        <v>130.80799999999999</v>
      </c>
      <c r="M901">
        <v>141.21</v>
      </c>
      <c r="N901">
        <v>152.38900000000001</v>
      </c>
      <c r="O901">
        <v>163.49199999999999</v>
      </c>
      <c r="P901">
        <v>170.73</v>
      </c>
      <c r="Q901">
        <v>180.429</v>
      </c>
      <c r="R901">
        <v>189.51599999999999</v>
      </c>
      <c r="S901">
        <v>205.76599999999999</v>
      </c>
      <c r="T901">
        <v>232.60900000000001</v>
      </c>
      <c r="U901">
        <v>250.91200000000001</v>
      </c>
      <c r="V901">
        <v>274.40100000000001</v>
      </c>
      <c r="W901">
        <v>288.77100000000002</v>
      </c>
      <c r="X901">
        <v>301.29300000000001</v>
      </c>
      <c r="Y901">
        <v>317.25099999999998</v>
      </c>
      <c r="Z901">
        <v>320.65699999999998</v>
      </c>
      <c r="AA901">
        <v>327.28199999999998</v>
      </c>
      <c r="AB901">
        <v>337.44900000000001</v>
      </c>
      <c r="AC901">
        <v>347.59100000000001</v>
      </c>
      <c r="AD901">
        <v>367.15</v>
      </c>
      <c r="AE901">
        <v>389.65800000000002</v>
      </c>
      <c r="AF901">
        <v>420.11</v>
      </c>
      <c r="AG901">
        <v>459.95100000000002</v>
      </c>
      <c r="AH901">
        <v>494.46199999999999</v>
      </c>
      <c r="AI901">
        <v>526.49699999999996</v>
      </c>
      <c r="AJ901">
        <v>557.06799999999998</v>
      </c>
      <c r="AK901">
        <v>584.88599999999997</v>
      </c>
      <c r="AL901">
        <v>639.94799999999998</v>
      </c>
      <c r="AM901">
        <v>681.00900000000001</v>
      </c>
      <c r="AN901">
        <v>704.84900000000005</v>
      </c>
      <c r="AO901">
        <v>707.96699999999998</v>
      </c>
      <c r="AP901">
        <v>729.79399999999998</v>
      </c>
      <c r="AQ901">
        <v>727.91800000000001</v>
      </c>
      <c r="AR901">
        <v>741.98500000000001</v>
      </c>
      <c r="AS901">
        <v>747.99</v>
      </c>
      <c r="AT901">
        <v>756.30399999999997</v>
      </c>
      <c r="AU901">
        <v>766.86900000000003</v>
      </c>
      <c r="AV901">
        <v>780.72500000000002</v>
      </c>
      <c r="AW901">
        <v>798.43</v>
      </c>
      <c r="AX901">
        <v>832.10400000000004</v>
      </c>
      <c r="AY901">
        <v>2014</v>
      </c>
    </row>
    <row r="902" spans="1:51" x14ac:dyDescent="0.25">
      <c r="A902">
        <v>111</v>
      </c>
      <c r="B902" t="s">
        <v>851</v>
      </c>
      <c r="C902" t="s">
        <v>279</v>
      </c>
      <c r="D902" t="s">
        <v>227</v>
      </c>
      <c r="E902" t="s">
        <v>280</v>
      </c>
      <c r="F902" t="s">
        <v>281</v>
      </c>
      <c r="G902" t="s">
        <v>282</v>
      </c>
      <c r="H902" t="s">
        <v>283</v>
      </c>
      <c r="I902" t="s">
        <v>853</v>
      </c>
      <c r="J902" s="21">
        <v>6450.4</v>
      </c>
      <c r="K902" s="21">
        <v>6617.75</v>
      </c>
      <c r="L902" s="21">
        <v>6491.2749999999996</v>
      </c>
      <c r="M902" s="21">
        <v>6792</v>
      </c>
      <c r="N902" s="21">
        <v>7285.0249999999996</v>
      </c>
      <c r="O902" s="21">
        <v>7593.8</v>
      </c>
      <c r="P902" s="21">
        <v>7860.5</v>
      </c>
      <c r="Q902" s="21">
        <v>8132.6</v>
      </c>
      <c r="R902" s="21">
        <v>8474.5</v>
      </c>
      <c r="S902" s="21">
        <v>8786.375</v>
      </c>
      <c r="T902" s="21">
        <v>8955.0249999999996</v>
      </c>
      <c r="U902" s="21">
        <v>8948.4249999999993</v>
      </c>
      <c r="V902" s="21">
        <v>9266.5499999999993</v>
      </c>
      <c r="W902" s="21">
        <v>9521</v>
      </c>
      <c r="X902" s="21">
        <v>9905.4500000000007</v>
      </c>
      <c r="Y902" s="21">
        <v>10174.75</v>
      </c>
      <c r="Z902" s="21">
        <v>10561</v>
      </c>
      <c r="AA902" s="21">
        <v>11034.85</v>
      </c>
      <c r="AB902" s="21">
        <v>11525.875</v>
      </c>
      <c r="AC902" s="21">
        <v>12065.9</v>
      </c>
      <c r="AD902" s="21">
        <v>12559.65</v>
      </c>
      <c r="AE902" s="21">
        <v>12682.25</v>
      </c>
      <c r="AF902" s="21">
        <v>12908.775</v>
      </c>
      <c r="AG902" s="21">
        <v>13271.1</v>
      </c>
      <c r="AH902" s="21">
        <v>13773.475</v>
      </c>
      <c r="AI902" s="21">
        <v>14234.25</v>
      </c>
      <c r="AJ902" s="21">
        <v>14613.8</v>
      </c>
      <c r="AK902" s="21">
        <v>14873.75</v>
      </c>
      <c r="AL902" s="21">
        <v>14830.375</v>
      </c>
      <c r="AM902" s="21">
        <v>14418.75</v>
      </c>
      <c r="AN902" s="21">
        <v>14783.8</v>
      </c>
      <c r="AO902" s="21">
        <v>15020.575000000001</v>
      </c>
      <c r="AP902" s="21">
        <v>15354.625</v>
      </c>
      <c r="AQ902" s="21">
        <v>15583.325000000001</v>
      </c>
      <c r="AR902" s="21">
        <v>15961.65</v>
      </c>
      <c r="AS902" s="21">
        <v>16371.562</v>
      </c>
      <c r="AT902" s="21">
        <v>16836.316999999999</v>
      </c>
      <c r="AU902" s="21">
        <v>17307.213</v>
      </c>
      <c r="AV902" s="21">
        <v>17771.699000000001</v>
      </c>
      <c r="AW902" s="21">
        <v>18166.904999999999</v>
      </c>
      <c r="AX902" s="21">
        <v>18522.849999999999</v>
      </c>
      <c r="AY902">
        <v>2014</v>
      </c>
    </row>
    <row r="903" spans="1:51" x14ac:dyDescent="0.25">
      <c r="A903">
        <v>111</v>
      </c>
      <c r="B903" t="s">
        <v>851</v>
      </c>
      <c r="C903" t="s">
        <v>286</v>
      </c>
      <c r="D903" t="s">
        <v>227</v>
      </c>
      <c r="E903" t="s">
        <v>287</v>
      </c>
      <c r="F903" t="s">
        <v>288</v>
      </c>
      <c r="G903" t="s">
        <v>282</v>
      </c>
      <c r="H903" t="s">
        <v>283</v>
      </c>
      <c r="I903" t="s">
        <v>853</v>
      </c>
      <c r="J903" s="21">
        <v>2862.4749999999999</v>
      </c>
      <c r="K903" s="21">
        <v>3210.95</v>
      </c>
      <c r="L903" s="21">
        <v>3345</v>
      </c>
      <c r="M903" s="21">
        <v>3638.125</v>
      </c>
      <c r="N903" s="21">
        <v>4040.7</v>
      </c>
      <c r="O903" s="21">
        <v>4346.75</v>
      </c>
      <c r="P903" s="21">
        <v>4590.125</v>
      </c>
      <c r="Q903" s="21">
        <v>4870.2250000000004</v>
      </c>
      <c r="R903" s="21">
        <v>5252.625</v>
      </c>
      <c r="S903" s="21">
        <v>5657.7</v>
      </c>
      <c r="T903" s="21">
        <v>5979.5749999999998</v>
      </c>
      <c r="U903" s="21">
        <v>6174.05</v>
      </c>
      <c r="V903" s="21">
        <v>6539.3</v>
      </c>
      <c r="W903" s="21">
        <v>6878.7</v>
      </c>
      <c r="X903" s="21">
        <v>7308.7749999999996</v>
      </c>
      <c r="Y903" s="21">
        <v>7664.05</v>
      </c>
      <c r="Z903" s="21">
        <v>8100.1750000000002</v>
      </c>
      <c r="AA903" s="21">
        <v>8608.5249999999996</v>
      </c>
      <c r="AB903" s="21">
        <v>9089.15</v>
      </c>
      <c r="AC903" s="21">
        <v>9660.625</v>
      </c>
      <c r="AD903" s="21">
        <v>10284.75</v>
      </c>
      <c r="AE903" s="21">
        <v>10621.825000000001</v>
      </c>
      <c r="AF903" s="21">
        <v>10977.525</v>
      </c>
      <c r="AG903" s="21">
        <v>11510.674999999999</v>
      </c>
      <c r="AH903" s="21">
        <v>12274.924999999999</v>
      </c>
      <c r="AI903" s="21">
        <v>13093.7</v>
      </c>
      <c r="AJ903" s="21">
        <v>13855.9</v>
      </c>
      <c r="AK903" s="21">
        <v>14477.625</v>
      </c>
      <c r="AL903" s="21">
        <v>14718.575000000001</v>
      </c>
      <c r="AM903" s="21">
        <v>14418.725</v>
      </c>
      <c r="AN903" s="21">
        <v>14964.4</v>
      </c>
      <c r="AO903" s="21">
        <v>15517.924999999999</v>
      </c>
      <c r="AP903" s="21">
        <v>16155.25</v>
      </c>
      <c r="AQ903" s="21">
        <v>16663.150000000001</v>
      </c>
      <c r="AR903" s="21">
        <v>17348.075000000001</v>
      </c>
      <c r="AS903" s="21">
        <v>17968.195</v>
      </c>
      <c r="AT903" s="21">
        <v>18697.921999999999</v>
      </c>
      <c r="AU903" s="21">
        <v>19555.874</v>
      </c>
      <c r="AV903" s="21">
        <v>20493.248</v>
      </c>
      <c r="AW903" s="21">
        <v>21404.192999999999</v>
      </c>
      <c r="AX903" s="21">
        <v>22294.105</v>
      </c>
      <c r="AY903">
        <v>2014</v>
      </c>
    </row>
    <row r="904" spans="1:51" x14ac:dyDescent="0.25">
      <c r="A904">
        <v>111</v>
      </c>
      <c r="B904" t="s">
        <v>851</v>
      </c>
      <c r="C904" t="s">
        <v>289</v>
      </c>
      <c r="D904" t="s">
        <v>227</v>
      </c>
      <c r="E904" t="s">
        <v>287</v>
      </c>
      <c r="F904" t="s">
        <v>290</v>
      </c>
      <c r="G904" t="s">
        <v>291</v>
      </c>
      <c r="H904" t="s">
        <v>283</v>
      </c>
      <c r="I904" t="s">
        <v>292</v>
      </c>
      <c r="J904" s="21">
        <v>2862.4749999999999</v>
      </c>
      <c r="K904" s="21">
        <v>3210.95</v>
      </c>
      <c r="L904" s="21">
        <v>3345</v>
      </c>
      <c r="M904" s="21">
        <v>3638.125</v>
      </c>
      <c r="N904" s="21">
        <v>4040.7</v>
      </c>
      <c r="O904" s="21">
        <v>4346.75</v>
      </c>
      <c r="P904" s="21">
        <v>4590.125</v>
      </c>
      <c r="Q904" s="21">
        <v>4870.2250000000004</v>
      </c>
      <c r="R904" s="21">
        <v>5252.625</v>
      </c>
      <c r="S904" s="21">
        <v>5657.7</v>
      </c>
      <c r="T904" s="21">
        <v>5979.5749999999998</v>
      </c>
      <c r="U904" s="21">
        <v>6174.05</v>
      </c>
      <c r="V904" s="21">
        <v>6539.3</v>
      </c>
      <c r="W904" s="21">
        <v>6878.7</v>
      </c>
      <c r="X904" s="21">
        <v>7308.7749999999996</v>
      </c>
      <c r="Y904" s="21">
        <v>7664.05</v>
      </c>
      <c r="Z904" s="21">
        <v>8100.1750000000002</v>
      </c>
      <c r="AA904" s="21">
        <v>8608.5249999999996</v>
      </c>
      <c r="AB904" s="21">
        <v>9089.15</v>
      </c>
      <c r="AC904" s="21">
        <v>9660.625</v>
      </c>
      <c r="AD904" s="21">
        <v>10284.75</v>
      </c>
      <c r="AE904" s="21">
        <v>10621.825000000001</v>
      </c>
      <c r="AF904" s="21">
        <v>10977.525</v>
      </c>
      <c r="AG904" s="21">
        <v>11510.674999999999</v>
      </c>
      <c r="AH904" s="21">
        <v>12274.924999999999</v>
      </c>
      <c r="AI904" s="21">
        <v>13093.7</v>
      </c>
      <c r="AJ904" s="21">
        <v>13855.9</v>
      </c>
      <c r="AK904" s="21">
        <v>14477.625</v>
      </c>
      <c r="AL904" s="21">
        <v>14718.575000000001</v>
      </c>
      <c r="AM904" s="21">
        <v>14418.725</v>
      </c>
      <c r="AN904" s="21">
        <v>14964.4</v>
      </c>
      <c r="AO904" s="21">
        <v>15517.924999999999</v>
      </c>
      <c r="AP904" s="21">
        <v>16155.25</v>
      </c>
      <c r="AQ904" s="21">
        <v>16663.150000000001</v>
      </c>
      <c r="AR904" s="21">
        <v>17348.075000000001</v>
      </c>
      <c r="AS904" s="21">
        <v>17968.195</v>
      </c>
      <c r="AT904" s="21">
        <v>18697.921999999999</v>
      </c>
      <c r="AU904" s="21">
        <v>19555.874</v>
      </c>
      <c r="AV904" s="21">
        <v>20493.248</v>
      </c>
      <c r="AW904" s="21">
        <v>21404.192999999999</v>
      </c>
      <c r="AX904" s="21">
        <v>22294.105</v>
      </c>
      <c r="AY904">
        <v>2014</v>
      </c>
    </row>
    <row r="905" spans="1:51" x14ac:dyDescent="0.25">
      <c r="A905">
        <v>111</v>
      </c>
      <c r="B905" t="s">
        <v>851</v>
      </c>
      <c r="C905" t="s">
        <v>293</v>
      </c>
      <c r="D905" t="s">
        <v>227</v>
      </c>
      <c r="E905" t="s">
        <v>294</v>
      </c>
      <c r="F905" t="s">
        <v>295</v>
      </c>
      <c r="G905" t="s">
        <v>296</v>
      </c>
      <c r="I905" t="s">
        <v>297</v>
      </c>
      <c r="J905">
        <v>44.377000000000002</v>
      </c>
      <c r="K905">
        <v>48.52</v>
      </c>
      <c r="L905">
        <v>51.530999999999999</v>
      </c>
      <c r="M905">
        <v>53.564999999999998</v>
      </c>
      <c r="N905">
        <v>55.466000000000001</v>
      </c>
      <c r="O905">
        <v>57.241</v>
      </c>
      <c r="P905">
        <v>58.395000000000003</v>
      </c>
      <c r="Q905">
        <v>59.884999999999998</v>
      </c>
      <c r="R905">
        <v>61.981999999999999</v>
      </c>
      <c r="S905">
        <v>64.391999999999996</v>
      </c>
      <c r="T905">
        <v>66.772999999999996</v>
      </c>
      <c r="U905">
        <v>68.995999999999995</v>
      </c>
      <c r="V905">
        <v>70.569000000000003</v>
      </c>
      <c r="W905">
        <v>72.248000000000005</v>
      </c>
      <c r="X905">
        <v>73.784999999999997</v>
      </c>
      <c r="Y905">
        <v>75.323999999999998</v>
      </c>
      <c r="Z905">
        <v>76.698999999999998</v>
      </c>
      <c r="AA905">
        <v>78.012</v>
      </c>
      <c r="AB905">
        <v>78.858999999999995</v>
      </c>
      <c r="AC905">
        <v>80.066000000000003</v>
      </c>
      <c r="AD905">
        <v>81.887</v>
      </c>
      <c r="AE905">
        <v>83.753</v>
      </c>
      <c r="AF905">
        <v>85.039000000000001</v>
      </c>
      <c r="AG905">
        <v>86.734999999999999</v>
      </c>
      <c r="AH905">
        <v>89.12</v>
      </c>
      <c r="AI905">
        <v>91.986999999999995</v>
      </c>
      <c r="AJ905">
        <v>94.813999999999993</v>
      </c>
      <c r="AK905">
        <v>97.337000000000003</v>
      </c>
      <c r="AL905">
        <v>99.245999999999995</v>
      </c>
      <c r="AM905">
        <v>100</v>
      </c>
      <c r="AN905">
        <v>101.22199999999999</v>
      </c>
      <c r="AO905">
        <v>103.31100000000001</v>
      </c>
      <c r="AP905">
        <v>105.214</v>
      </c>
      <c r="AQ905">
        <v>106.929</v>
      </c>
      <c r="AR905">
        <v>108.68600000000001</v>
      </c>
      <c r="AS905">
        <v>109.752</v>
      </c>
      <c r="AT905">
        <v>111.057</v>
      </c>
      <c r="AU905">
        <v>112.99299999999999</v>
      </c>
      <c r="AV905">
        <v>115.31399999999999</v>
      </c>
      <c r="AW905">
        <v>117.82</v>
      </c>
      <c r="AX905">
        <v>120.36</v>
      </c>
      <c r="AY905">
        <v>2014</v>
      </c>
    </row>
    <row r="906" spans="1:51" x14ac:dyDescent="0.25">
      <c r="A906">
        <v>111</v>
      </c>
      <c r="B906" t="s">
        <v>851</v>
      </c>
      <c r="C906" t="s">
        <v>298</v>
      </c>
      <c r="D906" t="s">
        <v>227</v>
      </c>
      <c r="E906" t="s">
        <v>299</v>
      </c>
      <c r="F906" t="s">
        <v>300</v>
      </c>
      <c r="G906" t="s">
        <v>282</v>
      </c>
      <c r="H906" t="s">
        <v>283</v>
      </c>
      <c r="I906" t="s">
        <v>854</v>
      </c>
      <c r="J906" t="s">
        <v>285</v>
      </c>
      <c r="K906" t="s">
        <v>285</v>
      </c>
      <c r="L906" t="s">
        <v>285</v>
      </c>
      <c r="M906" t="s">
        <v>285</v>
      </c>
      <c r="N906" t="s">
        <v>285</v>
      </c>
      <c r="O906" t="s">
        <v>285</v>
      </c>
      <c r="P906" t="s">
        <v>285</v>
      </c>
      <c r="Q906" t="s">
        <v>285</v>
      </c>
      <c r="R906" t="s">
        <v>285</v>
      </c>
      <c r="S906" t="s">
        <v>285</v>
      </c>
      <c r="T906" t="s">
        <v>285</v>
      </c>
      <c r="U906" t="s">
        <v>285</v>
      </c>
      <c r="V906" t="s">
        <v>285</v>
      </c>
      <c r="W906" t="s">
        <v>285</v>
      </c>
      <c r="X906" t="s">
        <v>285</v>
      </c>
      <c r="Y906" t="s">
        <v>285</v>
      </c>
      <c r="Z906" t="s">
        <v>285</v>
      </c>
      <c r="AA906" t="s">
        <v>285</v>
      </c>
      <c r="AB906" t="s">
        <v>285</v>
      </c>
      <c r="AC906" t="s">
        <v>285</v>
      </c>
      <c r="AD906" t="s">
        <v>285</v>
      </c>
      <c r="AE906" s="21">
        <v>3469.672</v>
      </c>
      <c r="AF906" s="21">
        <v>3681.7820000000002</v>
      </c>
      <c r="AG906" s="21">
        <v>3896.3879999999999</v>
      </c>
      <c r="AH906" s="21">
        <v>4115.9690000000001</v>
      </c>
      <c r="AI906" s="21">
        <v>4417.8180000000002</v>
      </c>
      <c r="AJ906" s="21">
        <v>4648.8370000000004</v>
      </c>
      <c r="AK906" s="21">
        <v>4993.018</v>
      </c>
      <c r="AL906" s="21">
        <v>5418.058</v>
      </c>
      <c r="AM906" s="21">
        <v>5984.7380000000003</v>
      </c>
      <c r="AN906" s="21">
        <v>5934.5919999999996</v>
      </c>
      <c r="AO906" s="21">
        <v>5989.6390000000001</v>
      </c>
      <c r="AP906" s="21">
        <v>6022.4459999999999</v>
      </c>
      <c r="AQ906" s="21">
        <v>6034.8130000000001</v>
      </c>
      <c r="AR906" s="21">
        <v>6197.049</v>
      </c>
      <c r="AS906" s="21">
        <v>6467.4560000000001</v>
      </c>
      <c r="AT906" s="21">
        <v>6713.7979999999998</v>
      </c>
      <c r="AU906" s="21">
        <v>6895.76</v>
      </c>
      <c r="AV906" s="21">
        <v>7153.0619999999999</v>
      </c>
      <c r="AW906" s="21">
        <v>7511.88</v>
      </c>
      <c r="AX906" s="21">
        <v>7870.7939999999999</v>
      </c>
      <c r="AY906">
        <v>2014</v>
      </c>
    </row>
    <row r="907" spans="1:51" x14ac:dyDescent="0.25">
      <c r="A907">
        <v>298</v>
      </c>
      <c r="B907" t="s">
        <v>855</v>
      </c>
      <c r="C907" t="s">
        <v>279</v>
      </c>
      <c r="D907" t="s">
        <v>228</v>
      </c>
      <c r="E907" t="s">
        <v>280</v>
      </c>
      <c r="F907" t="s">
        <v>281</v>
      </c>
      <c r="G907" t="s">
        <v>282</v>
      </c>
      <c r="H907" t="s">
        <v>283</v>
      </c>
      <c r="I907" t="s">
        <v>856</v>
      </c>
      <c r="J907">
        <v>285.72699999999998</v>
      </c>
      <c r="K907">
        <v>291.15699999999998</v>
      </c>
      <c r="L907">
        <v>263.96100000000001</v>
      </c>
      <c r="M907">
        <v>255.30099999999999</v>
      </c>
      <c r="N907">
        <v>252.512</v>
      </c>
      <c r="O907">
        <v>256.238</v>
      </c>
      <c r="P907">
        <v>278.93200000000002</v>
      </c>
      <c r="Q907">
        <v>301.06</v>
      </c>
      <c r="R907">
        <v>305.476</v>
      </c>
      <c r="S907">
        <v>308.84800000000001</v>
      </c>
      <c r="T907">
        <v>309.76600000000002</v>
      </c>
      <c r="U907">
        <v>320.72800000000001</v>
      </c>
      <c r="V907">
        <v>346.16699999999997</v>
      </c>
      <c r="W907">
        <v>355.36700000000002</v>
      </c>
      <c r="X907">
        <v>381.24200000000002</v>
      </c>
      <c r="Y907">
        <v>375.72300000000001</v>
      </c>
      <c r="Z907">
        <v>396.68099999999998</v>
      </c>
      <c r="AA907">
        <v>416.70400000000001</v>
      </c>
      <c r="AB907">
        <v>434.54</v>
      </c>
      <c r="AC907">
        <v>421.65600000000001</v>
      </c>
      <c r="AD907">
        <v>414.16899999999998</v>
      </c>
      <c r="AE907">
        <v>399.83600000000001</v>
      </c>
      <c r="AF907">
        <v>371.64299999999997</v>
      </c>
      <c r="AG907">
        <v>380.29199999999997</v>
      </c>
      <c r="AH907">
        <v>397.93599999999998</v>
      </c>
      <c r="AI907">
        <v>425.01799999999997</v>
      </c>
      <c r="AJ907">
        <v>442.43799999999999</v>
      </c>
      <c r="AK907">
        <v>471.38</v>
      </c>
      <c r="AL907">
        <v>505.20699999999999</v>
      </c>
      <c r="AM907">
        <v>526.64599999999996</v>
      </c>
      <c r="AN907">
        <v>567.74199999999996</v>
      </c>
      <c r="AO907">
        <v>597.04999999999995</v>
      </c>
      <c r="AP907">
        <v>616.89</v>
      </c>
      <c r="AQ907">
        <v>648.35400000000004</v>
      </c>
      <c r="AR907">
        <v>671.03599999999994</v>
      </c>
      <c r="AS907">
        <v>687.82500000000005</v>
      </c>
      <c r="AT907">
        <v>702.95699999999999</v>
      </c>
      <c r="AU907">
        <v>722.64400000000001</v>
      </c>
      <c r="AV907">
        <v>744.346</v>
      </c>
      <c r="AW907">
        <v>767.41200000000003</v>
      </c>
      <c r="AX907">
        <v>791.29499999999996</v>
      </c>
      <c r="AY907">
        <v>2014</v>
      </c>
    </row>
    <row r="908" spans="1:51" x14ac:dyDescent="0.25">
      <c r="A908">
        <v>298</v>
      </c>
      <c r="B908" t="s">
        <v>855</v>
      </c>
      <c r="C908" t="s">
        <v>286</v>
      </c>
      <c r="D908" t="s">
        <v>228</v>
      </c>
      <c r="E908" t="s">
        <v>287</v>
      </c>
      <c r="F908" t="s">
        <v>288</v>
      </c>
      <c r="G908" t="s">
        <v>282</v>
      </c>
      <c r="H908" t="s">
        <v>283</v>
      </c>
      <c r="I908" t="s">
        <v>856</v>
      </c>
      <c r="J908">
        <v>0.10199999999999999</v>
      </c>
      <c r="K908">
        <v>0.13500000000000001</v>
      </c>
      <c r="L908">
        <v>0.14199999999999999</v>
      </c>
      <c r="M908">
        <v>0.19400000000000001</v>
      </c>
      <c r="N908">
        <v>0.29899999999999999</v>
      </c>
      <c r="O908">
        <v>0.52900000000000003</v>
      </c>
      <c r="P908">
        <v>0.98299999999999998</v>
      </c>
      <c r="Q908">
        <v>1.835</v>
      </c>
      <c r="R908">
        <v>3.01</v>
      </c>
      <c r="S908">
        <v>5.3440000000000003</v>
      </c>
      <c r="T908">
        <v>12.01</v>
      </c>
      <c r="U908">
        <v>24.971</v>
      </c>
      <c r="V908">
        <v>43.02</v>
      </c>
      <c r="W908">
        <v>65.296999999999997</v>
      </c>
      <c r="X908">
        <v>97.341999999999999</v>
      </c>
      <c r="Y908">
        <v>135.31100000000001</v>
      </c>
      <c r="Z908">
        <v>180.619</v>
      </c>
      <c r="AA908">
        <v>226.31800000000001</v>
      </c>
      <c r="AB908">
        <v>265.839</v>
      </c>
      <c r="AC908">
        <v>271.96100000000001</v>
      </c>
      <c r="AD908">
        <v>276.15199999999999</v>
      </c>
      <c r="AE908">
        <v>278.35300000000001</v>
      </c>
      <c r="AF908">
        <v>289.233</v>
      </c>
      <c r="AG908">
        <v>339.79199999999997</v>
      </c>
      <c r="AH908">
        <v>392.85</v>
      </c>
      <c r="AI908">
        <v>425.01799999999997</v>
      </c>
      <c r="AJ908">
        <v>471.34399999999999</v>
      </c>
      <c r="AK908">
        <v>549.47</v>
      </c>
      <c r="AL908">
        <v>636.15099999999995</v>
      </c>
      <c r="AM908">
        <v>714.52300000000002</v>
      </c>
      <c r="AN908">
        <v>808.07899999999995</v>
      </c>
      <c r="AO908">
        <v>926.35599999999999</v>
      </c>
      <c r="AP908" s="21">
        <v>1043.6369999999999</v>
      </c>
      <c r="AQ908" s="21">
        <v>1178.1969999999999</v>
      </c>
      <c r="AR908" s="21">
        <v>1335.9770000000001</v>
      </c>
      <c r="AS908" s="21">
        <v>1492.3489999999999</v>
      </c>
      <c r="AT908" s="21">
        <v>1649.538</v>
      </c>
      <c r="AU908" s="21">
        <v>1824.9780000000001</v>
      </c>
      <c r="AV908" s="21">
        <v>2014.297</v>
      </c>
      <c r="AW908" s="21">
        <v>2207.721</v>
      </c>
      <c r="AX908" s="21">
        <v>2418.6750000000002</v>
      </c>
      <c r="AY908">
        <v>2014</v>
      </c>
    </row>
    <row r="909" spans="1:51" x14ac:dyDescent="0.25">
      <c r="A909">
        <v>298</v>
      </c>
      <c r="B909" t="s">
        <v>855</v>
      </c>
      <c r="C909" t="s">
        <v>289</v>
      </c>
      <c r="D909" t="s">
        <v>228</v>
      </c>
      <c r="E909" t="s">
        <v>287</v>
      </c>
      <c r="F909" t="s">
        <v>290</v>
      </c>
      <c r="G909" t="s">
        <v>291</v>
      </c>
      <c r="H909" t="s">
        <v>283</v>
      </c>
      <c r="I909" t="s">
        <v>292</v>
      </c>
      <c r="J909">
        <v>11.199</v>
      </c>
      <c r="K909">
        <v>12.499000000000001</v>
      </c>
      <c r="L909">
        <v>10.218</v>
      </c>
      <c r="M909">
        <v>5.609</v>
      </c>
      <c r="N909">
        <v>5.3339999999999996</v>
      </c>
      <c r="O909">
        <v>5.2119999999999997</v>
      </c>
      <c r="P909">
        <v>6.47</v>
      </c>
      <c r="Q909">
        <v>8.0950000000000006</v>
      </c>
      <c r="R909">
        <v>8.375</v>
      </c>
      <c r="S909">
        <v>8.827</v>
      </c>
      <c r="T909">
        <v>10.27</v>
      </c>
      <c r="U909">
        <v>12.375999999999999</v>
      </c>
      <c r="V909">
        <v>14.223000000000001</v>
      </c>
      <c r="W909">
        <v>16.568000000000001</v>
      </c>
      <c r="X909">
        <v>19.298999999999999</v>
      </c>
      <c r="Y909">
        <v>21.312000000000001</v>
      </c>
      <c r="Z909">
        <v>22.657</v>
      </c>
      <c r="AA909">
        <v>23.974</v>
      </c>
      <c r="AB909">
        <v>25.393999999999998</v>
      </c>
      <c r="AC909">
        <v>23.995000000000001</v>
      </c>
      <c r="AD909">
        <v>22.832000000000001</v>
      </c>
      <c r="AE909">
        <v>20.907</v>
      </c>
      <c r="AF909">
        <v>13.632</v>
      </c>
      <c r="AG909">
        <v>12.067</v>
      </c>
      <c r="AH909">
        <v>13.708</v>
      </c>
      <c r="AI909">
        <v>17.398</v>
      </c>
      <c r="AJ909">
        <v>19.62</v>
      </c>
      <c r="AK909">
        <v>23.460999999999999</v>
      </c>
      <c r="AL909">
        <v>30.366</v>
      </c>
      <c r="AM909">
        <v>31.661000000000001</v>
      </c>
      <c r="AN909">
        <v>40.284999999999997</v>
      </c>
      <c r="AO909">
        <v>47.962000000000003</v>
      </c>
      <c r="AP909">
        <v>51.384999999999998</v>
      </c>
      <c r="AQ909">
        <v>57.524999999999999</v>
      </c>
      <c r="AR909">
        <v>57.470999999999997</v>
      </c>
      <c r="AS909">
        <v>54.968000000000004</v>
      </c>
      <c r="AT909">
        <v>57.151000000000003</v>
      </c>
      <c r="AU909">
        <v>59.942999999999998</v>
      </c>
      <c r="AV909">
        <v>63.134</v>
      </c>
      <c r="AW909">
        <v>66.531999999999996</v>
      </c>
      <c r="AX909">
        <v>70.106999999999999</v>
      </c>
      <c r="AY909">
        <v>2014</v>
      </c>
    </row>
    <row r="910" spans="1:51" x14ac:dyDescent="0.25">
      <c r="A910">
        <v>298</v>
      </c>
      <c r="B910" t="s">
        <v>855</v>
      </c>
      <c r="C910" t="s">
        <v>293</v>
      </c>
      <c r="D910" t="s">
        <v>228</v>
      </c>
      <c r="E910" t="s">
        <v>294</v>
      </c>
      <c r="F910" t="s">
        <v>295</v>
      </c>
      <c r="G910" t="s">
        <v>296</v>
      </c>
      <c r="I910" t="s">
        <v>297</v>
      </c>
      <c r="J910">
        <v>3.5999999999999997E-2</v>
      </c>
      <c r="K910">
        <v>4.5999999999999999E-2</v>
      </c>
      <c r="L910">
        <v>5.3999999999999999E-2</v>
      </c>
      <c r="M910">
        <v>7.5999999999999998E-2</v>
      </c>
      <c r="N910">
        <v>0.11899999999999999</v>
      </c>
      <c r="O910">
        <v>0.20599999999999999</v>
      </c>
      <c r="P910">
        <v>0.35299999999999998</v>
      </c>
      <c r="Q910">
        <v>0.60899999999999999</v>
      </c>
      <c r="R910">
        <v>0.98499999999999999</v>
      </c>
      <c r="S910">
        <v>1.73</v>
      </c>
      <c r="T910">
        <v>3.8769999999999998</v>
      </c>
      <c r="U910">
        <v>7.7859999999999996</v>
      </c>
      <c r="V910">
        <v>12.428000000000001</v>
      </c>
      <c r="W910">
        <v>18.375</v>
      </c>
      <c r="X910">
        <v>25.533000000000001</v>
      </c>
      <c r="Y910">
        <v>36.014000000000003</v>
      </c>
      <c r="Z910">
        <v>45.531999999999996</v>
      </c>
      <c r="AA910">
        <v>54.311</v>
      </c>
      <c r="AB910">
        <v>61.177</v>
      </c>
      <c r="AC910">
        <v>64.498000000000005</v>
      </c>
      <c r="AD910">
        <v>66.676000000000002</v>
      </c>
      <c r="AE910">
        <v>69.617000000000004</v>
      </c>
      <c r="AF910">
        <v>77.825999999999993</v>
      </c>
      <c r="AG910">
        <v>89.35</v>
      </c>
      <c r="AH910">
        <v>98.721999999999994</v>
      </c>
      <c r="AI910">
        <v>100</v>
      </c>
      <c r="AJ910">
        <v>106.533</v>
      </c>
      <c r="AK910">
        <v>116.566</v>
      </c>
      <c r="AL910">
        <v>125.919</v>
      </c>
      <c r="AM910">
        <v>135.67400000000001</v>
      </c>
      <c r="AN910">
        <v>142.33199999999999</v>
      </c>
      <c r="AO910">
        <v>155.15600000000001</v>
      </c>
      <c r="AP910">
        <v>169.17699999999999</v>
      </c>
      <c r="AQ910">
        <v>181.721</v>
      </c>
      <c r="AR910">
        <v>199.09200000000001</v>
      </c>
      <c r="AS910">
        <v>216.96600000000001</v>
      </c>
      <c r="AT910">
        <v>234.65700000000001</v>
      </c>
      <c r="AU910">
        <v>252.542</v>
      </c>
      <c r="AV910">
        <v>270.613</v>
      </c>
      <c r="AW910">
        <v>287.68400000000003</v>
      </c>
      <c r="AX910">
        <v>305.66000000000003</v>
      </c>
      <c r="AY910">
        <v>2014</v>
      </c>
    </row>
    <row r="911" spans="1:51" x14ac:dyDescent="0.25">
      <c r="A911">
        <v>298</v>
      </c>
      <c r="B911" t="s">
        <v>855</v>
      </c>
      <c r="C911" t="s">
        <v>298</v>
      </c>
      <c r="D911" t="s">
        <v>228</v>
      </c>
      <c r="E911" t="s">
        <v>299</v>
      </c>
      <c r="F911" t="s">
        <v>300</v>
      </c>
      <c r="G911" t="s">
        <v>282</v>
      </c>
      <c r="H911" t="s">
        <v>283</v>
      </c>
      <c r="I911" t="s">
        <v>857</v>
      </c>
      <c r="J911" t="s">
        <v>285</v>
      </c>
      <c r="K911" t="s">
        <v>285</v>
      </c>
      <c r="L911" t="s">
        <v>285</v>
      </c>
      <c r="M911" t="s">
        <v>285</v>
      </c>
      <c r="N911" t="s">
        <v>285</v>
      </c>
      <c r="O911" t="s">
        <v>285</v>
      </c>
      <c r="P911" t="s">
        <v>285</v>
      </c>
      <c r="Q911" t="s">
        <v>285</v>
      </c>
      <c r="R911" t="s">
        <v>285</v>
      </c>
      <c r="S911" t="s">
        <v>285</v>
      </c>
      <c r="T911" t="s">
        <v>285</v>
      </c>
      <c r="U911" t="s">
        <v>285</v>
      </c>
      <c r="V911" t="s">
        <v>285</v>
      </c>
      <c r="W911" t="s">
        <v>285</v>
      </c>
      <c r="X911" t="s">
        <v>285</v>
      </c>
      <c r="Y911" t="s">
        <v>285</v>
      </c>
      <c r="Z911" t="s">
        <v>285</v>
      </c>
      <c r="AA911" t="s">
        <v>285</v>
      </c>
      <c r="AB911" t="s">
        <v>285</v>
      </c>
      <c r="AC911">
        <v>80.623999999999995</v>
      </c>
      <c r="AD911">
        <v>80.418999999999997</v>
      </c>
      <c r="AE911">
        <v>84.745999999999995</v>
      </c>
      <c r="AF911">
        <v>87.012</v>
      </c>
      <c r="AG911">
        <v>102.901</v>
      </c>
      <c r="AH911">
        <v>116.613</v>
      </c>
      <c r="AI911">
        <v>121.90600000000001</v>
      </c>
      <c r="AJ911">
        <v>137.15600000000001</v>
      </c>
      <c r="AK911">
        <v>158.636</v>
      </c>
      <c r="AL911">
        <v>182.45699999999999</v>
      </c>
      <c r="AM911">
        <v>212.244</v>
      </c>
      <c r="AN911">
        <v>246.078</v>
      </c>
      <c r="AO911">
        <v>270.30399999999997</v>
      </c>
      <c r="AP911">
        <v>317.39800000000002</v>
      </c>
      <c r="AQ911">
        <v>374.97800000000001</v>
      </c>
      <c r="AR911">
        <v>429.73599999999999</v>
      </c>
      <c r="AS911">
        <v>479.27800000000002</v>
      </c>
      <c r="AT911">
        <v>531.73</v>
      </c>
      <c r="AU911">
        <v>585.928</v>
      </c>
      <c r="AV911">
        <v>645.81700000000001</v>
      </c>
      <c r="AW911">
        <v>705.56799999999998</v>
      </c>
      <c r="AX911">
        <v>771.76700000000005</v>
      </c>
      <c r="AY911">
        <v>2014</v>
      </c>
    </row>
    <row r="912" spans="1:51" x14ac:dyDescent="0.25">
      <c r="A912">
        <v>927</v>
      </c>
      <c r="B912" t="s">
        <v>858</v>
      </c>
      <c r="C912" t="s">
        <v>279</v>
      </c>
      <c r="D912" t="s">
        <v>229</v>
      </c>
      <c r="E912" t="s">
        <v>280</v>
      </c>
      <c r="F912" t="s">
        <v>281</v>
      </c>
      <c r="G912" t="s">
        <v>282</v>
      </c>
      <c r="H912" t="s">
        <v>283</v>
      </c>
      <c r="I912" t="s">
        <v>859</v>
      </c>
      <c r="J912" t="s">
        <v>285</v>
      </c>
      <c r="K912" t="s">
        <v>285</v>
      </c>
      <c r="L912" t="s">
        <v>285</v>
      </c>
      <c r="M912" t="s">
        <v>285</v>
      </c>
      <c r="N912" t="s">
        <v>285</v>
      </c>
      <c r="O912" t="s">
        <v>285</v>
      </c>
      <c r="P912" t="s">
        <v>285</v>
      </c>
      <c r="Q912" t="s">
        <v>285</v>
      </c>
      <c r="R912" t="s">
        <v>285</v>
      </c>
      <c r="S912" t="s">
        <v>285</v>
      </c>
      <c r="T912" t="s">
        <v>285</v>
      </c>
      <c r="U912" t="s">
        <v>285</v>
      </c>
      <c r="V912">
        <v>425.625</v>
      </c>
      <c r="W912">
        <v>415.64</v>
      </c>
      <c r="X912">
        <v>394.02600000000001</v>
      </c>
      <c r="Y912">
        <v>390.48</v>
      </c>
      <c r="Z912">
        <v>397.11799999999999</v>
      </c>
      <c r="AA912">
        <v>417.76900000000001</v>
      </c>
      <c r="AB912">
        <v>435.77</v>
      </c>
      <c r="AC912">
        <v>454.50799999999998</v>
      </c>
      <c r="AD912">
        <v>471.779</v>
      </c>
      <c r="AE912">
        <v>491.59500000000003</v>
      </c>
      <c r="AF912">
        <v>511.25900000000001</v>
      </c>
      <c r="AG912">
        <v>532.73199999999997</v>
      </c>
      <c r="AH912">
        <v>572.154</v>
      </c>
      <c r="AI912">
        <v>612.20399999999995</v>
      </c>
      <c r="AJ912">
        <v>658.12</v>
      </c>
      <c r="AK912">
        <v>720.64099999999996</v>
      </c>
      <c r="AL912">
        <v>785.49900000000002</v>
      </c>
      <c r="AM912">
        <v>849.12400000000002</v>
      </c>
      <c r="AN912">
        <v>921.3</v>
      </c>
      <c r="AO912">
        <v>997.76800000000003</v>
      </c>
      <c r="AP912" s="21">
        <v>1079.585</v>
      </c>
      <c r="AQ912" s="21">
        <v>1165.951</v>
      </c>
      <c r="AR912" s="21">
        <v>1260.393</v>
      </c>
      <c r="AS912" s="21">
        <v>1346.1</v>
      </c>
      <c r="AT912" s="21">
        <v>1440.327</v>
      </c>
      <c r="AU912" s="21">
        <v>1536.829</v>
      </c>
      <c r="AV912" s="21">
        <v>1636.723</v>
      </c>
      <c r="AW912" s="21">
        <v>1743.11</v>
      </c>
      <c r="AX912" s="21">
        <v>1856.412</v>
      </c>
      <c r="AY912">
        <v>2014</v>
      </c>
    </row>
    <row r="913" spans="1:51" x14ac:dyDescent="0.25">
      <c r="A913">
        <v>927</v>
      </c>
      <c r="B913" t="s">
        <v>858</v>
      </c>
      <c r="C913" t="s">
        <v>286</v>
      </c>
      <c r="D913" t="s">
        <v>229</v>
      </c>
      <c r="E913" t="s">
        <v>287</v>
      </c>
      <c r="F913" t="s">
        <v>288</v>
      </c>
      <c r="G913" t="s">
        <v>282</v>
      </c>
      <c r="H913" t="s">
        <v>283</v>
      </c>
      <c r="I913" t="s">
        <v>859</v>
      </c>
      <c r="J913" t="s">
        <v>285</v>
      </c>
      <c r="K913" t="s">
        <v>285</v>
      </c>
      <c r="L913" t="s">
        <v>285</v>
      </c>
      <c r="M913" t="s">
        <v>285</v>
      </c>
      <c r="N913" t="s">
        <v>285</v>
      </c>
      <c r="O913" t="s">
        <v>285</v>
      </c>
      <c r="P913" t="s">
        <v>285</v>
      </c>
      <c r="Q913" t="s">
        <v>285</v>
      </c>
      <c r="R913" t="s">
        <v>285</v>
      </c>
      <c r="S913" t="s">
        <v>285</v>
      </c>
      <c r="T913" t="s">
        <v>285</v>
      </c>
      <c r="U913" t="s">
        <v>285</v>
      </c>
      <c r="V913">
        <v>0.44400000000000001</v>
      </c>
      <c r="W913">
        <v>5.0949999999999998</v>
      </c>
      <c r="X913">
        <v>64.878</v>
      </c>
      <c r="Y913">
        <v>302.79000000000002</v>
      </c>
      <c r="Z913">
        <v>559.07299999999998</v>
      </c>
      <c r="AA913">
        <v>976.83</v>
      </c>
      <c r="AB913" s="21">
        <v>1416.1569999999999</v>
      </c>
      <c r="AC913" s="21">
        <v>2128.66</v>
      </c>
      <c r="AD913" s="21">
        <v>3255.567</v>
      </c>
      <c r="AE913" s="21">
        <v>4925.34</v>
      </c>
      <c r="AF913" s="21">
        <v>7450.2430000000004</v>
      </c>
      <c r="AG913" s="21">
        <v>9837.7999999999993</v>
      </c>
      <c r="AH913" s="21">
        <v>12261</v>
      </c>
      <c r="AI913" s="21">
        <v>15923.4</v>
      </c>
      <c r="AJ913" s="21">
        <v>20759.3</v>
      </c>
      <c r="AK913" s="21">
        <v>28186.2</v>
      </c>
      <c r="AL913" s="21">
        <v>37746.699999999997</v>
      </c>
      <c r="AM913" s="21">
        <v>49042.5</v>
      </c>
      <c r="AN913" s="21">
        <v>61793.9</v>
      </c>
      <c r="AO913" s="21">
        <v>77866.100000000006</v>
      </c>
      <c r="AP913" s="21">
        <v>96723.4</v>
      </c>
      <c r="AQ913" s="21">
        <v>119750.39999999999</v>
      </c>
      <c r="AR913" s="21">
        <v>144867.9</v>
      </c>
      <c r="AS913" s="21">
        <v>175876.66699999999</v>
      </c>
      <c r="AT913" s="21">
        <v>209844.70199999999</v>
      </c>
      <c r="AU913" s="21">
        <v>246818.25700000001</v>
      </c>
      <c r="AV913" s="21">
        <v>289436.68900000001</v>
      </c>
      <c r="AW913" s="21">
        <v>339389.44099999999</v>
      </c>
      <c r="AX913" s="21">
        <v>397963.34399999998</v>
      </c>
      <c r="AY913">
        <v>2014</v>
      </c>
    </row>
    <row r="914" spans="1:51" x14ac:dyDescent="0.25">
      <c r="A914">
        <v>927</v>
      </c>
      <c r="B914" t="s">
        <v>858</v>
      </c>
      <c r="C914" t="s">
        <v>289</v>
      </c>
      <c r="D914" t="s">
        <v>229</v>
      </c>
      <c r="E914" t="s">
        <v>287</v>
      </c>
      <c r="F914" t="s">
        <v>290</v>
      </c>
      <c r="G914" t="s">
        <v>291</v>
      </c>
      <c r="H914" t="s">
        <v>283</v>
      </c>
      <c r="I914" t="s">
        <v>292</v>
      </c>
      <c r="J914" t="s">
        <v>285</v>
      </c>
      <c r="K914" t="s">
        <v>285</v>
      </c>
      <c r="L914" t="s">
        <v>285</v>
      </c>
      <c r="M914" t="s">
        <v>285</v>
      </c>
      <c r="N914" t="s">
        <v>285</v>
      </c>
      <c r="O914" t="s">
        <v>285</v>
      </c>
      <c r="P914" t="s">
        <v>285</v>
      </c>
      <c r="Q914" t="s">
        <v>285</v>
      </c>
      <c r="R914" t="s">
        <v>285</v>
      </c>
      <c r="S914" t="s">
        <v>285</v>
      </c>
      <c r="T914" t="s">
        <v>285</v>
      </c>
      <c r="U914" t="s">
        <v>285</v>
      </c>
      <c r="V914">
        <v>3.5710000000000002</v>
      </c>
      <c r="W914">
        <v>5.5019999999999998</v>
      </c>
      <c r="X914">
        <v>6.5209999999999999</v>
      </c>
      <c r="Y914">
        <v>10.167999999999999</v>
      </c>
      <c r="Z914">
        <v>13.922000000000001</v>
      </c>
      <c r="AA914">
        <v>14.705</v>
      </c>
      <c r="AB914">
        <v>14.948</v>
      </c>
      <c r="AC914">
        <v>17.041</v>
      </c>
      <c r="AD914">
        <v>13.717000000000001</v>
      </c>
      <c r="AE914">
        <v>11.632</v>
      </c>
      <c r="AF914">
        <v>9.657</v>
      </c>
      <c r="AG914">
        <v>10.129</v>
      </c>
      <c r="AH914">
        <v>12.000999999999999</v>
      </c>
      <c r="AI914">
        <v>14.31</v>
      </c>
      <c r="AJ914">
        <v>17.027000000000001</v>
      </c>
      <c r="AK914">
        <v>22.306999999999999</v>
      </c>
      <c r="AL914">
        <v>28.605</v>
      </c>
      <c r="AM914">
        <v>33.460999999999999</v>
      </c>
      <c r="AN914">
        <v>38.963000000000001</v>
      </c>
      <c r="AO914">
        <v>45.420999999999999</v>
      </c>
      <c r="AP914">
        <v>51.185000000000002</v>
      </c>
      <c r="AQ914">
        <v>57.17</v>
      </c>
      <c r="AR914">
        <v>62.613</v>
      </c>
      <c r="AS914">
        <v>65.953000000000003</v>
      </c>
      <c r="AT914">
        <v>68.698999999999998</v>
      </c>
      <c r="AU914">
        <v>73.456999999999994</v>
      </c>
      <c r="AV914">
        <v>78.31</v>
      </c>
      <c r="AW914">
        <v>83.477999999999994</v>
      </c>
      <c r="AX914">
        <v>88.986000000000004</v>
      </c>
      <c r="AY914">
        <v>2014</v>
      </c>
    </row>
    <row r="915" spans="1:51" x14ac:dyDescent="0.25">
      <c r="A915">
        <v>927</v>
      </c>
      <c r="B915" t="s">
        <v>858</v>
      </c>
      <c r="C915" t="s">
        <v>293</v>
      </c>
      <c r="D915" t="s">
        <v>229</v>
      </c>
      <c r="E915" t="s">
        <v>294</v>
      </c>
      <c r="F915" t="s">
        <v>295</v>
      </c>
      <c r="G915" t="s">
        <v>296</v>
      </c>
      <c r="I915" t="s">
        <v>297</v>
      </c>
      <c r="J915" t="s">
        <v>285</v>
      </c>
      <c r="K915" t="s">
        <v>285</v>
      </c>
      <c r="L915" t="s">
        <v>285</v>
      </c>
      <c r="M915" t="s">
        <v>285</v>
      </c>
      <c r="N915" t="s">
        <v>285</v>
      </c>
      <c r="O915" t="s">
        <v>285</v>
      </c>
      <c r="P915" t="s">
        <v>285</v>
      </c>
      <c r="Q915" t="s">
        <v>285</v>
      </c>
      <c r="R915" t="s">
        <v>285</v>
      </c>
      <c r="S915" t="s">
        <v>285</v>
      </c>
      <c r="T915" t="s">
        <v>285</v>
      </c>
      <c r="U915" t="s">
        <v>285</v>
      </c>
      <c r="V915">
        <v>0.104</v>
      </c>
      <c r="W915">
        <v>1.226</v>
      </c>
      <c r="X915">
        <v>16.465</v>
      </c>
      <c r="Y915">
        <v>77.543000000000006</v>
      </c>
      <c r="Z915">
        <v>140.78200000000001</v>
      </c>
      <c r="AA915">
        <v>233.821</v>
      </c>
      <c r="AB915">
        <v>324.97800000000001</v>
      </c>
      <c r="AC915">
        <v>468.34399999999999</v>
      </c>
      <c r="AD915">
        <v>690.06100000000004</v>
      </c>
      <c r="AE915" s="21">
        <v>1001.91</v>
      </c>
      <c r="AF915" s="21">
        <v>1457.2360000000001</v>
      </c>
      <c r="AG915" s="21">
        <v>1846.671</v>
      </c>
      <c r="AH915" s="21">
        <v>2142.9560000000001</v>
      </c>
      <c r="AI915" s="21">
        <v>2600.9940000000001</v>
      </c>
      <c r="AJ915" s="21">
        <v>3154.335</v>
      </c>
      <c r="AK915" s="21">
        <v>3911.2669999999998</v>
      </c>
      <c r="AL915" s="21">
        <v>4805.4430000000002</v>
      </c>
      <c r="AM915" s="21">
        <v>5775.6570000000002</v>
      </c>
      <c r="AN915" s="21">
        <v>6707.2520000000004</v>
      </c>
      <c r="AO915" s="21">
        <v>7804.0309999999999</v>
      </c>
      <c r="AP915" s="21">
        <v>8959.3169999999991</v>
      </c>
      <c r="AQ915" s="21">
        <v>10270.617</v>
      </c>
      <c r="AR915" s="21">
        <v>11493.864</v>
      </c>
      <c r="AS915" s="21">
        <v>13065.645</v>
      </c>
      <c r="AT915" s="21">
        <v>14569.239</v>
      </c>
      <c r="AU915" s="21">
        <v>16060.227999999999</v>
      </c>
      <c r="AV915" s="21">
        <v>17683.914000000001</v>
      </c>
      <c r="AW915" s="21">
        <v>19470.34</v>
      </c>
      <c r="AX915" s="21">
        <v>21437.23</v>
      </c>
      <c r="AY915">
        <v>2014</v>
      </c>
    </row>
    <row r="916" spans="1:51" x14ac:dyDescent="0.25">
      <c r="A916">
        <v>927</v>
      </c>
      <c r="B916" t="s">
        <v>858</v>
      </c>
      <c r="C916" t="s">
        <v>298</v>
      </c>
      <c r="D916" t="s">
        <v>229</v>
      </c>
      <c r="E916" t="s">
        <v>299</v>
      </c>
      <c r="F916" t="s">
        <v>300</v>
      </c>
      <c r="G916" t="s">
        <v>282</v>
      </c>
      <c r="H916" t="s">
        <v>283</v>
      </c>
      <c r="I916" t="s">
        <v>860</v>
      </c>
      <c r="J916" t="s">
        <v>285</v>
      </c>
      <c r="K916" t="s">
        <v>285</v>
      </c>
      <c r="L916" t="s">
        <v>285</v>
      </c>
      <c r="M916" t="s">
        <v>285</v>
      </c>
      <c r="N916" t="s">
        <v>285</v>
      </c>
      <c r="O916" t="s">
        <v>285</v>
      </c>
      <c r="P916" t="s">
        <v>285</v>
      </c>
      <c r="Q916" t="s">
        <v>285</v>
      </c>
      <c r="R916" t="s">
        <v>285</v>
      </c>
      <c r="S916" t="s">
        <v>285</v>
      </c>
      <c r="T916" t="s">
        <v>285</v>
      </c>
      <c r="U916" t="s">
        <v>285</v>
      </c>
      <c r="V916">
        <v>0.13</v>
      </c>
      <c r="W916">
        <v>2.5270000000000001</v>
      </c>
      <c r="X916">
        <v>22.044</v>
      </c>
      <c r="Y916">
        <v>116.447</v>
      </c>
      <c r="Z916">
        <v>278.69</v>
      </c>
      <c r="AA916">
        <v>385.93599999999998</v>
      </c>
      <c r="AB916">
        <v>623.351</v>
      </c>
      <c r="AC916">
        <v>884.49599999999998</v>
      </c>
      <c r="AD916" s="21">
        <v>1272.6669999999999</v>
      </c>
      <c r="AE916" s="21">
        <v>1755.396</v>
      </c>
      <c r="AF916" s="21">
        <v>2784.8780000000002</v>
      </c>
      <c r="AG916" s="21">
        <v>3266.18</v>
      </c>
      <c r="AH916" s="21">
        <v>3870.9409999999998</v>
      </c>
      <c r="AI916" s="21">
        <v>4701.0389999999998</v>
      </c>
      <c r="AJ916" s="21">
        <v>6381.6189999999997</v>
      </c>
      <c r="AK916" s="21">
        <v>8741.9449999999997</v>
      </c>
      <c r="AL916" s="21">
        <v>12453.344999999999</v>
      </c>
      <c r="AM916" s="21">
        <v>16806.941999999999</v>
      </c>
      <c r="AN916" s="21">
        <v>20657.468000000001</v>
      </c>
      <c r="AO916" s="21">
        <v>25246.749</v>
      </c>
      <c r="AP916" s="21">
        <v>32607.152999999998</v>
      </c>
      <c r="AQ916" s="21">
        <v>40583.754000000001</v>
      </c>
      <c r="AR916" s="21">
        <v>48313.942999999999</v>
      </c>
      <c r="AS916" s="21">
        <v>61882.347000000002</v>
      </c>
      <c r="AT916" s="21">
        <v>72073.633000000002</v>
      </c>
      <c r="AU916" s="21">
        <v>84713.775999999998</v>
      </c>
      <c r="AV916" s="21">
        <v>99093.241999999998</v>
      </c>
      <c r="AW916" s="21">
        <v>115924.72199999999</v>
      </c>
      <c r="AX916" s="21">
        <v>135635.739</v>
      </c>
      <c r="AY916">
        <v>2014</v>
      </c>
    </row>
    <row r="917" spans="1:51" x14ac:dyDescent="0.25">
      <c r="A917">
        <v>846</v>
      </c>
      <c r="B917" t="s">
        <v>861</v>
      </c>
      <c r="C917" t="s">
        <v>279</v>
      </c>
      <c r="D917" t="s">
        <v>230</v>
      </c>
      <c r="E917" t="s">
        <v>280</v>
      </c>
      <c r="F917" t="s">
        <v>281</v>
      </c>
      <c r="G917" t="s">
        <v>282</v>
      </c>
      <c r="H917" t="s">
        <v>283</v>
      </c>
      <c r="I917" t="s">
        <v>862</v>
      </c>
      <c r="J917">
        <v>24.097999999999999</v>
      </c>
      <c r="K917">
        <v>25.152999999999999</v>
      </c>
      <c r="L917">
        <v>25.651</v>
      </c>
      <c r="M917">
        <v>26.422999999999998</v>
      </c>
      <c r="N917">
        <v>28.952999999999999</v>
      </c>
      <c r="O917">
        <v>29.242999999999999</v>
      </c>
      <c r="P917">
        <v>29.199000000000002</v>
      </c>
      <c r="Q917">
        <v>28.353999999999999</v>
      </c>
      <c r="R917">
        <v>27.873999999999999</v>
      </c>
      <c r="S917">
        <v>28.300999999999998</v>
      </c>
      <c r="T917">
        <v>31.611000000000001</v>
      </c>
      <c r="U917">
        <v>32.606000000000002</v>
      </c>
      <c r="V917">
        <v>33.448999999999998</v>
      </c>
      <c r="W917">
        <v>33.695</v>
      </c>
      <c r="X917">
        <v>36.755000000000003</v>
      </c>
      <c r="Y917">
        <v>37.124000000000002</v>
      </c>
      <c r="Z917">
        <v>37.988</v>
      </c>
      <c r="AA917">
        <v>39.851999999999997</v>
      </c>
      <c r="AB917">
        <v>40.320999999999998</v>
      </c>
      <c r="AC917">
        <v>40.457000000000001</v>
      </c>
      <c r="AD917">
        <v>42.853999999999999</v>
      </c>
      <c r="AE917">
        <v>41.398000000000003</v>
      </c>
      <c r="AF917">
        <v>39.246000000000002</v>
      </c>
      <c r="AG917">
        <v>40.929000000000002</v>
      </c>
      <c r="AH917">
        <v>42.561</v>
      </c>
      <c r="AI917">
        <v>44.819000000000003</v>
      </c>
      <c r="AJ917">
        <v>48.610999999999997</v>
      </c>
      <c r="AK917">
        <v>51.125999999999998</v>
      </c>
      <c r="AL917">
        <v>54.424999999999997</v>
      </c>
      <c r="AM917">
        <v>56.226999999999997</v>
      </c>
      <c r="AN917">
        <v>57.143000000000001</v>
      </c>
      <c r="AO917">
        <v>57.841999999999999</v>
      </c>
      <c r="AP917">
        <v>58.857999999999997</v>
      </c>
      <c r="AQ917">
        <v>60.017000000000003</v>
      </c>
      <c r="AR917">
        <v>61.415999999999997</v>
      </c>
      <c r="AS917">
        <v>60.186999999999998</v>
      </c>
      <c r="AT917">
        <v>63.197000000000003</v>
      </c>
      <c r="AU917">
        <v>66.040999999999997</v>
      </c>
      <c r="AV917">
        <v>68.352000000000004</v>
      </c>
      <c r="AW917">
        <v>70.061000000000007</v>
      </c>
      <c r="AX917">
        <v>71.811999999999998</v>
      </c>
      <c r="AY917">
        <v>2013</v>
      </c>
    </row>
    <row r="918" spans="1:51" x14ac:dyDescent="0.25">
      <c r="A918">
        <v>846</v>
      </c>
      <c r="B918" t="s">
        <v>861</v>
      </c>
      <c r="C918" t="s">
        <v>286</v>
      </c>
      <c r="D918" t="s">
        <v>230</v>
      </c>
      <c r="E918" t="s">
        <v>287</v>
      </c>
      <c r="F918" t="s">
        <v>288</v>
      </c>
      <c r="G918" t="s">
        <v>282</v>
      </c>
      <c r="H918" t="s">
        <v>283</v>
      </c>
      <c r="I918" t="s">
        <v>862</v>
      </c>
      <c r="J918">
        <v>8.2759999999999998</v>
      </c>
      <c r="K918">
        <v>9.9930000000000003</v>
      </c>
      <c r="L918">
        <v>11.016</v>
      </c>
      <c r="M918">
        <v>11.664999999999999</v>
      </c>
      <c r="N918">
        <v>14.337</v>
      </c>
      <c r="O918">
        <v>13.981</v>
      </c>
      <c r="P918">
        <v>13.545</v>
      </c>
      <c r="Q918">
        <v>15.32</v>
      </c>
      <c r="R918">
        <v>16.536000000000001</v>
      </c>
      <c r="S918">
        <v>17.872</v>
      </c>
      <c r="T918">
        <v>19.768999999999998</v>
      </c>
      <c r="U918">
        <v>22.484999999999999</v>
      </c>
      <c r="V918">
        <v>23.709</v>
      </c>
      <c r="W918">
        <v>24.376000000000001</v>
      </c>
      <c r="X918">
        <v>27.204000000000001</v>
      </c>
      <c r="Y918">
        <v>27.952999999999999</v>
      </c>
      <c r="Z918">
        <v>29.2</v>
      </c>
      <c r="AA918">
        <v>31.606000000000002</v>
      </c>
      <c r="AB918">
        <v>33.447000000000003</v>
      </c>
      <c r="AC918">
        <v>34.593000000000004</v>
      </c>
      <c r="AD918">
        <v>37.441000000000003</v>
      </c>
      <c r="AE918">
        <v>37.479999999999997</v>
      </c>
      <c r="AF918">
        <v>36.552999999999997</v>
      </c>
      <c r="AG918">
        <v>38.424999999999997</v>
      </c>
      <c r="AH918">
        <v>40.802</v>
      </c>
      <c r="AI918">
        <v>43.145000000000003</v>
      </c>
      <c r="AJ918">
        <v>48.610999999999997</v>
      </c>
      <c r="AK918">
        <v>53.927</v>
      </c>
      <c r="AL918">
        <v>61.606999999999999</v>
      </c>
      <c r="AM918">
        <v>65.117000000000004</v>
      </c>
      <c r="AN918">
        <v>67.911000000000001</v>
      </c>
      <c r="AO918">
        <v>70.873000000000005</v>
      </c>
      <c r="AP918">
        <v>72.415000000000006</v>
      </c>
      <c r="AQ918">
        <v>75.802999999999997</v>
      </c>
      <c r="AR918">
        <v>79.819000000000003</v>
      </c>
      <c r="AS918">
        <v>80.647000000000006</v>
      </c>
      <c r="AT918">
        <v>87.218999999999994</v>
      </c>
      <c r="AU918">
        <v>93.34</v>
      </c>
      <c r="AV918">
        <v>99.506</v>
      </c>
      <c r="AW918">
        <v>105.053</v>
      </c>
      <c r="AX918">
        <v>110.831</v>
      </c>
      <c r="AY918">
        <v>2013</v>
      </c>
    </row>
    <row r="919" spans="1:51" x14ac:dyDescent="0.25">
      <c r="A919">
        <v>846</v>
      </c>
      <c r="B919" t="s">
        <v>861</v>
      </c>
      <c r="C919" t="s">
        <v>289</v>
      </c>
      <c r="D919" t="s">
        <v>230</v>
      </c>
      <c r="E919" t="s">
        <v>287</v>
      </c>
      <c r="F919" t="s">
        <v>290</v>
      </c>
      <c r="G919" t="s">
        <v>291</v>
      </c>
      <c r="H919" t="s">
        <v>283</v>
      </c>
      <c r="I919" t="s">
        <v>292</v>
      </c>
      <c r="J919">
        <v>0.121</v>
      </c>
      <c r="K919">
        <v>0.114</v>
      </c>
      <c r="L919">
        <v>0.114</v>
      </c>
      <c r="M919">
        <v>0.11700000000000001</v>
      </c>
      <c r="N919">
        <v>0.14399999999999999</v>
      </c>
      <c r="O919">
        <v>0.13200000000000001</v>
      </c>
      <c r="P919">
        <v>0.128</v>
      </c>
      <c r="Q919">
        <v>0.13900000000000001</v>
      </c>
      <c r="R919">
        <v>0.158</v>
      </c>
      <c r="S919">
        <v>0.154</v>
      </c>
      <c r="T919">
        <v>0.16900000000000001</v>
      </c>
      <c r="U919">
        <v>0.20100000000000001</v>
      </c>
      <c r="V919">
        <v>0.20899999999999999</v>
      </c>
      <c r="W919">
        <v>0.2</v>
      </c>
      <c r="X919">
        <v>0.23400000000000001</v>
      </c>
      <c r="Y919">
        <v>0.249</v>
      </c>
      <c r="Z919">
        <v>0.26100000000000001</v>
      </c>
      <c r="AA919">
        <v>0.27300000000000002</v>
      </c>
      <c r="AB919">
        <v>0.26200000000000001</v>
      </c>
      <c r="AC919">
        <v>0.26800000000000002</v>
      </c>
      <c r="AD919">
        <v>0.27200000000000002</v>
      </c>
      <c r="AE919">
        <v>0.25800000000000001</v>
      </c>
      <c r="AF919">
        <v>0.26300000000000001</v>
      </c>
      <c r="AG919">
        <v>0.314</v>
      </c>
      <c r="AH919">
        <v>0.36499999999999999</v>
      </c>
      <c r="AI919">
        <v>0.39500000000000002</v>
      </c>
      <c r="AJ919">
        <v>0.439</v>
      </c>
      <c r="AK919">
        <v>0.52600000000000002</v>
      </c>
      <c r="AL919">
        <v>0.60799999999999998</v>
      </c>
      <c r="AM919">
        <v>0.61</v>
      </c>
      <c r="AN919">
        <v>0.70099999999999996</v>
      </c>
      <c r="AO919">
        <v>0.79200000000000004</v>
      </c>
      <c r="AP919">
        <v>0.78200000000000003</v>
      </c>
      <c r="AQ919">
        <v>0.80200000000000005</v>
      </c>
      <c r="AR919">
        <v>0.82199999999999995</v>
      </c>
      <c r="AS919">
        <v>0.77100000000000002</v>
      </c>
      <c r="AT919">
        <v>0.83199999999999996</v>
      </c>
      <c r="AU919">
        <v>0.89100000000000001</v>
      </c>
      <c r="AV919">
        <v>0.94899999999999995</v>
      </c>
      <c r="AW919">
        <v>1.002</v>
      </c>
      <c r="AX919">
        <v>1.0569999999999999</v>
      </c>
      <c r="AY919">
        <v>2013</v>
      </c>
    </row>
    <row r="920" spans="1:51" x14ac:dyDescent="0.25">
      <c r="A920">
        <v>846</v>
      </c>
      <c r="B920" t="s">
        <v>861</v>
      </c>
      <c r="C920" t="s">
        <v>293</v>
      </c>
      <c r="D920" t="s">
        <v>230</v>
      </c>
      <c r="E920" t="s">
        <v>294</v>
      </c>
      <c r="F920" t="s">
        <v>295</v>
      </c>
      <c r="G920" t="s">
        <v>296</v>
      </c>
      <c r="I920" t="s">
        <v>297</v>
      </c>
      <c r="J920">
        <v>34.344999999999999</v>
      </c>
      <c r="K920">
        <v>39.728999999999999</v>
      </c>
      <c r="L920">
        <v>42.945</v>
      </c>
      <c r="M920">
        <v>44.148000000000003</v>
      </c>
      <c r="N920">
        <v>49.52</v>
      </c>
      <c r="O920">
        <v>47.811999999999998</v>
      </c>
      <c r="P920">
        <v>46.39</v>
      </c>
      <c r="Q920">
        <v>54.031999999999996</v>
      </c>
      <c r="R920">
        <v>59.323</v>
      </c>
      <c r="S920">
        <v>63.15</v>
      </c>
      <c r="T920">
        <v>62.536000000000001</v>
      </c>
      <c r="U920">
        <v>68.957999999999998</v>
      </c>
      <c r="V920">
        <v>70.88</v>
      </c>
      <c r="W920">
        <v>72.341999999999999</v>
      </c>
      <c r="X920">
        <v>74.015000000000001</v>
      </c>
      <c r="Y920">
        <v>75.296999999999997</v>
      </c>
      <c r="Z920">
        <v>76.867000000000004</v>
      </c>
      <c r="AA920">
        <v>79.308999999999997</v>
      </c>
      <c r="AB920">
        <v>82.951999999999998</v>
      </c>
      <c r="AC920">
        <v>85.506</v>
      </c>
      <c r="AD920">
        <v>87.369</v>
      </c>
      <c r="AE920">
        <v>90.536000000000001</v>
      </c>
      <c r="AF920">
        <v>93.138000000000005</v>
      </c>
      <c r="AG920">
        <v>93.882000000000005</v>
      </c>
      <c r="AH920">
        <v>95.867000000000004</v>
      </c>
      <c r="AI920">
        <v>96.265000000000001</v>
      </c>
      <c r="AJ920">
        <v>100</v>
      </c>
      <c r="AK920">
        <v>105.479</v>
      </c>
      <c r="AL920">
        <v>113.196</v>
      </c>
      <c r="AM920">
        <v>115.81100000000001</v>
      </c>
      <c r="AN920">
        <v>118.84399999999999</v>
      </c>
      <c r="AO920">
        <v>122.529</v>
      </c>
      <c r="AP920">
        <v>123.033</v>
      </c>
      <c r="AQ920">
        <v>126.303</v>
      </c>
      <c r="AR920">
        <v>129.965</v>
      </c>
      <c r="AS920">
        <v>133.99299999999999</v>
      </c>
      <c r="AT920">
        <v>138.012</v>
      </c>
      <c r="AU920">
        <v>141.33799999999999</v>
      </c>
      <c r="AV920">
        <v>145.578</v>
      </c>
      <c r="AW920">
        <v>149.94499999999999</v>
      </c>
      <c r="AX920">
        <v>154.334</v>
      </c>
      <c r="AY920">
        <v>2013</v>
      </c>
    </row>
    <row r="921" spans="1:51" x14ac:dyDescent="0.25">
      <c r="A921">
        <v>846</v>
      </c>
      <c r="B921" t="s">
        <v>861</v>
      </c>
      <c r="C921" t="s">
        <v>298</v>
      </c>
      <c r="D921" t="s">
        <v>230</v>
      </c>
      <c r="E921" t="s">
        <v>299</v>
      </c>
      <c r="F921" t="s">
        <v>300</v>
      </c>
      <c r="G921" t="s">
        <v>282</v>
      </c>
      <c r="H921" t="s">
        <v>283</v>
      </c>
      <c r="I921" t="s">
        <v>863</v>
      </c>
      <c r="J921" t="s">
        <v>285</v>
      </c>
      <c r="K921" t="s">
        <v>285</v>
      </c>
      <c r="L921" t="s">
        <v>285</v>
      </c>
      <c r="M921" t="s">
        <v>285</v>
      </c>
      <c r="N921" t="s">
        <v>285</v>
      </c>
      <c r="O921" t="s">
        <v>285</v>
      </c>
      <c r="P921" t="s">
        <v>285</v>
      </c>
      <c r="Q921" t="s">
        <v>285</v>
      </c>
      <c r="R921" t="s">
        <v>285</v>
      </c>
      <c r="S921" t="s">
        <v>285</v>
      </c>
      <c r="T921" t="s">
        <v>285</v>
      </c>
      <c r="U921">
        <v>7.468</v>
      </c>
      <c r="V921">
        <v>7.5469999999999997</v>
      </c>
      <c r="W921">
        <v>6.3869999999999996</v>
      </c>
      <c r="X921">
        <v>6.625</v>
      </c>
      <c r="Y921">
        <v>7.8159999999999998</v>
      </c>
      <c r="Z921">
        <v>7.1420000000000003</v>
      </c>
      <c r="AA921">
        <v>7.0209999999999999</v>
      </c>
      <c r="AB921">
        <v>9.327</v>
      </c>
      <c r="AC921">
        <v>8.2560000000000002</v>
      </c>
      <c r="AD921">
        <v>9.5269999999999992</v>
      </c>
      <c r="AE921">
        <v>8.3710000000000004</v>
      </c>
      <c r="AF921">
        <v>8.1639999999999997</v>
      </c>
      <c r="AG921">
        <v>7.24</v>
      </c>
      <c r="AH921">
        <v>7.5540000000000003</v>
      </c>
      <c r="AI921">
        <v>7.8940000000000001</v>
      </c>
      <c r="AJ921">
        <v>9.7729999999999997</v>
      </c>
      <c r="AK921">
        <v>11.875999999999999</v>
      </c>
      <c r="AL921">
        <v>16.643999999999998</v>
      </c>
      <c r="AM921">
        <v>17.434999999999999</v>
      </c>
      <c r="AN921">
        <v>18.416</v>
      </c>
      <c r="AO921">
        <v>17.315000000000001</v>
      </c>
      <c r="AP921">
        <v>16.942</v>
      </c>
      <c r="AQ921">
        <v>16.32</v>
      </c>
      <c r="AR921">
        <v>17.797000000000001</v>
      </c>
      <c r="AS921">
        <v>27.545000000000002</v>
      </c>
      <c r="AT921">
        <v>30.036000000000001</v>
      </c>
      <c r="AU921">
        <v>32.683999999999997</v>
      </c>
      <c r="AV921">
        <v>29.536999999999999</v>
      </c>
      <c r="AW921">
        <v>30.213000000000001</v>
      </c>
      <c r="AX921">
        <v>30.105</v>
      </c>
      <c r="AY921">
        <v>2014</v>
      </c>
    </row>
    <row r="922" spans="1:51" x14ac:dyDescent="0.25">
      <c r="A922">
        <v>299</v>
      </c>
      <c r="B922" t="s">
        <v>864</v>
      </c>
      <c r="C922" t="s">
        <v>279</v>
      </c>
      <c r="D922" t="s">
        <v>1130</v>
      </c>
      <c r="E922" t="s">
        <v>280</v>
      </c>
      <c r="F922" t="s">
        <v>281</v>
      </c>
      <c r="G922" t="s">
        <v>282</v>
      </c>
      <c r="H922" t="s">
        <v>283</v>
      </c>
      <c r="I922" t="s">
        <v>865</v>
      </c>
      <c r="J922">
        <v>31.702999999999999</v>
      </c>
      <c r="K922">
        <v>31.295000000000002</v>
      </c>
      <c r="L922">
        <v>32.122</v>
      </c>
      <c r="M922">
        <v>28.956</v>
      </c>
      <c r="N922">
        <v>30.469000000000001</v>
      </c>
      <c r="O922">
        <v>30.733000000000001</v>
      </c>
      <c r="P922">
        <v>32.601999999999997</v>
      </c>
      <c r="Q922">
        <v>34.167000000000002</v>
      </c>
      <c r="R922">
        <v>36.390999999999998</v>
      </c>
      <c r="S922">
        <v>31.326000000000001</v>
      </c>
      <c r="T922">
        <v>33.351999999999997</v>
      </c>
      <c r="U922">
        <v>36.597000000000001</v>
      </c>
      <c r="V922">
        <v>38.814999999999998</v>
      </c>
      <c r="W922">
        <v>38.921999999999997</v>
      </c>
      <c r="X922">
        <v>38.006999999999998</v>
      </c>
      <c r="Y922">
        <v>39.509</v>
      </c>
      <c r="Z922">
        <v>39.430999999999997</v>
      </c>
      <c r="AA922">
        <v>41.942999999999998</v>
      </c>
      <c r="AB922">
        <v>42.066000000000003</v>
      </c>
      <c r="AC922">
        <v>39.555</v>
      </c>
      <c r="AD922">
        <v>41.012999999999998</v>
      </c>
      <c r="AE922">
        <v>42.405000000000001</v>
      </c>
      <c r="AF922">
        <v>38.65</v>
      </c>
      <c r="AG922">
        <v>35.652999999999999</v>
      </c>
      <c r="AH922">
        <v>42.171999999999997</v>
      </c>
      <c r="AI922">
        <v>46.524000000000001</v>
      </c>
      <c r="AJ922">
        <v>51.116999999999997</v>
      </c>
      <c r="AK922">
        <v>55.591000000000001</v>
      </c>
      <c r="AL922">
        <v>58.524999999999999</v>
      </c>
      <c r="AM922">
        <v>56.651000000000003</v>
      </c>
      <c r="AN922">
        <v>55.808</v>
      </c>
      <c r="AO922">
        <v>58.137999999999998</v>
      </c>
      <c r="AP922">
        <v>61.408999999999999</v>
      </c>
      <c r="AQ922">
        <v>62.234000000000002</v>
      </c>
      <c r="AR922">
        <v>59.744999999999997</v>
      </c>
      <c r="AS922">
        <v>53.77</v>
      </c>
      <c r="AT922">
        <v>50.543999999999997</v>
      </c>
      <c r="AU922">
        <v>48.268999999999998</v>
      </c>
      <c r="AV922">
        <v>46.820999999999998</v>
      </c>
      <c r="AW922">
        <v>46.353000000000002</v>
      </c>
      <c r="AX922">
        <v>46.353000000000002</v>
      </c>
      <c r="AY922">
        <v>2013</v>
      </c>
    </row>
    <row r="923" spans="1:51" x14ac:dyDescent="0.25">
      <c r="A923">
        <v>299</v>
      </c>
      <c r="B923" t="s">
        <v>864</v>
      </c>
      <c r="C923" t="s">
        <v>286</v>
      </c>
      <c r="D923" t="s">
        <v>1130</v>
      </c>
      <c r="E923" t="s">
        <v>287</v>
      </c>
      <c r="F923" t="s">
        <v>288</v>
      </c>
      <c r="G923" t="s">
        <v>282</v>
      </c>
      <c r="H923" t="s">
        <v>283</v>
      </c>
      <c r="I923" t="s">
        <v>865</v>
      </c>
      <c r="J923">
        <v>0.3</v>
      </c>
      <c r="K923">
        <v>0.33600000000000002</v>
      </c>
      <c r="L923">
        <v>0.34300000000000003</v>
      </c>
      <c r="M923">
        <v>0.34200000000000003</v>
      </c>
      <c r="N923">
        <v>0.40600000000000003</v>
      </c>
      <c r="O923">
        <v>0.44900000000000001</v>
      </c>
      <c r="P923">
        <v>0.49199999999999999</v>
      </c>
      <c r="Q923">
        <v>0.67900000000000005</v>
      </c>
      <c r="R923">
        <v>0.875</v>
      </c>
      <c r="S923">
        <v>1.51</v>
      </c>
      <c r="T923">
        <v>2.2789999999999999</v>
      </c>
      <c r="U923">
        <v>3.0369999999999999</v>
      </c>
      <c r="V923">
        <v>4.1310000000000002</v>
      </c>
      <c r="W923">
        <v>5.4539999999999997</v>
      </c>
      <c r="X923">
        <v>8.6750000000000007</v>
      </c>
      <c r="Y923">
        <v>13.686</v>
      </c>
      <c r="Z923">
        <v>29.437999999999999</v>
      </c>
      <c r="AA923">
        <v>41.942999999999998</v>
      </c>
      <c r="AB923">
        <v>50.012999999999998</v>
      </c>
      <c r="AC923">
        <v>59.344999999999999</v>
      </c>
      <c r="AD923">
        <v>79.656000000000006</v>
      </c>
      <c r="AE923">
        <v>88.945999999999998</v>
      </c>
      <c r="AF923">
        <v>107.84</v>
      </c>
      <c r="AG923">
        <v>134.22800000000001</v>
      </c>
      <c r="AH923">
        <v>212.68299999999999</v>
      </c>
      <c r="AI923">
        <v>304.08699999999999</v>
      </c>
      <c r="AJ923">
        <v>393.92599999999999</v>
      </c>
      <c r="AK923">
        <v>494.59199999999998</v>
      </c>
      <c r="AL923">
        <v>677.59400000000005</v>
      </c>
      <c r="AM923">
        <v>707.26300000000003</v>
      </c>
      <c r="AN923" s="21">
        <v>1016.835</v>
      </c>
      <c r="AO923" s="21">
        <v>1357.4870000000001</v>
      </c>
      <c r="AP923" s="21">
        <v>1635.451</v>
      </c>
      <c r="AQ923" s="21">
        <v>2204.3960000000002</v>
      </c>
      <c r="AR923" s="21">
        <v>3150.0749999999998</v>
      </c>
      <c r="AS923" s="21">
        <v>5687.6840000000002</v>
      </c>
      <c r="AT923" s="21">
        <v>15841.839</v>
      </c>
      <c r="AU923" s="21">
        <v>44194.902000000002</v>
      </c>
      <c r="AV923" s="21">
        <v>120802.747</v>
      </c>
      <c r="AW923" s="21">
        <v>320802.60499999998</v>
      </c>
      <c r="AX923" s="21">
        <v>795385.652</v>
      </c>
      <c r="AY923">
        <v>2013</v>
      </c>
    </row>
    <row r="924" spans="1:51" x14ac:dyDescent="0.25">
      <c r="A924">
        <v>299</v>
      </c>
      <c r="B924" t="s">
        <v>864</v>
      </c>
      <c r="C924" t="s">
        <v>289</v>
      </c>
      <c r="D924" t="s">
        <v>1130</v>
      </c>
      <c r="E924" t="s">
        <v>287</v>
      </c>
      <c r="F924" t="s">
        <v>290</v>
      </c>
      <c r="G924" t="s">
        <v>291</v>
      </c>
      <c r="H924" t="s">
        <v>283</v>
      </c>
      <c r="I924" t="s">
        <v>292</v>
      </c>
      <c r="J924">
        <v>69.843000000000004</v>
      </c>
      <c r="K924">
        <v>78.369</v>
      </c>
      <c r="L924">
        <v>80</v>
      </c>
      <c r="M924">
        <v>79.674999999999997</v>
      </c>
      <c r="N924">
        <v>57.826999999999998</v>
      </c>
      <c r="O924">
        <v>59.866999999999997</v>
      </c>
      <c r="P924">
        <v>60.878</v>
      </c>
      <c r="Q924">
        <v>46.854999999999997</v>
      </c>
      <c r="R924">
        <v>60.378999999999998</v>
      </c>
      <c r="S924">
        <v>44.673000000000002</v>
      </c>
      <c r="T924">
        <v>48.393000000000001</v>
      </c>
      <c r="U924">
        <v>53.383000000000003</v>
      </c>
      <c r="V924">
        <v>60.402000000000001</v>
      </c>
      <c r="W924">
        <v>59.866999999999997</v>
      </c>
      <c r="X924">
        <v>58.359000000000002</v>
      </c>
      <c r="Y924">
        <v>77.430000000000007</v>
      </c>
      <c r="Z924">
        <v>70.537999999999997</v>
      </c>
      <c r="AA924">
        <v>85.668999999999997</v>
      </c>
      <c r="AB924">
        <v>91.903000000000006</v>
      </c>
      <c r="AC924">
        <v>97.24</v>
      </c>
      <c r="AD924">
        <v>117.676</v>
      </c>
      <c r="AE924">
        <v>123.15600000000001</v>
      </c>
      <c r="AF924">
        <v>95.572000000000003</v>
      </c>
      <c r="AG924">
        <v>83.67</v>
      </c>
      <c r="AH924">
        <v>112.18899999999999</v>
      </c>
      <c r="AI924">
        <v>143.32599999999999</v>
      </c>
      <c r="AJ924">
        <v>177.72200000000001</v>
      </c>
      <c r="AK924">
        <v>221.274</v>
      </c>
      <c r="AL924">
        <v>291.55900000000003</v>
      </c>
      <c r="AM924">
        <v>235.05699999999999</v>
      </c>
      <c r="AN924">
        <v>271.96100000000001</v>
      </c>
      <c r="AO924">
        <v>297.637</v>
      </c>
      <c r="AP924">
        <v>298.38</v>
      </c>
      <c r="AQ924">
        <v>218.43299999999999</v>
      </c>
      <c r="AR924">
        <v>206.25200000000001</v>
      </c>
      <c r="AS924">
        <v>131.85499999999999</v>
      </c>
      <c r="AT924">
        <v>133.53399999999999</v>
      </c>
      <c r="AU924">
        <v>144.227</v>
      </c>
      <c r="AV924">
        <v>155.096</v>
      </c>
      <c r="AW924">
        <v>170.41</v>
      </c>
      <c r="AX924">
        <v>184.364</v>
      </c>
      <c r="AY924">
        <v>2013</v>
      </c>
    </row>
    <row r="925" spans="1:51" x14ac:dyDescent="0.25">
      <c r="A925">
        <v>299</v>
      </c>
      <c r="B925" t="s">
        <v>864</v>
      </c>
      <c r="C925" t="s">
        <v>293</v>
      </c>
      <c r="D925" t="s">
        <v>1130</v>
      </c>
      <c r="E925" t="s">
        <v>294</v>
      </c>
      <c r="F925" t="s">
        <v>295</v>
      </c>
      <c r="G925" t="s">
        <v>296</v>
      </c>
      <c r="I925" t="s">
        <v>297</v>
      </c>
      <c r="J925">
        <v>0.94599999999999995</v>
      </c>
      <c r="K925">
        <v>1.075</v>
      </c>
      <c r="L925">
        <v>1.069</v>
      </c>
      <c r="M925">
        <v>1.1819999999999999</v>
      </c>
      <c r="N925">
        <v>1.3320000000000001</v>
      </c>
      <c r="O925">
        <v>1.4610000000000001</v>
      </c>
      <c r="P925">
        <v>1.5089999999999999</v>
      </c>
      <c r="Q925">
        <v>1.988</v>
      </c>
      <c r="R925">
        <v>2.4060000000000001</v>
      </c>
      <c r="S925">
        <v>4.8220000000000001</v>
      </c>
      <c r="T925">
        <v>6.8339999999999996</v>
      </c>
      <c r="U925">
        <v>8.3000000000000007</v>
      </c>
      <c r="V925">
        <v>10.644</v>
      </c>
      <c r="W925">
        <v>14.012</v>
      </c>
      <c r="X925">
        <v>22.824999999999999</v>
      </c>
      <c r="Y925">
        <v>34.639000000000003</v>
      </c>
      <c r="Z925">
        <v>74.656000000000006</v>
      </c>
      <c r="AA925">
        <v>100</v>
      </c>
      <c r="AB925">
        <v>118.89</v>
      </c>
      <c r="AC925">
        <v>150.03100000000001</v>
      </c>
      <c r="AD925">
        <v>194.21899999999999</v>
      </c>
      <c r="AE925">
        <v>209.751</v>
      </c>
      <c r="AF925">
        <v>279.01600000000002</v>
      </c>
      <c r="AG925">
        <v>376.48700000000002</v>
      </c>
      <c r="AH925">
        <v>504.31900000000002</v>
      </c>
      <c r="AI925">
        <v>653.61800000000005</v>
      </c>
      <c r="AJ925">
        <v>770.64400000000001</v>
      </c>
      <c r="AK925">
        <v>889.69600000000003</v>
      </c>
      <c r="AL925" s="21">
        <v>1157.7829999999999</v>
      </c>
      <c r="AM925" s="21">
        <v>1248.4570000000001</v>
      </c>
      <c r="AN925" s="21">
        <v>1822.039</v>
      </c>
      <c r="AO925" s="21">
        <v>2334.9290000000001</v>
      </c>
      <c r="AP925" s="21">
        <v>2663.2060000000001</v>
      </c>
      <c r="AQ925" s="21">
        <v>3542.1149999999998</v>
      </c>
      <c r="AR925" s="21">
        <v>5272.5739999999996</v>
      </c>
      <c r="AS925" s="21">
        <v>10577.787</v>
      </c>
      <c r="AT925" s="21">
        <v>31342.75</v>
      </c>
      <c r="AU925" s="21">
        <v>91558.842999999993</v>
      </c>
      <c r="AV925" s="21">
        <v>258008.014</v>
      </c>
      <c r="AW925" s="21">
        <v>692084.42500000005</v>
      </c>
      <c r="AX925" s="21">
        <v>1715925.8189999999</v>
      </c>
      <c r="AY925">
        <v>2013</v>
      </c>
    </row>
    <row r="926" spans="1:51" x14ac:dyDescent="0.25">
      <c r="A926">
        <v>299</v>
      </c>
      <c r="B926" t="s">
        <v>864</v>
      </c>
      <c r="C926" t="s">
        <v>298</v>
      </c>
      <c r="D926" t="s">
        <v>1130</v>
      </c>
      <c r="E926" t="s">
        <v>299</v>
      </c>
      <c r="F926" t="s">
        <v>300</v>
      </c>
      <c r="G926" t="s">
        <v>282</v>
      </c>
      <c r="H926" t="s">
        <v>283</v>
      </c>
      <c r="I926" t="s">
        <v>866</v>
      </c>
      <c r="J926" t="s">
        <v>285</v>
      </c>
      <c r="K926" t="s">
        <v>285</v>
      </c>
      <c r="L926" t="s">
        <v>285</v>
      </c>
      <c r="M926" t="s">
        <v>285</v>
      </c>
      <c r="N926" t="s">
        <v>285</v>
      </c>
      <c r="O926" t="s">
        <v>285</v>
      </c>
      <c r="P926" t="s">
        <v>285</v>
      </c>
      <c r="Q926" t="s">
        <v>285</v>
      </c>
      <c r="R926">
        <v>0.29099999999999998</v>
      </c>
      <c r="S926">
        <v>0.49099999999999999</v>
      </c>
      <c r="T926">
        <v>0.72799999999999998</v>
      </c>
      <c r="U926">
        <v>1.0289999999999999</v>
      </c>
      <c r="V926">
        <v>1.266</v>
      </c>
      <c r="W926">
        <v>1.5089999999999999</v>
      </c>
      <c r="X926">
        <v>3.6619999999999999</v>
      </c>
      <c r="Y926">
        <v>4.4980000000000002</v>
      </c>
      <c r="Z926">
        <v>8.1630000000000003</v>
      </c>
      <c r="AA926">
        <v>12.997</v>
      </c>
      <c r="AB926">
        <v>14.398999999999999</v>
      </c>
      <c r="AC926">
        <v>15.492000000000001</v>
      </c>
      <c r="AD926">
        <v>22.536999999999999</v>
      </c>
      <c r="AE926">
        <v>28.373000000000001</v>
      </c>
      <c r="AF926">
        <v>33.418999999999997</v>
      </c>
      <c r="AG926">
        <v>43.188000000000002</v>
      </c>
      <c r="AH926">
        <v>67.876999999999995</v>
      </c>
      <c r="AI926">
        <v>101.961</v>
      </c>
      <c r="AJ926">
        <v>154.68100000000001</v>
      </c>
      <c r="AK926">
        <v>177.803</v>
      </c>
      <c r="AL926">
        <v>236.34100000000001</v>
      </c>
      <c r="AM926">
        <v>235.303</v>
      </c>
      <c r="AN926">
        <v>321.10500000000002</v>
      </c>
      <c r="AO926">
        <v>535.83399999999995</v>
      </c>
      <c r="AP926">
        <v>654.39</v>
      </c>
      <c r="AQ926">
        <v>835.33500000000004</v>
      </c>
      <c r="AR926" s="21">
        <v>1365.83</v>
      </c>
      <c r="AS926" s="21">
        <v>2415.395</v>
      </c>
      <c r="AT926" s="21">
        <v>6533.4470000000001</v>
      </c>
      <c r="AU926" s="21">
        <v>18096.339</v>
      </c>
      <c r="AV926" s="21">
        <v>49405.802000000003</v>
      </c>
      <c r="AW926" s="21">
        <v>131417.78099999999</v>
      </c>
      <c r="AX926" s="21">
        <v>327298.81300000002</v>
      </c>
      <c r="AY926">
        <v>2010</v>
      </c>
    </row>
    <row r="927" spans="1:51" x14ac:dyDescent="0.25">
      <c r="A927">
        <v>582</v>
      </c>
      <c r="B927" t="s">
        <v>867</v>
      </c>
      <c r="C927" t="s">
        <v>279</v>
      </c>
      <c r="D927" t="s">
        <v>232</v>
      </c>
      <c r="E927" t="s">
        <v>280</v>
      </c>
      <c r="F927" t="s">
        <v>281</v>
      </c>
      <c r="G927" t="s">
        <v>282</v>
      </c>
      <c r="H927" t="s">
        <v>283</v>
      </c>
      <c r="I927" t="s">
        <v>868</v>
      </c>
      <c r="J927" s="21">
        <v>303921.826</v>
      </c>
      <c r="K927" s="21">
        <v>321540.89600000001</v>
      </c>
      <c r="L927" s="21">
        <v>347747.37699999998</v>
      </c>
      <c r="M927" s="21">
        <v>372413.26</v>
      </c>
      <c r="N927" s="21">
        <v>403685.78499999997</v>
      </c>
      <c r="O927" s="21">
        <v>426370.89799999999</v>
      </c>
      <c r="P927" s="21">
        <v>440684.609</v>
      </c>
      <c r="Q927" s="21">
        <v>451917.12300000002</v>
      </c>
      <c r="R927" s="21">
        <v>474964.97</v>
      </c>
      <c r="S927" s="21">
        <v>512012.70199999999</v>
      </c>
      <c r="T927" s="21">
        <v>537856.44999999995</v>
      </c>
      <c r="U927" s="21">
        <v>569100.44499999995</v>
      </c>
      <c r="V927" s="21">
        <v>618611.54</v>
      </c>
      <c r="W927" s="21">
        <v>668583.18400000001</v>
      </c>
      <c r="X927" s="21">
        <v>727643.54599999997</v>
      </c>
      <c r="Y927" s="21">
        <v>797064.23</v>
      </c>
      <c r="Z927" s="21">
        <v>871510.20200000005</v>
      </c>
      <c r="AA927" s="21">
        <v>942552.99800000002</v>
      </c>
      <c r="AB927" s="21">
        <v>996889.67200000002</v>
      </c>
      <c r="AC927" s="21">
        <v>1044477.056</v>
      </c>
      <c r="AD927" s="21">
        <v>1115369.054</v>
      </c>
      <c r="AE927" s="21">
        <v>1192272.6470000001</v>
      </c>
      <c r="AF927" s="21">
        <v>1276689.2560000001</v>
      </c>
      <c r="AG927" s="21">
        <v>1370413.2649999999</v>
      </c>
      <c r="AH927" s="21">
        <v>1477160.8459999999</v>
      </c>
      <c r="AI927" s="21">
        <v>1588645.953</v>
      </c>
      <c r="AJ927" s="21">
        <v>1699501.2690000001</v>
      </c>
      <c r="AK927" s="21">
        <v>1820667.101</v>
      </c>
      <c r="AL927" s="21">
        <v>1923749.392</v>
      </c>
      <c r="AM927" s="21">
        <v>2027590.9110000001</v>
      </c>
      <c r="AN927" s="21">
        <v>2157828.497</v>
      </c>
      <c r="AO927" s="21">
        <v>2292483.3659999999</v>
      </c>
      <c r="AP927" s="21">
        <v>2412778.3840000001</v>
      </c>
      <c r="AQ927" s="21">
        <v>2543584.0869999998</v>
      </c>
      <c r="AR927" s="21">
        <v>2695795.6910000001</v>
      </c>
      <c r="AS927" s="21">
        <v>2871022.4109999998</v>
      </c>
      <c r="AT927" s="21">
        <v>3054767.8450000002</v>
      </c>
      <c r="AU927" s="21">
        <v>3238053.9160000002</v>
      </c>
      <c r="AV927" s="21">
        <v>3432337.1510000001</v>
      </c>
      <c r="AW927" s="21">
        <v>3638277.38</v>
      </c>
      <c r="AX927" s="21">
        <v>3856574.023</v>
      </c>
      <c r="AY927">
        <v>2013</v>
      </c>
    </row>
    <row r="928" spans="1:51" x14ac:dyDescent="0.25">
      <c r="A928">
        <v>582</v>
      </c>
      <c r="B928" t="s">
        <v>867</v>
      </c>
      <c r="C928" t="s">
        <v>286</v>
      </c>
      <c r="D928" t="s">
        <v>232</v>
      </c>
      <c r="E928" t="s">
        <v>287</v>
      </c>
      <c r="F928" t="s">
        <v>288</v>
      </c>
      <c r="G928" t="s">
        <v>282</v>
      </c>
      <c r="H928" t="s">
        <v>283</v>
      </c>
      <c r="I928" t="s">
        <v>868</v>
      </c>
      <c r="J928">
        <v>5.7130000000000001</v>
      </c>
      <c r="K928">
        <v>8.02</v>
      </c>
      <c r="L928">
        <v>17.347999999999999</v>
      </c>
      <c r="M928">
        <v>27.774999999999999</v>
      </c>
      <c r="N928">
        <v>49.639000000000003</v>
      </c>
      <c r="O928">
        <v>100.464</v>
      </c>
      <c r="P928">
        <v>609.70799999999997</v>
      </c>
      <c r="Q928" s="21">
        <v>2605.1089999999999</v>
      </c>
      <c r="R928" s="21">
        <v>11152.383</v>
      </c>
      <c r="S928" s="21">
        <v>28093</v>
      </c>
      <c r="T928" s="21">
        <v>41955</v>
      </c>
      <c r="U928" s="21">
        <v>76707</v>
      </c>
      <c r="V928" s="21">
        <v>110532</v>
      </c>
      <c r="W928" s="21">
        <v>140258</v>
      </c>
      <c r="X928" s="21">
        <v>178534</v>
      </c>
      <c r="Y928" s="21">
        <v>228892</v>
      </c>
      <c r="Z928" s="21">
        <v>272036</v>
      </c>
      <c r="AA928" s="21">
        <v>313623</v>
      </c>
      <c r="AB928" s="21">
        <v>361016</v>
      </c>
      <c r="AC928" s="21">
        <v>399942</v>
      </c>
      <c r="AD928" s="21">
        <v>441646</v>
      </c>
      <c r="AE928" s="21">
        <v>481295</v>
      </c>
      <c r="AF928" s="21">
        <v>535762</v>
      </c>
      <c r="AG928" s="21">
        <v>613442.929</v>
      </c>
      <c r="AH928" s="21">
        <v>779337.67</v>
      </c>
      <c r="AI928" s="21">
        <v>914000.83900000004</v>
      </c>
      <c r="AJ928" s="21">
        <v>1061564.5190000001</v>
      </c>
      <c r="AK928" s="21">
        <v>1246769.2890000001</v>
      </c>
      <c r="AL928" s="21">
        <v>1616047.129</v>
      </c>
      <c r="AM928" s="21">
        <v>1809148.95</v>
      </c>
      <c r="AN928" s="21">
        <v>2157828.497</v>
      </c>
      <c r="AO928" s="21">
        <v>2779880.236</v>
      </c>
      <c r="AP928" s="21">
        <v>3245419.227</v>
      </c>
      <c r="AQ928" s="21">
        <v>3584260.8870000001</v>
      </c>
      <c r="AR928" s="21">
        <v>3937856.0830000001</v>
      </c>
      <c r="AS928" s="21">
        <v>4293969.6030000001</v>
      </c>
      <c r="AT928" s="21">
        <v>4731114.9000000004</v>
      </c>
      <c r="AU928" s="21">
        <v>5164939.477</v>
      </c>
      <c r="AV928" s="21">
        <v>5670957.3990000002</v>
      </c>
      <c r="AW928" s="21">
        <v>6218576.3059999999</v>
      </c>
      <c r="AX928" s="21">
        <v>6850190.6909999996</v>
      </c>
      <c r="AY928">
        <v>2013</v>
      </c>
    </row>
    <row r="929" spans="1:51" x14ac:dyDescent="0.25">
      <c r="A929">
        <v>582</v>
      </c>
      <c r="B929" t="s">
        <v>867</v>
      </c>
      <c r="C929" t="s">
        <v>289</v>
      </c>
      <c r="D929" t="s">
        <v>232</v>
      </c>
      <c r="E929" t="s">
        <v>287</v>
      </c>
      <c r="F929" t="s">
        <v>290</v>
      </c>
      <c r="G929" t="s">
        <v>291</v>
      </c>
      <c r="H929" t="s">
        <v>283</v>
      </c>
      <c r="I929" t="s">
        <v>292</v>
      </c>
      <c r="J929">
        <v>27.847000000000001</v>
      </c>
      <c r="K929">
        <v>13.875</v>
      </c>
      <c r="L929">
        <v>18.405000000000001</v>
      </c>
      <c r="M929">
        <v>27.725999999999999</v>
      </c>
      <c r="N929">
        <v>48.177</v>
      </c>
      <c r="O929">
        <v>14.999000000000001</v>
      </c>
      <c r="P929">
        <v>33.872999999999998</v>
      </c>
      <c r="Q929">
        <v>42.045000000000002</v>
      </c>
      <c r="R929">
        <v>23.234000000000002</v>
      </c>
      <c r="S929">
        <v>6.2930000000000001</v>
      </c>
      <c r="T929">
        <v>6.4720000000000004</v>
      </c>
      <c r="U929">
        <v>7.6420000000000003</v>
      </c>
      <c r="V929">
        <v>9.8670000000000009</v>
      </c>
      <c r="W929">
        <v>13.180999999999999</v>
      </c>
      <c r="X929">
        <v>16.312000000000001</v>
      </c>
      <c r="Y929">
        <v>20.797999999999998</v>
      </c>
      <c r="Z929">
        <v>24.692</v>
      </c>
      <c r="AA929">
        <v>26.891999999999999</v>
      </c>
      <c r="AB929">
        <v>27.234000000000002</v>
      </c>
      <c r="AC929">
        <v>28.702000000000002</v>
      </c>
      <c r="AD929">
        <v>31.175999999999998</v>
      </c>
      <c r="AE929">
        <v>32.524000000000001</v>
      </c>
      <c r="AF929">
        <v>35.097000000000001</v>
      </c>
      <c r="AG929">
        <v>39.563000000000002</v>
      </c>
      <c r="AH929">
        <v>49.52</v>
      </c>
      <c r="AI929">
        <v>57.648000000000003</v>
      </c>
      <c r="AJ929">
        <v>66.393000000000001</v>
      </c>
      <c r="AK929">
        <v>77.52</v>
      </c>
      <c r="AL929">
        <v>98.269000000000005</v>
      </c>
      <c r="AM929">
        <v>101.634</v>
      </c>
      <c r="AN929">
        <v>112.771</v>
      </c>
      <c r="AO929">
        <v>134.59800000000001</v>
      </c>
      <c r="AP929">
        <v>155.565</v>
      </c>
      <c r="AQ929">
        <v>170.565</v>
      </c>
      <c r="AR929">
        <v>185.89699999999999</v>
      </c>
      <c r="AS929">
        <v>198.80500000000001</v>
      </c>
      <c r="AT929">
        <v>214.75</v>
      </c>
      <c r="AU929">
        <v>229.845</v>
      </c>
      <c r="AV929">
        <v>247.41499999999999</v>
      </c>
      <c r="AW929">
        <v>265.98700000000002</v>
      </c>
      <c r="AX929">
        <v>287.25700000000001</v>
      </c>
      <c r="AY929">
        <v>2013</v>
      </c>
    </row>
    <row r="930" spans="1:51" x14ac:dyDescent="0.25">
      <c r="A930">
        <v>582</v>
      </c>
      <c r="B930" t="s">
        <v>867</v>
      </c>
      <c r="C930" t="s">
        <v>293</v>
      </c>
      <c r="D930" t="s">
        <v>232</v>
      </c>
      <c r="E930" t="s">
        <v>294</v>
      </c>
      <c r="F930" t="s">
        <v>295</v>
      </c>
      <c r="G930" t="s">
        <v>296</v>
      </c>
      <c r="I930" t="s">
        <v>297</v>
      </c>
      <c r="J930">
        <v>2E-3</v>
      </c>
      <c r="K930">
        <v>2E-3</v>
      </c>
      <c r="L930">
        <v>5.0000000000000001E-3</v>
      </c>
      <c r="M930">
        <v>7.0000000000000001E-3</v>
      </c>
      <c r="N930">
        <v>1.2E-2</v>
      </c>
      <c r="O930">
        <v>2.4E-2</v>
      </c>
      <c r="P930">
        <v>0.13800000000000001</v>
      </c>
      <c r="Q930">
        <v>0.57599999999999996</v>
      </c>
      <c r="R930">
        <v>2.3479999999999999</v>
      </c>
      <c r="S930">
        <v>5.4870000000000001</v>
      </c>
      <c r="T930">
        <v>7.8</v>
      </c>
      <c r="U930">
        <v>13.478999999999999</v>
      </c>
      <c r="V930">
        <v>17.867999999999999</v>
      </c>
      <c r="W930">
        <v>20.978000000000002</v>
      </c>
      <c r="X930">
        <v>24.536000000000001</v>
      </c>
      <c r="Y930">
        <v>28.716999999999999</v>
      </c>
      <c r="Z930">
        <v>31.213999999999999</v>
      </c>
      <c r="AA930">
        <v>33.274000000000001</v>
      </c>
      <c r="AB930">
        <v>36.213999999999999</v>
      </c>
      <c r="AC930">
        <v>38.290999999999997</v>
      </c>
      <c r="AD930">
        <v>39.595999999999997</v>
      </c>
      <c r="AE930">
        <v>40.368000000000002</v>
      </c>
      <c r="AF930">
        <v>41.965000000000003</v>
      </c>
      <c r="AG930">
        <v>44.762999999999998</v>
      </c>
      <c r="AH930">
        <v>52.759</v>
      </c>
      <c r="AI930">
        <v>57.533000000000001</v>
      </c>
      <c r="AJ930">
        <v>62.463000000000001</v>
      </c>
      <c r="AK930">
        <v>68.478999999999999</v>
      </c>
      <c r="AL930">
        <v>84.004999999999995</v>
      </c>
      <c r="AM930">
        <v>89.227000000000004</v>
      </c>
      <c r="AN930">
        <v>100</v>
      </c>
      <c r="AO930">
        <v>121.261</v>
      </c>
      <c r="AP930">
        <v>134.51</v>
      </c>
      <c r="AQ930">
        <v>140.91399999999999</v>
      </c>
      <c r="AR930">
        <v>146.07400000000001</v>
      </c>
      <c r="AS930">
        <v>149.56200000000001</v>
      </c>
      <c r="AT930">
        <v>154.876</v>
      </c>
      <c r="AU930">
        <v>159.50800000000001</v>
      </c>
      <c r="AV930">
        <v>165.221</v>
      </c>
      <c r="AW930">
        <v>170.92099999999999</v>
      </c>
      <c r="AX930">
        <v>177.624</v>
      </c>
      <c r="AY930">
        <v>2013</v>
      </c>
    </row>
    <row r="931" spans="1:51" x14ac:dyDescent="0.25">
      <c r="A931">
        <v>582</v>
      </c>
      <c r="B931" t="s">
        <v>867</v>
      </c>
      <c r="C931" t="s">
        <v>298</v>
      </c>
      <c r="D931" t="s">
        <v>232</v>
      </c>
      <c r="E931" t="s">
        <v>299</v>
      </c>
      <c r="F931" t="s">
        <v>300</v>
      </c>
      <c r="G931" t="s">
        <v>282</v>
      </c>
      <c r="H931" t="s">
        <v>283</v>
      </c>
      <c r="I931" t="s">
        <v>869</v>
      </c>
      <c r="J931" t="s">
        <v>285</v>
      </c>
      <c r="K931" t="s">
        <v>285</v>
      </c>
      <c r="L931" t="s">
        <v>285</v>
      </c>
      <c r="M931" t="s">
        <v>285</v>
      </c>
      <c r="N931" t="s">
        <v>285</v>
      </c>
      <c r="O931" t="s">
        <v>285</v>
      </c>
      <c r="P931" t="s">
        <v>285</v>
      </c>
      <c r="Q931" t="s">
        <v>285</v>
      </c>
      <c r="R931" t="s">
        <v>285</v>
      </c>
      <c r="S931" t="s">
        <v>285</v>
      </c>
      <c r="T931" t="s">
        <v>285</v>
      </c>
      <c r="U931" t="s">
        <v>285</v>
      </c>
      <c r="V931" t="s">
        <v>285</v>
      </c>
      <c r="W931" t="s">
        <v>285</v>
      </c>
      <c r="X931" t="s">
        <v>285</v>
      </c>
      <c r="Y931" t="s">
        <v>285</v>
      </c>
      <c r="Z931" t="s">
        <v>285</v>
      </c>
      <c r="AA931" t="s">
        <v>285</v>
      </c>
      <c r="AB931" s="21">
        <v>73419</v>
      </c>
      <c r="AC931" s="21">
        <v>84817</v>
      </c>
      <c r="AD931" s="21">
        <v>99751</v>
      </c>
      <c r="AE931" s="21">
        <v>117285</v>
      </c>
      <c r="AF931" s="21">
        <v>134334</v>
      </c>
      <c r="AG931" s="21">
        <v>172885.6</v>
      </c>
      <c r="AH931" s="21">
        <v>192373</v>
      </c>
      <c r="AI931" s="21">
        <v>239364</v>
      </c>
      <c r="AJ931" s="21">
        <v>276774</v>
      </c>
      <c r="AK931" s="21">
        <v>350479.07900000003</v>
      </c>
      <c r="AL931" s="21">
        <v>437416</v>
      </c>
      <c r="AM931" s="21">
        <v>571807.09</v>
      </c>
      <c r="AN931" s="21">
        <v>647711</v>
      </c>
      <c r="AO931" s="21">
        <v>748897</v>
      </c>
      <c r="AP931" s="21">
        <v>954233.79799999995</v>
      </c>
      <c r="AQ931" s="21">
        <v>1093086</v>
      </c>
      <c r="AR931" s="21">
        <v>1104518</v>
      </c>
      <c r="AS931" s="21">
        <v>1193917</v>
      </c>
      <c r="AT931" s="21">
        <v>1298992.2409999999</v>
      </c>
      <c r="AU931" s="21">
        <v>1401022.7450000001</v>
      </c>
      <c r="AV931" s="21">
        <v>1504855.5819999999</v>
      </c>
      <c r="AW931" s="21">
        <v>1636602.0009999999</v>
      </c>
      <c r="AX931" s="21">
        <v>1781355.61</v>
      </c>
      <c r="AY931">
        <v>2013</v>
      </c>
    </row>
    <row r="932" spans="1:51" x14ac:dyDescent="0.25">
      <c r="A932">
        <v>474</v>
      </c>
      <c r="B932" t="s">
        <v>870</v>
      </c>
      <c r="C932" t="s">
        <v>279</v>
      </c>
      <c r="D932" t="s">
        <v>233</v>
      </c>
      <c r="E932" t="s">
        <v>280</v>
      </c>
      <c r="F932" t="s">
        <v>281</v>
      </c>
      <c r="G932" t="s">
        <v>282</v>
      </c>
      <c r="H932" t="s">
        <v>283</v>
      </c>
      <c r="I932" t="s">
        <v>871</v>
      </c>
      <c r="J932" t="s">
        <v>285</v>
      </c>
      <c r="K932" t="s">
        <v>285</v>
      </c>
      <c r="L932" t="s">
        <v>285</v>
      </c>
      <c r="M932" t="s">
        <v>285</v>
      </c>
      <c r="N932" t="s">
        <v>285</v>
      </c>
      <c r="O932" t="s">
        <v>285</v>
      </c>
      <c r="P932" t="s">
        <v>285</v>
      </c>
      <c r="Q932" t="s">
        <v>285</v>
      </c>
      <c r="R932" t="s">
        <v>285</v>
      </c>
      <c r="S932" t="s">
        <v>285</v>
      </c>
      <c r="T932">
        <v>147.959</v>
      </c>
      <c r="U932">
        <v>157.27099999999999</v>
      </c>
      <c r="V932">
        <v>170.179</v>
      </c>
      <c r="W932">
        <v>176.99</v>
      </c>
      <c r="X932">
        <v>188.887</v>
      </c>
      <c r="Y932">
        <v>199.596</v>
      </c>
      <c r="Z932">
        <v>208.84700000000001</v>
      </c>
      <c r="AA932">
        <v>219.77199999999999</v>
      </c>
      <c r="AB932">
        <v>232.97300000000001</v>
      </c>
      <c r="AC932">
        <v>241.76900000000001</v>
      </c>
      <c r="AD932">
        <v>256.71499999999997</v>
      </c>
      <c r="AE932">
        <v>266.48</v>
      </c>
      <c r="AF932">
        <v>276.96600000000001</v>
      </c>
      <c r="AG932">
        <v>287.34500000000003</v>
      </c>
      <c r="AH932">
        <v>298.76</v>
      </c>
      <c r="AI932">
        <v>315.46600000000001</v>
      </c>
      <c r="AJ932">
        <v>325.46800000000002</v>
      </c>
      <c r="AK932">
        <v>336.334</v>
      </c>
      <c r="AL932">
        <v>348.60199999999998</v>
      </c>
      <c r="AM932">
        <v>362.07900000000001</v>
      </c>
      <c r="AN932">
        <v>389.96800000000002</v>
      </c>
      <c r="AO932">
        <v>340.38400000000001</v>
      </c>
      <c r="AP932">
        <v>348.529</v>
      </c>
      <c r="AQ932">
        <v>365.34</v>
      </c>
      <c r="AR932">
        <v>364.65100000000001</v>
      </c>
      <c r="AS932">
        <v>262.19600000000003</v>
      </c>
      <c r="AT932">
        <v>292.62099999999998</v>
      </c>
      <c r="AU932">
        <v>316.97000000000003</v>
      </c>
      <c r="AV932">
        <v>336.524</v>
      </c>
      <c r="AW932">
        <v>352.19099999999997</v>
      </c>
      <c r="AX932">
        <v>368.64</v>
      </c>
      <c r="AY932">
        <v>2008</v>
      </c>
    </row>
    <row r="933" spans="1:51" x14ac:dyDescent="0.25">
      <c r="A933">
        <v>474</v>
      </c>
      <c r="B933" t="s">
        <v>870</v>
      </c>
      <c r="C933" t="s">
        <v>286</v>
      </c>
      <c r="D933" t="s">
        <v>233</v>
      </c>
      <c r="E933" t="s">
        <v>287</v>
      </c>
      <c r="F933" t="s">
        <v>288</v>
      </c>
      <c r="G933" t="s">
        <v>282</v>
      </c>
      <c r="H933" t="s">
        <v>283</v>
      </c>
      <c r="I933" t="s">
        <v>871</v>
      </c>
      <c r="J933" t="s">
        <v>285</v>
      </c>
      <c r="K933" t="s">
        <v>285</v>
      </c>
      <c r="L933" t="s">
        <v>285</v>
      </c>
      <c r="M933" t="s">
        <v>285</v>
      </c>
      <c r="N933" t="s">
        <v>285</v>
      </c>
      <c r="O933" t="s">
        <v>285</v>
      </c>
      <c r="P933" t="s">
        <v>285</v>
      </c>
      <c r="Q933" t="s">
        <v>285</v>
      </c>
      <c r="R933" t="s">
        <v>285</v>
      </c>
      <c r="S933" t="s">
        <v>285</v>
      </c>
      <c r="T933">
        <v>147.958</v>
      </c>
      <c r="U933">
        <v>176.13200000000001</v>
      </c>
      <c r="V933">
        <v>215.69200000000001</v>
      </c>
      <c r="W933">
        <v>261.05900000000003</v>
      </c>
      <c r="X933">
        <v>336.51400000000001</v>
      </c>
      <c r="Y933">
        <v>518.25199999999995</v>
      </c>
      <c r="Z933">
        <v>741.66700000000003</v>
      </c>
      <c r="AA933">
        <v>884.19200000000001</v>
      </c>
      <c r="AB933">
        <v>859.10400000000004</v>
      </c>
      <c r="AC933" s="21">
        <v>1189.857</v>
      </c>
      <c r="AD933" s="21">
        <v>1558.37</v>
      </c>
      <c r="AE933" s="21">
        <v>1662.1010000000001</v>
      </c>
      <c r="AF933" s="21">
        <v>1878.0070000000001</v>
      </c>
      <c r="AG933" s="21">
        <v>2160.6080000000002</v>
      </c>
      <c r="AH933" s="21">
        <v>2563.4899999999998</v>
      </c>
      <c r="AI933" s="21">
        <v>3208.5010000000002</v>
      </c>
      <c r="AJ933" s="21">
        <v>3760.038</v>
      </c>
      <c r="AK933" s="21">
        <v>4308.6360000000004</v>
      </c>
      <c r="AL933" s="21">
        <v>5375.8249999999998</v>
      </c>
      <c r="AM933" s="21">
        <v>5097.5929999999998</v>
      </c>
      <c r="AN933" s="21">
        <v>6786.8130000000001</v>
      </c>
      <c r="AO933" s="21">
        <v>6996.9080000000004</v>
      </c>
      <c r="AP933" s="21">
        <v>7586.55</v>
      </c>
      <c r="AQ933" s="21">
        <v>8684.83</v>
      </c>
      <c r="AR933" s="21">
        <v>9289.39</v>
      </c>
      <c r="AS933" s="21">
        <v>7957.3379999999997</v>
      </c>
      <c r="AT933" s="21">
        <v>10336.287</v>
      </c>
      <c r="AU933" s="21">
        <v>12403.902</v>
      </c>
      <c r="AV933" s="21">
        <v>14069.436</v>
      </c>
      <c r="AW933" s="21">
        <v>15531.778</v>
      </c>
      <c r="AX933" s="21">
        <v>17115.223000000002</v>
      </c>
      <c r="AY933">
        <v>2008</v>
      </c>
    </row>
    <row r="934" spans="1:51" x14ac:dyDescent="0.25">
      <c r="A934">
        <v>474</v>
      </c>
      <c r="B934" t="s">
        <v>870</v>
      </c>
      <c r="C934" t="s">
        <v>289</v>
      </c>
      <c r="D934" t="s">
        <v>233</v>
      </c>
      <c r="E934" t="s">
        <v>287</v>
      </c>
      <c r="F934" t="s">
        <v>290</v>
      </c>
      <c r="G934" t="s">
        <v>291</v>
      </c>
      <c r="H934" t="s">
        <v>283</v>
      </c>
      <c r="I934" t="s">
        <v>292</v>
      </c>
      <c r="J934" t="s">
        <v>285</v>
      </c>
      <c r="K934" t="s">
        <v>285</v>
      </c>
      <c r="L934" t="s">
        <v>285</v>
      </c>
      <c r="M934" t="s">
        <v>285</v>
      </c>
      <c r="N934" t="s">
        <v>285</v>
      </c>
      <c r="O934" t="s">
        <v>285</v>
      </c>
      <c r="P934" t="s">
        <v>285</v>
      </c>
      <c r="Q934" t="s">
        <v>285</v>
      </c>
      <c r="R934" t="s">
        <v>285</v>
      </c>
      <c r="S934" t="s">
        <v>285</v>
      </c>
      <c r="T934">
        <v>12.644</v>
      </c>
      <c r="U934">
        <v>14.664999999999999</v>
      </c>
      <c r="V934">
        <v>17.959</v>
      </c>
      <c r="W934">
        <v>21.736999999999998</v>
      </c>
      <c r="X934">
        <v>28.018999999999998</v>
      </c>
      <c r="Y934">
        <v>12.795999999999999</v>
      </c>
      <c r="Z934">
        <v>6.4960000000000004</v>
      </c>
      <c r="AA934">
        <v>6.8380000000000001</v>
      </c>
      <c r="AB934">
        <v>6.3220000000000001</v>
      </c>
      <c r="AC934">
        <v>7.6390000000000002</v>
      </c>
      <c r="AD934">
        <v>9.6790000000000003</v>
      </c>
      <c r="AE934">
        <v>9.8529999999999998</v>
      </c>
      <c r="AF934">
        <v>10.693</v>
      </c>
      <c r="AG934">
        <v>11.778</v>
      </c>
      <c r="AH934">
        <v>13.868</v>
      </c>
      <c r="AI934">
        <v>16.731999999999999</v>
      </c>
      <c r="AJ934">
        <v>19.062999999999999</v>
      </c>
      <c r="AK934">
        <v>21.651</v>
      </c>
      <c r="AL934">
        <v>26.911000000000001</v>
      </c>
      <c r="AM934">
        <v>25.13</v>
      </c>
      <c r="AN934">
        <v>30.907</v>
      </c>
      <c r="AO934">
        <v>32.725999999999999</v>
      </c>
      <c r="AP934">
        <v>35.401000000000003</v>
      </c>
      <c r="AQ934">
        <v>40.414999999999999</v>
      </c>
      <c r="AR934">
        <v>43.228999999999999</v>
      </c>
      <c r="AS934">
        <v>34.929000000000002</v>
      </c>
      <c r="AT934">
        <v>41.884</v>
      </c>
      <c r="AU934">
        <v>47.856000000000002</v>
      </c>
      <c r="AV934">
        <v>51.932000000000002</v>
      </c>
      <c r="AW934">
        <v>55.104999999999997</v>
      </c>
      <c r="AX934">
        <v>58.377000000000002</v>
      </c>
      <c r="AY934">
        <v>2008</v>
      </c>
    </row>
    <row r="935" spans="1:51" x14ac:dyDescent="0.25">
      <c r="A935">
        <v>474</v>
      </c>
      <c r="B935" t="s">
        <v>870</v>
      </c>
      <c r="C935" t="s">
        <v>293</v>
      </c>
      <c r="D935" t="s">
        <v>233</v>
      </c>
      <c r="E935" t="s">
        <v>294</v>
      </c>
      <c r="F935" t="s">
        <v>295</v>
      </c>
      <c r="G935" t="s">
        <v>296</v>
      </c>
      <c r="I935" t="s">
        <v>297</v>
      </c>
      <c r="J935" t="s">
        <v>285</v>
      </c>
      <c r="K935" t="s">
        <v>285</v>
      </c>
      <c r="L935" t="s">
        <v>285</v>
      </c>
      <c r="M935" t="s">
        <v>285</v>
      </c>
      <c r="N935" t="s">
        <v>285</v>
      </c>
      <c r="O935" t="s">
        <v>285</v>
      </c>
      <c r="P935" t="s">
        <v>285</v>
      </c>
      <c r="Q935" t="s">
        <v>285</v>
      </c>
      <c r="R935" t="s">
        <v>285</v>
      </c>
      <c r="S935" t="s">
        <v>285</v>
      </c>
      <c r="T935">
        <v>99.998999999999995</v>
      </c>
      <c r="U935">
        <v>111.99299999999999</v>
      </c>
      <c r="V935">
        <v>126.744</v>
      </c>
      <c r="W935">
        <v>147.499</v>
      </c>
      <c r="X935">
        <v>178.15600000000001</v>
      </c>
      <c r="Y935">
        <v>259.65100000000001</v>
      </c>
      <c r="Z935">
        <v>355.125</v>
      </c>
      <c r="AA935">
        <v>402.322</v>
      </c>
      <c r="AB935">
        <v>368.75700000000001</v>
      </c>
      <c r="AC935">
        <v>492.14600000000002</v>
      </c>
      <c r="AD935">
        <v>607.04300000000001</v>
      </c>
      <c r="AE935">
        <v>623.726</v>
      </c>
      <c r="AF935">
        <v>678.06399999999996</v>
      </c>
      <c r="AG935">
        <v>751.92100000000005</v>
      </c>
      <c r="AH935">
        <v>858.04200000000003</v>
      </c>
      <c r="AI935" s="21">
        <v>1017.066</v>
      </c>
      <c r="AJ935" s="21">
        <v>1155.271</v>
      </c>
      <c r="AK935" s="21">
        <v>1281.06</v>
      </c>
      <c r="AL935" s="21">
        <v>1542.1120000000001</v>
      </c>
      <c r="AM935" s="21">
        <v>1407.867</v>
      </c>
      <c r="AN935" s="21">
        <v>1740.3530000000001</v>
      </c>
      <c r="AO935" s="21">
        <v>2055.5940000000001</v>
      </c>
      <c r="AP935" s="21">
        <v>2176.7339999999999</v>
      </c>
      <c r="AQ935" s="21">
        <v>2377.1880000000001</v>
      </c>
      <c r="AR935" s="21">
        <v>2547.4740000000002</v>
      </c>
      <c r="AS935" s="21">
        <v>3034.8850000000002</v>
      </c>
      <c r="AT935" s="21">
        <v>3532.308</v>
      </c>
      <c r="AU935" s="21">
        <v>3913.279</v>
      </c>
      <c r="AV935" s="21">
        <v>4180.8090000000002</v>
      </c>
      <c r="AW935" s="21">
        <v>4410.0420000000004</v>
      </c>
      <c r="AX935" s="21">
        <v>4642.8040000000001</v>
      </c>
      <c r="AY935">
        <v>2008</v>
      </c>
    </row>
    <row r="936" spans="1:51" x14ac:dyDescent="0.25">
      <c r="A936">
        <v>474</v>
      </c>
      <c r="B936" t="s">
        <v>870</v>
      </c>
      <c r="C936" t="s">
        <v>298</v>
      </c>
      <c r="D936" t="s">
        <v>233</v>
      </c>
      <c r="E936" t="s">
        <v>299</v>
      </c>
      <c r="F936" t="s">
        <v>300</v>
      </c>
      <c r="G936" t="s">
        <v>282</v>
      </c>
      <c r="H936" t="s">
        <v>283</v>
      </c>
      <c r="I936" t="s">
        <v>872</v>
      </c>
      <c r="J936" t="s">
        <v>285</v>
      </c>
      <c r="K936" t="s">
        <v>285</v>
      </c>
      <c r="L936" t="s">
        <v>285</v>
      </c>
      <c r="M936" t="s">
        <v>285</v>
      </c>
      <c r="N936" t="s">
        <v>285</v>
      </c>
      <c r="O936" t="s">
        <v>285</v>
      </c>
      <c r="P936" t="s">
        <v>285</v>
      </c>
      <c r="Q936" t="s">
        <v>285</v>
      </c>
      <c r="R936" t="s">
        <v>285</v>
      </c>
      <c r="S936" t="s">
        <v>285</v>
      </c>
      <c r="T936">
        <v>39.409999999999997</v>
      </c>
      <c r="U936">
        <v>43.58</v>
      </c>
      <c r="V936">
        <v>53.125</v>
      </c>
      <c r="W936">
        <v>67.256</v>
      </c>
      <c r="X936">
        <v>84.741</v>
      </c>
      <c r="Y936">
        <v>125.04</v>
      </c>
      <c r="Z936">
        <v>227.67500000000001</v>
      </c>
      <c r="AA936">
        <v>302.60700000000003</v>
      </c>
      <c r="AB936">
        <v>294.416</v>
      </c>
      <c r="AC936">
        <v>336.11500000000001</v>
      </c>
      <c r="AD936">
        <v>493.82600000000002</v>
      </c>
      <c r="AE936">
        <v>506.76100000000002</v>
      </c>
      <c r="AF936">
        <v>578.10400000000004</v>
      </c>
      <c r="AG936">
        <v>763.05399999999997</v>
      </c>
      <c r="AH936">
        <v>875.74199999999996</v>
      </c>
      <c r="AI936" s="21">
        <v>1179.739</v>
      </c>
      <c r="AJ936" s="21">
        <v>1405.078</v>
      </c>
      <c r="AK936" s="21">
        <v>1738.5119999999999</v>
      </c>
      <c r="AL936" s="21">
        <v>2217.3649999999998</v>
      </c>
      <c r="AM936" s="21">
        <v>1795.1120000000001</v>
      </c>
      <c r="AN936" s="21">
        <v>2049.855</v>
      </c>
      <c r="AO936" s="21">
        <v>2087.875</v>
      </c>
      <c r="AP936" s="21">
        <v>2747.6970000000001</v>
      </c>
      <c r="AQ936" s="21">
        <v>2674.6930000000002</v>
      </c>
      <c r="AR936" s="21">
        <v>2580.6</v>
      </c>
      <c r="AS936" s="21">
        <v>1571.76</v>
      </c>
      <c r="AT936" s="21">
        <v>2375.7240000000002</v>
      </c>
      <c r="AU936" s="21">
        <v>3017.3679999999999</v>
      </c>
      <c r="AV936" s="21">
        <v>3529.777</v>
      </c>
      <c r="AW936" s="21">
        <v>3909.0590000000002</v>
      </c>
      <c r="AX936" s="21">
        <v>4409.076</v>
      </c>
      <c r="AY936">
        <v>2013</v>
      </c>
    </row>
    <row r="937" spans="1:51" x14ac:dyDescent="0.25">
      <c r="A937">
        <v>754</v>
      </c>
      <c r="B937" t="s">
        <v>873</v>
      </c>
      <c r="C937" t="s">
        <v>279</v>
      </c>
      <c r="D937" t="s">
        <v>234</v>
      </c>
      <c r="E937" t="s">
        <v>280</v>
      </c>
      <c r="F937" t="s">
        <v>281</v>
      </c>
      <c r="G937" t="s">
        <v>282</v>
      </c>
      <c r="H937" t="s">
        <v>283</v>
      </c>
      <c r="I937" t="s">
        <v>874</v>
      </c>
      <c r="J937">
        <v>39.933</v>
      </c>
      <c r="K937">
        <v>42.581000000000003</v>
      </c>
      <c r="L937">
        <v>41.341000000000001</v>
      </c>
      <c r="M937">
        <v>40.868000000000002</v>
      </c>
      <c r="N937">
        <v>40.165999999999997</v>
      </c>
      <c r="O937">
        <v>40.662999999999997</v>
      </c>
      <c r="P937">
        <v>41.353000000000002</v>
      </c>
      <c r="Q937">
        <v>41.97</v>
      </c>
      <c r="R937">
        <v>45.860999999999997</v>
      </c>
      <c r="S937">
        <v>44.183</v>
      </c>
      <c r="T937">
        <v>43.927999999999997</v>
      </c>
      <c r="U937">
        <v>43.634999999999998</v>
      </c>
      <c r="V937">
        <v>44.53</v>
      </c>
      <c r="W937">
        <v>44.496000000000002</v>
      </c>
      <c r="X937">
        <v>38.573999999999998</v>
      </c>
      <c r="Y937">
        <v>39.692</v>
      </c>
      <c r="Z937">
        <v>42.16</v>
      </c>
      <c r="AA937">
        <v>43.768000000000001</v>
      </c>
      <c r="AB937">
        <v>43.598999999999997</v>
      </c>
      <c r="AC937">
        <v>45.627000000000002</v>
      </c>
      <c r="AD937">
        <v>47.405000000000001</v>
      </c>
      <c r="AE937">
        <v>49.924999999999997</v>
      </c>
      <c r="AF937">
        <v>52.174999999999997</v>
      </c>
      <c r="AG937">
        <v>55.798000000000002</v>
      </c>
      <c r="AH937">
        <v>59.722000000000001</v>
      </c>
      <c r="AI937">
        <v>64.043999999999997</v>
      </c>
      <c r="AJ937">
        <v>69.105999999999995</v>
      </c>
      <c r="AK937">
        <v>74.878</v>
      </c>
      <c r="AL937">
        <v>80.697999999999993</v>
      </c>
      <c r="AM937">
        <v>88.138999999999996</v>
      </c>
      <c r="AN937">
        <v>97.215999999999994</v>
      </c>
      <c r="AO937">
        <v>103.404</v>
      </c>
      <c r="AP937">
        <v>110.395</v>
      </c>
      <c r="AQ937">
        <v>117.78400000000001</v>
      </c>
      <c r="AR937">
        <v>124.416</v>
      </c>
      <c r="AS937">
        <v>129.74100000000001</v>
      </c>
      <c r="AT937">
        <v>134.86500000000001</v>
      </c>
      <c r="AU937">
        <v>142.67400000000001</v>
      </c>
      <c r="AV937">
        <v>152.41900000000001</v>
      </c>
      <c r="AW937">
        <v>162.875</v>
      </c>
      <c r="AX937">
        <v>173.983</v>
      </c>
      <c r="AY937">
        <v>2013</v>
      </c>
    </row>
    <row r="938" spans="1:51" x14ac:dyDescent="0.25">
      <c r="A938">
        <v>754</v>
      </c>
      <c r="B938" t="s">
        <v>873</v>
      </c>
      <c r="C938" t="s">
        <v>286</v>
      </c>
      <c r="D938" t="s">
        <v>234</v>
      </c>
      <c r="E938" t="s">
        <v>287</v>
      </c>
      <c r="F938" t="s">
        <v>288</v>
      </c>
      <c r="G938" t="s">
        <v>282</v>
      </c>
      <c r="H938" t="s">
        <v>283</v>
      </c>
      <c r="I938" t="s">
        <v>874</v>
      </c>
      <c r="J938">
        <v>3.0000000000000001E-3</v>
      </c>
      <c r="K938">
        <v>4.0000000000000001E-3</v>
      </c>
      <c r="L938">
        <v>4.0000000000000001E-3</v>
      </c>
      <c r="M938">
        <v>5.0000000000000001E-3</v>
      </c>
      <c r="N938">
        <v>5.0000000000000001E-3</v>
      </c>
      <c r="O938">
        <v>8.0000000000000002E-3</v>
      </c>
      <c r="P938">
        <v>1.4E-2</v>
      </c>
      <c r="Q938">
        <v>2.1999999999999999E-2</v>
      </c>
      <c r="R938">
        <v>3.4000000000000002E-2</v>
      </c>
      <c r="S938">
        <v>0.06</v>
      </c>
      <c r="T938">
        <v>0.124</v>
      </c>
      <c r="U938">
        <v>0.23899999999999999</v>
      </c>
      <c r="V938">
        <v>0.622</v>
      </c>
      <c r="W938">
        <v>1.619</v>
      </c>
      <c r="X938">
        <v>2.448</v>
      </c>
      <c r="Y938">
        <v>3.29</v>
      </c>
      <c r="Z938">
        <v>4.3449999999999998</v>
      </c>
      <c r="AA938">
        <v>5.657</v>
      </c>
      <c r="AB938">
        <v>6.5880000000000001</v>
      </c>
      <c r="AC938">
        <v>8.1289999999999996</v>
      </c>
      <c r="AD938">
        <v>11.201000000000001</v>
      </c>
      <c r="AE938">
        <v>14.785</v>
      </c>
      <c r="AF938">
        <v>18.446999999999999</v>
      </c>
      <c r="AG938">
        <v>23.202000000000002</v>
      </c>
      <c r="AH938">
        <v>29.73</v>
      </c>
      <c r="AI938">
        <v>37.189</v>
      </c>
      <c r="AJ938">
        <v>45.963999999999999</v>
      </c>
      <c r="AK938">
        <v>56.262999999999998</v>
      </c>
      <c r="AL938">
        <v>67.088999999999999</v>
      </c>
      <c r="AM938">
        <v>77.347999999999999</v>
      </c>
      <c r="AN938">
        <v>97.215999999999994</v>
      </c>
      <c r="AO938">
        <v>115.35299999999999</v>
      </c>
      <c r="AP938">
        <v>128.37</v>
      </c>
      <c r="AQ938">
        <v>144.77500000000001</v>
      </c>
      <c r="AR938">
        <v>163.733</v>
      </c>
      <c r="AS938">
        <v>182.43199999999999</v>
      </c>
      <c r="AT938">
        <v>203.495</v>
      </c>
      <c r="AU938">
        <v>228.858</v>
      </c>
      <c r="AV938">
        <v>257.32</v>
      </c>
      <c r="AW938">
        <v>288.12200000000001</v>
      </c>
      <c r="AX938">
        <v>322.50799999999998</v>
      </c>
      <c r="AY938">
        <v>2013</v>
      </c>
    </row>
    <row r="939" spans="1:51" x14ac:dyDescent="0.25">
      <c r="A939">
        <v>754</v>
      </c>
      <c r="B939" t="s">
        <v>873</v>
      </c>
      <c r="C939" t="s">
        <v>289</v>
      </c>
      <c r="D939" t="s">
        <v>234</v>
      </c>
      <c r="E939" t="s">
        <v>287</v>
      </c>
      <c r="F939" t="s">
        <v>290</v>
      </c>
      <c r="G939" t="s">
        <v>291</v>
      </c>
      <c r="H939" t="s">
        <v>283</v>
      </c>
      <c r="I939" t="s">
        <v>292</v>
      </c>
      <c r="J939">
        <v>4.2460000000000004</v>
      </c>
      <c r="K939">
        <v>4.3849999999999998</v>
      </c>
      <c r="L939">
        <v>4.2320000000000002</v>
      </c>
      <c r="M939">
        <v>3.653</v>
      </c>
      <c r="N939">
        <v>3.0030000000000001</v>
      </c>
      <c r="O939">
        <v>2.8479999999999999</v>
      </c>
      <c r="P939">
        <v>1.962</v>
      </c>
      <c r="Q939">
        <v>2.431</v>
      </c>
      <c r="R939">
        <v>4.0949999999999998</v>
      </c>
      <c r="S939">
        <v>4.3650000000000002</v>
      </c>
      <c r="T939">
        <v>4.085</v>
      </c>
      <c r="U939">
        <v>3.69</v>
      </c>
      <c r="V939">
        <v>3.6139999999999999</v>
      </c>
      <c r="W939">
        <v>3.5489999999999999</v>
      </c>
      <c r="X939">
        <v>3.657</v>
      </c>
      <c r="Y939">
        <v>3.7989999999999999</v>
      </c>
      <c r="Z939">
        <v>3.5990000000000002</v>
      </c>
      <c r="AA939">
        <v>4.3029999999999999</v>
      </c>
      <c r="AB939">
        <v>3.5379999999999998</v>
      </c>
      <c r="AC939">
        <v>3.4049999999999998</v>
      </c>
      <c r="AD939">
        <v>3.601</v>
      </c>
      <c r="AE939">
        <v>4.0940000000000003</v>
      </c>
      <c r="AF939">
        <v>4.194</v>
      </c>
      <c r="AG939">
        <v>4.9020000000000001</v>
      </c>
      <c r="AH939">
        <v>6.2210000000000001</v>
      </c>
      <c r="AI939">
        <v>8.3320000000000007</v>
      </c>
      <c r="AJ939">
        <v>12.757</v>
      </c>
      <c r="AK939">
        <v>14.057</v>
      </c>
      <c r="AL939">
        <v>17.911000000000001</v>
      </c>
      <c r="AM939">
        <v>15.327999999999999</v>
      </c>
      <c r="AN939">
        <v>20.265000000000001</v>
      </c>
      <c r="AO939">
        <v>23.731999999999999</v>
      </c>
      <c r="AP939">
        <v>24.94</v>
      </c>
      <c r="AQ939">
        <v>26.831</v>
      </c>
      <c r="AR939">
        <v>26.611000000000001</v>
      </c>
      <c r="AS939">
        <v>24.466000000000001</v>
      </c>
      <c r="AT939">
        <v>25.158000000000001</v>
      </c>
      <c r="AU939">
        <v>27.17</v>
      </c>
      <c r="AV939">
        <v>29.911000000000001</v>
      </c>
      <c r="AW939">
        <v>32.957000000000001</v>
      </c>
      <c r="AX939">
        <v>36.316000000000003</v>
      </c>
      <c r="AY939">
        <v>2013</v>
      </c>
    </row>
    <row r="940" spans="1:51" x14ac:dyDescent="0.25">
      <c r="A940">
        <v>754</v>
      </c>
      <c r="B940" t="s">
        <v>873</v>
      </c>
      <c r="C940" t="s">
        <v>293</v>
      </c>
      <c r="D940" t="s">
        <v>234</v>
      </c>
      <c r="E940" t="s">
        <v>294</v>
      </c>
      <c r="F940" t="s">
        <v>295</v>
      </c>
      <c r="G940" t="s">
        <v>296</v>
      </c>
      <c r="I940" t="s">
        <v>297</v>
      </c>
      <c r="J940">
        <v>8.0000000000000002E-3</v>
      </c>
      <c r="K940">
        <v>8.9999999999999993E-3</v>
      </c>
      <c r="L940">
        <v>0.01</v>
      </c>
      <c r="M940">
        <v>1.0999999999999999E-2</v>
      </c>
      <c r="N940">
        <v>1.2999999999999999E-2</v>
      </c>
      <c r="O940">
        <v>1.9E-2</v>
      </c>
      <c r="P940">
        <v>3.5000000000000003E-2</v>
      </c>
      <c r="Q940">
        <v>5.0999999999999997E-2</v>
      </c>
      <c r="R940">
        <v>7.2999999999999995E-2</v>
      </c>
      <c r="S940">
        <v>0.13600000000000001</v>
      </c>
      <c r="T940">
        <v>0.28199999999999997</v>
      </c>
      <c r="U940">
        <v>0.54700000000000004</v>
      </c>
      <c r="V940">
        <v>1.3979999999999999</v>
      </c>
      <c r="W940">
        <v>3.64</v>
      </c>
      <c r="X940">
        <v>6.3460000000000001</v>
      </c>
      <c r="Y940">
        <v>8.2880000000000003</v>
      </c>
      <c r="Z940">
        <v>10.305999999999999</v>
      </c>
      <c r="AA940">
        <v>12.923999999999999</v>
      </c>
      <c r="AB940">
        <v>15.109</v>
      </c>
      <c r="AC940">
        <v>17.817</v>
      </c>
      <c r="AD940">
        <v>23.628</v>
      </c>
      <c r="AE940">
        <v>29.614000000000001</v>
      </c>
      <c r="AF940">
        <v>35.356000000000002</v>
      </c>
      <c r="AG940">
        <v>41.582000000000001</v>
      </c>
      <c r="AH940">
        <v>49.78</v>
      </c>
      <c r="AI940">
        <v>58.069000000000003</v>
      </c>
      <c r="AJ940">
        <v>66.513000000000005</v>
      </c>
      <c r="AK940">
        <v>75.14</v>
      </c>
      <c r="AL940">
        <v>83.135000000000005</v>
      </c>
      <c r="AM940">
        <v>87.757000000000005</v>
      </c>
      <c r="AN940">
        <v>100</v>
      </c>
      <c r="AO940">
        <v>111.55500000000001</v>
      </c>
      <c r="AP940">
        <v>116.282</v>
      </c>
      <c r="AQ940">
        <v>122.91500000000001</v>
      </c>
      <c r="AR940">
        <v>131.602</v>
      </c>
      <c r="AS940">
        <v>140.613</v>
      </c>
      <c r="AT940">
        <v>150.887</v>
      </c>
      <c r="AU940">
        <v>160.40600000000001</v>
      </c>
      <c r="AV940">
        <v>168.82400000000001</v>
      </c>
      <c r="AW940">
        <v>176.898</v>
      </c>
      <c r="AX940">
        <v>185.36799999999999</v>
      </c>
      <c r="AY940">
        <v>2013</v>
      </c>
    </row>
    <row r="941" spans="1:51" x14ac:dyDescent="0.25">
      <c r="A941">
        <v>754</v>
      </c>
      <c r="B941" t="s">
        <v>873</v>
      </c>
      <c r="C941" t="s">
        <v>298</v>
      </c>
      <c r="D941" t="s">
        <v>234</v>
      </c>
      <c r="E941" t="s">
        <v>299</v>
      </c>
      <c r="F941" t="s">
        <v>300</v>
      </c>
      <c r="G941" t="s">
        <v>282</v>
      </c>
      <c r="H941" t="s">
        <v>283</v>
      </c>
      <c r="I941" t="s">
        <v>875</v>
      </c>
      <c r="J941" t="s">
        <v>285</v>
      </c>
      <c r="K941" t="s">
        <v>285</v>
      </c>
      <c r="L941" t="s">
        <v>285</v>
      </c>
      <c r="M941" t="s">
        <v>285</v>
      </c>
      <c r="N941" t="s">
        <v>285</v>
      </c>
      <c r="O941" t="s">
        <v>285</v>
      </c>
      <c r="P941" t="s">
        <v>285</v>
      </c>
      <c r="Q941" t="s">
        <v>285</v>
      </c>
      <c r="R941" t="s">
        <v>285</v>
      </c>
      <c r="S941" t="s">
        <v>285</v>
      </c>
      <c r="T941" t="s">
        <v>285</v>
      </c>
      <c r="U941" t="s">
        <v>285</v>
      </c>
      <c r="V941" t="s">
        <v>285</v>
      </c>
      <c r="W941" t="s">
        <v>285</v>
      </c>
      <c r="X941" t="s">
        <v>285</v>
      </c>
      <c r="Y941" t="s">
        <v>285</v>
      </c>
      <c r="Z941" t="s">
        <v>285</v>
      </c>
      <c r="AA941" t="s">
        <v>285</v>
      </c>
      <c r="AB941" t="s">
        <v>285</v>
      </c>
      <c r="AC941" t="s">
        <v>285</v>
      </c>
      <c r="AD941">
        <v>2.3980000000000001</v>
      </c>
      <c r="AE941">
        <v>4.1340000000000003</v>
      </c>
      <c r="AF941">
        <v>5.0860000000000003</v>
      </c>
      <c r="AG941">
        <v>6.3369999999999997</v>
      </c>
      <c r="AH941">
        <v>6.9189999999999996</v>
      </c>
      <c r="AI941">
        <v>8.35</v>
      </c>
      <c r="AJ941">
        <v>9.0510000000000002</v>
      </c>
      <c r="AK941">
        <v>11.209</v>
      </c>
      <c r="AL941">
        <v>13.054</v>
      </c>
      <c r="AM941">
        <v>13.773</v>
      </c>
      <c r="AN941">
        <v>17.562999999999999</v>
      </c>
      <c r="AO941">
        <v>22.266999999999999</v>
      </c>
      <c r="AP941">
        <v>28.257999999999999</v>
      </c>
      <c r="AQ941">
        <v>36.073</v>
      </c>
      <c r="AR941">
        <v>41.53</v>
      </c>
      <c r="AS941">
        <v>46.802999999999997</v>
      </c>
      <c r="AT941">
        <v>47.354999999999997</v>
      </c>
      <c r="AU941">
        <v>51.978000000000002</v>
      </c>
      <c r="AV941">
        <v>58.710999999999999</v>
      </c>
      <c r="AW941">
        <v>63.448999999999998</v>
      </c>
      <c r="AX941">
        <v>69.117000000000004</v>
      </c>
      <c r="AY941">
        <v>2014</v>
      </c>
    </row>
    <row r="942" spans="1:51" x14ac:dyDescent="0.25">
      <c r="A942">
        <v>698</v>
      </c>
      <c r="B942" t="s">
        <v>876</v>
      </c>
      <c r="C942" t="s">
        <v>279</v>
      </c>
      <c r="D942" t="s">
        <v>235</v>
      </c>
      <c r="E942" t="s">
        <v>280</v>
      </c>
      <c r="F942" t="s">
        <v>281</v>
      </c>
      <c r="G942" t="s">
        <v>282</v>
      </c>
      <c r="H942" t="s">
        <v>283</v>
      </c>
      <c r="I942" t="s">
        <v>877</v>
      </c>
      <c r="J942" t="s">
        <v>285</v>
      </c>
      <c r="K942" t="s">
        <v>285</v>
      </c>
      <c r="L942" t="s">
        <v>285</v>
      </c>
      <c r="M942" t="s">
        <v>285</v>
      </c>
      <c r="N942" t="s">
        <v>285</v>
      </c>
      <c r="O942" t="s">
        <v>285</v>
      </c>
      <c r="P942" t="s">
        <v>285</v>
      </c>
      <c r="Q942" t="s">
        <v>285</v>
      </c>
      <c r="R942" t="s">
        <v>285</v>
      </c>
      <c r="S942" t="s">
        <v>285</v>
      </c>
      <c r="T942" t="s">
        <v>285</v>
      </c>
      <c r="U942" t="s">
        <v>285</v>
      </c>
      <c r="V942" t="s">
        <v>285</v>
      </c>
      <c r="W942" t="s">
        <v>285</v>
      </c>
      <c r="X942" t="s">
        <v>285</v>
      </c>
      <c r="Y942" t="s">
        <v>285</v>
      </c>
      <c r="Z942" t="s">
        <v>285</v>
      </c>
      <c r="AA942" t="s">
        <v>285</v>
      </c>
      <c r="AB942">
        <v>15.582000000000001</v>
      </c>
      <c r="AC942">
        <v>15.423999999999999</v>
      </c>
      <c r="AD942">
        <v>14.765000000000001</v>
      </c>
      <c r="AE942">
        <v>14.689</v>
      </c>
      <c r="AF942">
        <v>13.535</v>
      </c>
      <c r="AG942">
        <v>11.301</v>
      </c>
      <c r="AH942">
        <v>10.57</v>
      </c>
      <c r="AI942">
        <v>9.76</v>
      </c>
      <c r="AJ942">
        <v>9.41</v>
      </c>
      <c r="AK942">
        <v>9.093</v>
      </c>
      <c r="AL942">
        <v>7.585</v>
      </c>
      <c r="AM942">
        <v>8.157</v>
      </c>
      <c r="AN942">
        <v>9.0850000000000009</v>
      </c>
      <c r="AO942">
        <v>10.167</v>
      </c>
      <c r="AP942">
        <v>11.241</v>
      </c>
      <c r="AQ942">
        <v>11.744999999999999</v>
      </c>
      <c r="AR942">
        <v>12.127000000000001</v>
      </c>
      <c r="AS942">
        <v>12.3</v>
      </c>
      <c r="AT942">
        <v>12.590999999999999</v>
      </c>
      <c r="AU942">
        <v>12.968</v>
      </c>
      <c r="AV942">
        <v>13.4</v>
      </c>
      <c r="AW942">
        <v>13.85</v>
      </c>
      <c r="AX942">
        <v>14.318</v>
      </c>
      <c r="AY942">
        <v>2013</v>
      </c>
    </row>
    <row r="943" spans="1:51" x14ac:dyDescent="0.25">
      <c r="A943">
        <v>698</v>
      </c>
      <c r="B943" t="s">
        <v>876</v>
      </c>
      <c r="C943" t="s">
        <v>286</v>
      </c>
      <c r="D943" t="s">
        <v>235</v>
      </c>
      <c r="E943" t="s">
        <v>287</v>
      </c>
      <c r="F943" t="s">
        <v>288</v>
      </c>
      <c r="G943" t="s">
        <v>282</v>
      </c>
      <c r="H943" t="s">
        <v>283</v>
      </c>
      <c r="I943" t="s">
        <v>877</v>
      </c>
      <c r="J943" t="s">
        <v>285</v>
      </c>
      <c r="K943" t="s">
        <v>285</v>
      </c>
      <c r="L943" t="s">
        <v>285</v>
      </c>
      <c r="M943" t="s">
        <v>285</v>
      </c>
      <c r="N943" t="s">
        <v>285</v>
      </c>
      <c r="O943" t="s">
        <v>285</v>
      </c>
      <c r="P943" t="s">
        <v>285</v>
      </c>
      <c r="Q943" t="s">
        <v>285</v>
      </c>
      <c r="R943" t="s">
        <v>285</v>
      </c>
      <c r="S943" t="s">
        <v>285</v>
      </c>
      <c r="T943">
        <v>8.7799999999999994</v>
      </c>
      <c r="U943">
        <v>8.18</v>
      </c>
      <c r="V943">
        <v>6.7460000000000004</v>
      </c>
      <c r="W943">
        <v>6.5519999999999996</v>
      </c>
      <c r="X943">
        <v>6.8890000000000002</v>
      </c>
      <c r="Y943">
        <v>7.1520000000000001</v>
      </c>
      <c r="Z943">
        <v>8.7579999999999991</v>
      </c>
      <c r="AA943">
        <v>8.99</v>
      </c>
      <c r="AB943">
        <v>10.563000000000001</v>
      </c>
      <c r="AC943">
        <v>10.272</v>
      </c>
      <c r="AD943">
        <v>9.891</v>
      </c>
      <c r="AE943">
        <v>9.7449999999999992</v>
      </c>
      <c r="AF943">
        <v>9.2880000000000003</v>
      </c>
      <c r="AG943">
        <v>8.1890000000000001</v>
      </c>
      <c r="AH943">
        <v>8.1349999999999998</v>
      </c>
      <c r="AI943">
        <v>7.7530000000000001</v>
      </c>
      <c r="AJ943">
        <v>7.1760000000000002</v>
      </c>
      <c r="AK943">
        <v>6.9390000000000001</v>
      </c>
      <c r="AL943">
        <v>5.944</v>
      </c>
      <c r="AM943">
        <v>8.157</v>
      </c>
      <c r="AN943">
        <v>9.4450000000000003</v>
      </c>
      <c r="AO943">
        <v>10.956</v>
      </c>
      <c r="AP943">
        <v>12.472</v>
      </c>
      <c r="AQ943">
        <v>13.49</v>
      </c>
      <c r="AR943">
        <v>13.833</v>
      </c>
      <c r="AS943">
        <v>13.904999999999999</v>
      </c>
      <c r="AT943">
        <v>14.292</v>
      </c>
      <c r="AU943">
        <v>14.994</v>
      </c>
      <c r="AV943">
        <v>15.736000000000001</v>
      </c>
      <c r="AW943">
        <v>16.609000000000002</v>
      </c>
      <c r="AX943">
        <v>17.529</v>
      </c>
      <c r="AY943">
        <v>2013</v>
      </c>
    </row>
    <row r="944" spans="1:51" x14ac:dyDescent="0.25">
      <c r="A944">
        <v>698</v>
      </c>
      <c r="B944" t="s">
        <v>876</v>
      </c>
      <c r="C944" t="s">
        <v>289</v>
      </c>
      <c r="D944" t="s">
        <v>235</v>
      </c>
      <c r="E944" t="s">
        <v>287</v>
      </c>
      <c r="F944" t="s">
        <v>290</v>
      </c>
      <c r="G944" t="s">
        <v>291</v>
      </c>
      <c r="H944" t="s">
        <v>283</v>
      </c>
      <c r="I944" t="s">
        <v>292</v>
      </c>
      <c r="J944" t="s">
        <v>285</v>
      </c>
      <c r="K944" t="s">
        <v>285</v>
      </c>
      <c r="L944" t="s">
        <v>285</v>
      </c>
      <c r="M944" t="s">
        <v>285</v>
      </c>
      <c r="N944" t="s">
        <v>285</v>
      </c>
      <c r="O944" t="s">
        <v>285</v>
      </c>
      <c r="P944" t="s">
        <v>285</v>
      </c>
      <c r="Q944" t="s">
        <v>285</v>
      </c>
      <c r="R944" t="s">
        <v>285</v>
      </c>
      <c r="S944" t="s">
        <v>285</v>
      </c>
      <c r="T944">
        <v>8.7799999999999994</v>
      </c>
      <c r="U944">
        <v>8.18</v>
      </c>
      <c r="V944">
        <v>6.7460000000000004</v>
      </c>
      <c r="W944">
        <v>6.5519999999999996</v>
      </c>
      <c r="X944">
        <v>6.8890000000000002</v>
      </c>
      <c r="Y944">
        <v>7.1520000000000001</v>
      </c>
      <c r="Z944">
        <v>8.7579999999999991</v>
      </c>
      <c r="AA944">
        <v>8.99</v>
      </c>
      <c r="AB944">
        <v>10.563000000000001</v>
      </c>
      <c r="AC944">
        <v>10.272</v>
      </c>
      <c r="AD944">
        <v>9.891</v>
      </c>
      <c r="AE944">
        <v>9.7449999999999992</v>
      </c>
      <c r="AF944">
        <v>9.2880000000000003</v>
      </c>
      <c r="AG944">
        <v>8.1890000000000001</v>
      </c>
      <c r="AH944">
        <v>8.1349999999999998</v>
      </c>
      <c r="AI944">
        <v>7.7530000000000001</v>
      </c>
      <c r="AJ944">
        <v>7.1760000000000002</v>
      </c>
      <c r="AK944">
        <v>6.9390000000000001</v>
      </c>
      <c r="AL944">
        <v>5.944</v>
      </c>
      <c r="AM944">
        <v>8.157</v>
      </c>
      <c r="AN944">
        <v>9.4450000000000003</v>
      </c>
      <c r="AO944">
        <v>10.956</v>
      </c>
      <c r="AP944">
        <v>12.472</v>
      </c>
      <c r="AQ944">
        <v>13.49</v>
      </c>
      <c r="AR944">
        <v>13.833</v>
      </c>
      <c r="AS944">
        <v>13.904999999999999</v>
      </c>
      <c r="AT944">
        <v>14.292</v>
      </c>
      <c r="AU944">
        <v>14.994</v>
      </c>
      <c r="AV944">
        <v>15.736000000000001</v>
      </c>
      <c r="AW944">
        <v>16.609000000000002</v>
      </c>
      <c r="AX944">
        <v>17.529</v>
      </c>
      <c r="AY944">
        <v>2013</v>
      </c>
    </row>
    <row r="945" spans="1:51" x14ac:dyDescent="0.25">
      <c r="A945">
        <v>698</v>
      </c>
      <c r="B945" t="s">
        <v>876</v>
      </c>
      <c r="C945" t="s">
        <v>293</v>
      </c>
      <c r="D945" t="s">
        <v>235</v>
      </c>
      <c r="E945" t="s">
        <v>294</v>
      </c>
      <c r="F945" t="s">
        <v>295</v>
      </c>
      <c r="G945" t="s">
        <v>296</v>
      </c>
      <c r="I945" t="s">
        <v>297</v>
      </c>
      <c r="J945" t="s">
        <v>285</v>
      </c>
      <c r="K945" t="s">
        <v>285</v>
      </c>
      <c r="L945" t="s">
        <v>285</v>
      </c>
      <c r="M945" t="s">
        <v>285</v>
      </c>
      <c r="N945" t="s">
        <v>285</v>
      </c>
      <c r="O945" t="s">
        <v>285</v>
      </c>
      <c r="P945" t="s">
        <v>285</v>
      </c>
      <c r="Q945" t="s">
        <v>285</v>
      </c>
      <c r="R945" t="s">
        <v>285</v>
      </c>
      <c r="S945" t="s">
        <v>285</v>
      </c>
      <c r="T945" t="s">
        <v>285</v>
      </c>
      <c r="U945" t="s">
        <v>285</v>
      </c>
      <c r="V945" t="s">
        <v>285</v>
      </c>
      <c r="W945" t="s">
        <v>285</v>
      </c>
      <c r="X945" t="s">
        <v>285</v>
      </c>
      <c r="Y945" t="s">
        <v>285</v>
      </c>
      <c r="Z945" t="s">
        <v>285</v>
      </c>
      <c r="AA945" t="s">
        <v>285</v>
      </c>
      <c r="AB945">
        <v>67.790999999999997</v>
      </c>
      <c r="AC945">
        <v>66.596000000000004</v>
      </c>
      <c r="AD945">
        <v>66.988</v>
      </c>
      <c r="AE945">
        <v>66.34</v>
      </c>
      <c r="AF945">
        <v>68.619</v>
      </c>
      <c r="AG945">
        <v>72.462000000000003</v>
      </c>
      <c r="AH945">
        <v>76.959999999999994</v>
      </c>
      <c r="AI945">
        <v>79.432000000000002</v>
      </c>
      <c r="AJ945">
        <v>76.256</v>
      </c>
      <c r="AK945">
        <v>76.311999999999998</v>
      </c>
      <c r="AL945">
        <v>78.364000000000004</v>
      </c>
      <c r="AM945">
        <v>100</v>
      </c>
      <c r="AN945">
        <v>103.965</v>
      </c>
      <c r="AO945">
        <v>107.768</v>
      </c>
      <c r="AP945">
        <v>110.95699999999999</v>
      </c>
      <c r="AQ945">
        <v>114.861</v>
      </c>
      <c r="AR945">
        <v>114.068</v>
      </c>
      <c r="AS945">
        <v>113.051</v>
      </c>
      <c r="AT945">
        <v>113.506</v>
      </c>
      <c r="AU945">
        <v>115.619</v>
      </c>
      <c r="AV945">
        <v>117.43300000000001</v>
      </c>
      <c r="AW945">
        <v>119.923</v>
      </c>
      <c r="AX945">
        <v>122.422</v>
      </c>
      <c r="AY945">
        <v>2013</v>
      </c>
    </row>
    <row r="946" spans="1:51" x14ac:dyDescent="0.25">
      <c r="A946">
        <v>698</v>
      </c>
      <c r="B946" t="s">
        <v>876</v>
      </c>
      <c r="C946" t="s">
        <v>298</v>
      </c>
      <c r="D946" t="s">
        <v>235</v>
      </c>
      <c r="E946" t="s">
        <v>299</v>
      </c>
      <c r="F946" t="s">
        <v>300</v>
      </c>
      <c r="G946" t="s">
        <v>282</v>
      </c>
      <c r="H946" t="s">
        <v>283</v>
      </c>
      <c r="I946" t="s">
        <v>878</v>
      </c>
      <c r="J946" t="s">
        <v>285</v>
      </c>
      <c r="K946" t="s">
        <v>285</v>
      </c>
      <c r="L946" t="s">
        <v>285</v>
      </c>
      <c r="M946" t="s">
        <v>285</v>
      </c>
      <c r="N946" t="s">
        <v>285</v>
      </c>
      <c r="O946" t="s">
        <v>285</v>
      </c>
      <c r="P946" t="s">
        <v>285</v>
      </c>
      <c r="Q946" t="s">
        <v>285</v>
      </c>
      <c r="R946" t="s">
        <v>285</v>
      </c>
      <c r="S946" t="s">
        <v>285</v>
      </c>
      <c r="T946" t="s">
        <v>285</v>
      </c>
      <c r="U946" t="s">
        <v>285</v>
      </c>
      <c r="V946" t="s">
        <v>285</v>
      </c>
      <c r="W946" t="s">
        <v>285</v>
      </c>
      <c r="X946" t="s">
        <v>285</v>
      </c>
      <c r="Y946" t="s">
        <v>285</v>
      </c>
      <c r="Z946" t="s">
        <v>285</v>
      </c>
      <c r="AA946" t="s">
        <v>285</v>
      </c>
      <c r="AB946" t="s">
        <v>285</v>
      </c>
      <c r="AC946" t="s">
        <v>285</v>
      </c>
      <c r="AD946" t="s">
        <v>285</v>
      </c>
      <c r="AE946" t="s">
        <v>285</v>
      </c>
      <c r="AF946" t="s">
        <v>285</v>
      </c>
      <c r="AG946" t="s">
        <v>285</v>
      </c>
      <c r="AH946" t="s">
        <v>285</v>
      </c>
      <c r="AI946">
        <v>1.4370000000000001</v>
      </c>
      <c r="AJ946">
        <v>0.69799999999999995</v>
      </c>
      <c r="AK946">
        <v>0.40699999999999997</v>
      </c>
      <c r="AL946">
        <v>0.254</v>
      </c>
      <c r="AM946">
        <v>1.1439999999999999</v>
      </c>
      <c r="AN946">
        <v>2.1320000000000001</v>
      </c>
      <c r="AO946">
        <v>3.06</v>
      </c>
      <c r="AP946">
        <v>3.5670000000000002</v>
      </c>
      <c r="AQ946">
        <v>4.0039999999999996</v>
      </c>
      <c r="AR946">
        <v>3.9710000000000001</v>
      </c>
      <c r="AS946">
        <v>4.077</v>
      </c>
      <c r="AT946">
        <v>3.9260000000000002</v>
      </c>
      <c r="AU946">
        <v>4.1550000000000002</v>
      </c>
      <c r="AV946">
        <v>4.2480000000000002</v>
      </c>
      <c r="AW946">
        <v>4.34</v>
      </c>
      <c r="AX946">
        <v>4.58</v>
      </c>
      <c r="AY946">
        <v>2014</v>
      </c>
    </row>
    <row r="948" spans="1:51" x14ac:dyDescent="0.25">
      <c r="A948" t="s">
        <v>879</v>
      </c>
    </row>
  </sheetData>
  <autoFilter ref="A1:AY94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248"/>
  <sheetViews>
    <sheetView workbookViewId="0">
      <pane xSplit="6" ySplit="6" topLeftCell="K167" activePane="bottomRight" state="frozen"/>
      <selection activeCell="C4" sqref="C4"/>
      <selection pane="topRight" activeCell="C4" sqref="C4"/>
      <selection pane="bottomLeft" activeCell="C4" sqref="C4"/>
      <selection pane="bottomRight" activeCell="C4" sqref="C4"/>
    </sheetView>
  </sheetViews>
  <sheetFormatPr defaultRowHeight="15" outlineLevelCol="1" x14ac:dyDescent="0.25"/>
  <cols>
    <col min="1" max="2" width="8.7109375" customWidth="1" outlineLevel="1"/>
    <col min="3" max="3" width="29" customWidth="1"/>
  </cols>
  <sheetData>
    <row r="1" spans="1:20" ht="14.45" x14ac:dyDescent="0.35">
      <c r="C1" s="23" t="s">
        <v>880</v>
      </c>
      <c r="D1" s="23" t="s">
        <v>881</v>
      </c>
      <c r="E1" s="24"/>
      <c r="F1" s="24"/>
      <c r="G1" s="24"/>
      <c r="H1" s="24"/>
      <c r="I1" s="24"/>
      <c r="J1" s="24"/>
      <c r="K1" s="24"/>
      <c r="L1" s="24"/>
      <c r="M1" s="24"/>
      <c r="N1" s="24"/>
      <c r="O1" s="24"/>
      <c r="P1" s="24"/>
      <c r="Q1" s="24"/>
      <c r="R1" s="24"/>
      <c r="S1" s="24"/>
      <c r="T1" s="24"/>
    </row>
    <row r="2" spans="1:20" ht="35.450000000000003" x14ac:dyDescent="0.35">
      <c r="C2" s="25" t="s">
        <v>882</v>
      </c>
      <c r="D2" s="24"/>
      <c r="E2" s="24"/>
      <c r="F2" s="24"/>
      <c r="G2" s="24"/>
      <c r="H2" s="24"/>
      <c r="I2" s="24"/>
      <c r="J2" s="24"/>
      <c r="K2" s="24"/>
      <c r="L2" s="24"/>
      <c r="M2" s="24"/>
      <c r="N2" s="24"/>
      <c r="O2" s="24"/>
      <c r="P2" s="24"/>
      <c r="Q2" s="24"/>
      <c r="R2" s="24"/>
      <c r="S2" s="24"/>
      <c r="T2" s="24"/>
    </row>
    <row r="3" spans="1:20" ht="14.45" x14ac:dyDescent="0.35">
      <c r="C3" s="26" t="s">
        <v>883</v>
      </c>
      <c r="D3" s="27"/>
      <c r="E3" s="27"/>
      <c r="F3" s="27"/>
      <c r="G3" s="28"/>
      <c r="H3" s="108" t="s">
        <v>884</v>
      </c>
      <c r="I3" s="109"/>
      <c r="J3" s="109"/>
      <c r="K3" s="109"/>
      <c r="L3" s="109"/>
      <c r="M3" s="109"/>
      <c r="N3" s="109"/>
      <c r="O3" s="109"/>
      <c r="P3" s="109"/>
      <c r="Q3" s="109"/>
      <c r="R3" s="109"/>
      <c r="S3" s="109"/>
      <c r="T3" s="110"/>
    </row>
    <row r="4" spans="1:20" ht="14.45" x14ac:dyDescent="0.35">
      <c r="C4" s="26" t="s">
        <v>885</v>
      </c>
      <c r="D4" s="27"/>
      <c r="E4" s="27"/>
      <c r="F4" s="27"/>
      <c r="G4" s="28"/>
      <c r="H4" s="108" t="s">
        <v>886</v>
      </c>
      <c r="I4" s="109"/>
      <c r="J4" s="109"/>
      <c r="K4" s="109"/>
      <c r="L4" s="109"/>
      <c r="M4" s="109"/>
      <c r="N4" s="109"/>
      <c r="O4" s="109"/>
      <c r="P4" s="109"/>
      <c r="Q4" s="109"/>
      <c r="R4" s="109"/>
      <c r="S4" s="109"/>
      <c r="T4" s="110"/>
    </row>
    <row r="5" spans="1:20" ht="14.45" x14ac:dyDescent="0.35">
      <c r="C5" s="26" t="s">
        <v>887</v>
      </c>
      <c r="D5" s="27"/>
      <c r="E5" s="27"/>
      <c r="F5" s="27"/>
      <c r="G5" s="28"/>
      <c r="H5" s="108" t="s">
        <v>888</v>
      </c>
      <c r="I5" s="109"/>
      <c r="J5" s="109"/>
      <c r="K5" s="109"/>
      <c r="L5" s="109"/>
      <c r="M5" s="109"/>
      <c r="N5" s="109"/>
      <c r="O5" s="109"/>
      <c r="P5" s="109"/>
      <c r="Q5" s="109"/>
      <c r="R5" s="109"/>
      <c r="S5" s="109"/>
      <c r="T5" s="110"/>
    </row>
    <row r="6" spans="1:20" ht="14.45" x14ac:dyDescent="0.35">
      <c r="C6" s="29" t="s">
        <v>1</v>
      </c>
      <c r="D6" s="30"/>
      <c r="E6" s="30"/>
      <c r="F6" s="30"/>
      <c r="G6" s="31"/>
      <c r="H6" s="32" t="s">
        <v>889</v>
      </c>
      <c r="I6" s="32" t="s">
        <v>890</v>
      </c>
      <c r="J6" s="32" t="s">
        <v>891</v>
      </c>
      <c r="K6" s="32" t="s">
        <v>892</v>
      </c>
      <c r="L6" s="32" t="s">
        <v>893</v>
      </c>
      <c r="M6" s="32" t="s">
        <v>894</v>
      </c>
      <c r="N6" s="32" t="s">
        <v>895</v>
      </c>
      <c r="O6" s="32" t="s">
        <v>896</v>
      </c>
      <c r="P6" s="32" t="s">
        <v>897</v>
      </c>
      <c r="Q6" s="32" t="s">
        <v>898</v>
      </c>
      <c r="R6" s="32" t="s">
        <v>899</v>
      </c>
      <c r="S6" s="32" t="s">
        <v>900</v>
      </c>
      <c r="T6" s="33" t="s">
        <v>901</v>
      </c>
    </row>
    <row r="7" spans="1:20" ht="21.6" x14ac:dyDescent="0.35">
      <c r="C7" s="34" t="s">
        <v>902</v>
      </c>
      <c r="D7" s="34" t="s">
        <v>903</v>
      </c>
      <c r="E7" s="34" t="s">
        <v>904</v>
      </c>
      <c r="F7" s="34" t="s">
        <v>905</v>
      </c>
      <c r="G7" s="35" t="s">
        <v>906</v>
      </c>
      <c r="H7" s="35" t="s">
        <v>906</v>
      </c>
      <c r="I7" s="35" t="s">
        <v>906</v>
      </c>
      <c r="J7" s="35" t="s">
        <v>906</v>
      </c>
      <c r="K7" s="35" t="s">
        <v>906</v>
      </c>
      <c r="L7" s="35" t="s">
        <v>906</v>
      </c>
      <c r="M7" s="35" t="s">
        <v>906</v>
      </c>
      <c r="N7" s="35" t="s">
        <v>906</v>
      </c>
      <c r="O7" s="35" t="s">
        <v>906</v>
      </c>
      <c r="P7" s="35" t="s">
        <v>906</v>
      </c>
      <c r="Q7" s="35" t="s">
        <v>906</v>
      </c>
      <c r="R7" s="35" t="s">
        <v>906</v>
      </c>
      <c r="S7" s="35" t="s">
        <v>906</v>
      </c>
      <c r="T7" s="35" t="s">
        <v>906</v>
      </c>
    </row>
    <row r="8" spans="1:20" ht="20.100000000000001" x14ac:dyDescent="0.35">
      <c r="A8" t="str">
        <f>C8</f>
        <v>DAC members, Total</v>
      </c>
      <c r="B8" t="str">
        <f>D8</f>
        <v>Principal</v>
      </c>
      <c r="C8" s="36" t="s">
        <v>907</v>
      </c>
      <c r="D8" s="36" t="s">
        <v>908</v>
      </c>
      <c r="E8" s="37" t="s">
        <v>909</v>
      </c>
      <c r="F8" s="37" t="s">
        <v>910</v>
      </c>
      <c r="G8" s="35" t="s">
        <v>906</v>
      </c>
      <c r="H8" s="38">
        <v>795.59736599999997</v>
      </c>
      <c r="I8" s="38">
        <v>1361.332232</v>
      </c>
      <c r="J8" s="38">
        <v>1031.5906440000001</v>
      </c>
      <c r="K8" s="38">
        <v>1519.3447860000001</v>
      </c>
      <c r="L8" s="38">
        <v>1666.623953</v>
      </c>
      <c r="M8" s="38">
        <v>2608.9700739999998</v>
      </c>
      <c r="N8" s="38">
        <v>1575.7531389999999</v>
      </c>
      <c r="O8" s="38">
        <v>1744.0879669999999</v>
      </c>
      <c r="P8" s="38">
        <v>2521.856487</v>
      </c>
      <c r="Q8" s="38">
        <v>3475.7036499999999</v>
      </c>
      <c r="R8" s="38">
        <v>2382.9066250000001</v>
      </c>
      <c r="S8" s="38">
        <v>1682.264406</v>
      </c>
      <c r="T8" s="38">
        <v>6.3008740000000003</v>
      </c>
    </row>
    <row r="9" spans="1:20" ht="30" x14ac:dyDescent="0.35">
      <c r="A9" t="str">
        <f t="shared" ref="A9:A14" si="0">IF(C9="",A8,C9)</f>
        <v>DAC members, Total</v>
      </c>
      <c r="B9" t="str">
        <f>IF(D9="",D8,D9)</f>
        <v>Principal</v>
      </c>
      <c r="C9" s="39"/>
      <c r="D9" s="40"/>
      <c r="E9" s="37" t="s">
        <v>911</v>
      </c>
      <c r="F9" s="37" t="s">
        <v>912</v>
      </c>
      <c r="G9" s="35" t="s">
        <v>906</v>
      </c>
      <c r="H9" s="41">
        <v>1074.567624</v>
      </c>
      <c r="I9" s="41">
        <v>1540.335754</v>
      </c>
      <c r="J9" s="41">
        <v>1178.8155630000001</v>
      </c>
      <c r="K9" s="41">
        <v>1645.0377579999999</v>
      </c>
      <c r="L9" s="41">
        <v>1881.4439589999999</v>
      </c>
      <c r="M9" s="41">
        <v>2897.659819</v>
      </c>
      <c r="N9" s="41">
        <v>1585.0716219999999</v>
      </c>
      <c r="O9" s="41">
        <v>1691.7886140000001</v>
      </c>
      <c r="P9" s="41">
        <v>2528.979707</v>
      </c>
      <c r="Q9" s="41">
        <v>3222.8693539999999</v>
      </c>
      <c r="R9" s="41">
        <v>2385.9480130000002</v>
      </c>
      <c r="S9" s="41">
        <v>1682.264406</v>
      </c>
      <c r="T9" s="41">
        <v>6.2763330000000002</v>
      </c>
    </row>
    <row r="10" spans="1:20" ht="20.100000000000001" x14ac:dyDescent="0.35">
      <c r="A10" t="str">
        <f t="shared" si="0"/>
        <v>DAC members, Total</v>
      </c>
      <c r="B10" t="str">
        <f t="shared" ref="B10:B73" si="1">IF(D10="",D9,D10)</f>
        <v>Significant</v>
      </c>
      <c r="C10" s="39"/>
      <c r="D10" s="36" t="s">
        <v>913</v>
      </c>
      <c r="E10" s="37" t="s">
        <v>909</v>
      </c>
      <c r="F10" s="37" t="s">
        <v>910</v>
      </c>
      <c r="G10" s="35" t="s">
        <v>906</v>
      </c>
      <c r="H10" s="38">
        <v>550.43702399999995</v>
      </c>
      <c r="I10" s="38">
        <v>738.82162400000004</v>
      </c>
      <c r="J10" s="38">
        <v>877.18656499999997</v>
      </c>
      <c r="K10" s="38">
        <v>1071.817683</v>
      </c>
      <c r="L10" s="38">
        <v>1276.6163309999999</v>
      </c>
      <c r="M10" s="38">
        <v>1062.965625</v>
      </c>
      <c r="N10" s="38">
        <v>1869.693417</v>
      </c>
      <c r="O10" s="38">
        <v>2550.3285150000002</v>
      </c>
      <c r="P10" s="38">
        <v>3672.274062</v>
      </c>
      <c r="Q10" s="38">
        <v>3345.2152000000001</v>
      </c>
      <c r="R10" s="38">
        <v>3578.7342899999999</v>
      </c>
      <c r="S10" s="38">
        <v>4407.0672640000003</v>
      </c>
      <c r="T10" s="38">
        <v>409.99542700000001</v>
      </c>
    </row>
    <row r="11" spans="1:20" ht="30" x14ac:dyDescent="0.35">
      <c r="A11" t="str">
        <f t="shared" si="0"/>
        <v>DAC members, Total</v>
      </c>
      <c r="B11" t="str">
        <f t="shared" si="1"/>
        <v>Significant</v>
      </c>
      <c r="C11" s="39"/>
      <c r="D11" s="40"/>
      <c r="E11" s="37" t="s">
        <v>911</v>
      </c>
      <c r="F11" s="37" t="s">
        <v>912</v>
      </c>
      <c r="G11" s="35" t="s">
        <v>906</v>
      </c>
      <c r="H11" s="41">
        <v>888.00563399999999</v>
      </c>
      <c r="I11" s="41">
        <v>1018.455381</v>
      </c>
      <c r="J11" s="41">
        <v>1116.2200769999999</v>
      </c>
      <c r="K11" s="41">
        <v>1294.3724930000001</v>
      </c>
      <c r="L11" s="41">
        <v>1534.148017</v>
      </c>
      <c r="M11" s="41">
        <v>1141.532976</v>
      </c>
      <c r="N11" s="41">
        <v>1875.7194079999999</v>
      </c>
      <c r="O11" s="41">
        <v>2677.8388890000001</v>
      </c>
      <c r="P11" s="41">
        <v>3875.5594120000001</v>
      </c>
      <c r="Q11" s="41">
        <v>3281.432429</v>
      </c>
      <c r="R11" s="41">
        <v>3639.9462779999999</v>
      </c>
      <c r="S11" s="41">
        <v>4407.0672640000003</v>
      </c>
      <c r="T11" s="41">
        <v>407.12487099999998</v>
      </c>
    </row>
    <row r="12" spans="1:20" ht="20.100000000000001" customHeight="1" x14ac:dyDescent="0.35">
      <c r="A12" t="str">
        <f t="shared" si="0"/>
        <v>DAC members, Total</v>
      </c>
      <c r="B12" t="str">
        <f t="shared" si="1"/>
        <v>Screened, not targeted</v>
      </c>
      <c r="C12" s="39"/>
      <c r="D12" s="36" t="s">
        <v>914</v>
      </c>
      <c r="E12" s="37" t="s">
        <v>909</v>
      </c>
      <c r="F12" s="37" t="s">
        <v>910</v>
      </c>
      <c r="G12" s="35" t="s">
        <v>906</v>
      </c>
      <c r="H12" s="38">
        <v>2268.1836929999999</v>
      </c>
      <c r="I12" s="38">
        <v>4798.3847949999999</v>
      </c>
      <c r="J12" s="38">
        <v>9427.326943</v>
      </c>
      <c r="K12" s="38">
        <v>35296.599771000001</v>
      </c>
      <c r="L12" s="38">
        <v>38787.091309000003</v>
      </c>
      <c r="M12" s="38">
        <v>53175.468224999997</v>
      </c>
      <c r="N12" s="38">
        <v>67772.724000000002</v>
      </c>
      <c r="O12" s="38">
        <v>75563.389605999997</v>
      </c>
      <c r="P12" s="38">
        <v>82416.388739999995</v>
      </c>
      <c r="Q12" s="38">
        <v>106054.22637600001</v>
      </c>
      <c r="R12" s="38">
        <v>98424.584344000003</v>
      </c>
      <c r="S12" s="38">
        <v>107978.06752900001</v>
      </c>
      <c r="T12" s="38">
        <v>6667.8010709999999</v>
      </c>
    </row>
    <row r="13" spans="1:20" ht="30" x14ac:dyDescent="0.35">
      <c r="A13" t="str">
        <f t="shared" si="0"/>
        <v>DAC members, Total</v>
      </c>
      <c r="B13" t="str">
        <f t="shared" si="1"/>
        <v>Screened, not targeted</v>
      </c>
      <c r="C13" s="39"/>
      <c r="D13" s="40"/>
      <c r="E13" s="37" t="s">
        <v>911</v>
      </c>
      <c r="F13" s="37" t="s">
        <v>912</v>
      </c>
      <c r="G13" s="35" t="s">
        <v>906</v>
      </c>
      <c r="H13" s="41">
        <v>3642.0427610000002</v>
      </c>
      <c r="I13" s="41">
        <v>6368.3337229999997</v>
      </c>
      <c r="J13" s="41">
        <v>12844.058521999999</v>
      </c>
      <c r="K13" s="41">
        <v>42781.721943999997</v>
      </c>
      <c r="L13" s="41">
        <v>46524.281030999999</v>
      </c>
      <c r="M13" s="41">
        <v>56738.856443999997</v>
      </c>
      <c r="N13" s="41">
        <v>67685.799213999999</v>
      </c>
      <c r="O13" s="41">
        <v>79823.078531000006</v>
      </c>
      <c r="P13" s="41">
        <v>84540.201144000006</v>
      </c>
      <c r="Q13" s="41">
        <v>103685.5922</v>
      </c>
      <c r="R13" s="41">
        <v>97964.925998999999</v>
      </c>
      <c r="S13" s="41">
        <v>107978.06753</v>
      </c>
      <c r="T13" s="41">
        <v>6611.5357990000002</v>
      </c>
    </row>
    <row r="14" spans="1:20" ht="20.100000000000001" x14ac:dyDescent="0.35">
      <c r="A14" t="str">
        <f t="shared" si="0"/>
        <v>DAC members, Total</v>
      </c>
      <c r="B14" t="str">
        <f t="shared" si="1"/>
        <v>Not screened</v>
      </c>
      <c r="C14" s="39"/>
      <c r="D14" s="36" t="s">
        <v>915</v>
      </c>
      <c r="E14" s="37" t="s">
        <v>909</v>
      </c>
      <c r="F14" s="37" t="s">
        <v>910</v>
      </c>
      <c r="G14" s="35" t="s">
        <v>906</v>
      </c>
      <c r="H14" s="38">
        <v>49349.265471999999</v>
      </c>
      <c r="I14" s="38">
        <v>68877.669783000005</v>
      </c>
      <c r="J14" s="38">
        <v>69657.507289999994</v>
      </c>
      <c r="K14" s="38">
        <v>69591.675424000001</v>
      </c>
      <c r="L14" s="38">
        <v>71309.536831000005</v>
      </c>
      <c r="M14" s="38">
        <v>47309.276365999998</v>
      </c>
      <c r="N14" s="38">
        <v>61364.173491000001</v>
      </c>
      <c r="O14" s="38">
        <v>44788.850667999999</v>
      </c>
      <c r="P14" s="38">
        <v>36480.061372999997</v>
      </c>
      <c r="Q14" s="38">
        <v>13999.607346000001</v>
      </c>
      <c r="R14" s="38">
        <v>24043.609572000001</v>
      </c>
      <c r="S14" s="38">
        <v>23705.700573999999</v>
      </c>
      <c r="T14" s="38">
        <v>126.37325800000001</v>
      </c>
    </row>
    <row r="15" spans="1:20" ht="30" x14ac:dyDescent="0.35">
      <c r="A15" t="str">
        <f>IF(C15="",A14,C15)</f>
        <v>DAC members, Total</v>
      </c>
      <c r="B15" t="str">
        <f t="shared" si="1"/>
        <v>Not screened</v>
      </c>
      <c r="C15" s="40"/>
      <c r="D15" s="40"/>
      <c r="E15" s="37" t="s">
        <v>911</v>
      </c>
      <c r="F15" s="37" t="s">
        <v>912</v>
      </c>
      <c r="G15" s="35" t="s">
        <v>906</v>
      </c>
      <c r="H15" s="41">
        <v>75158.316869000002</v>
      </c>
      <c r="I15" s="41">
        <v>89248.175854999994</v>
      </c>
      <c r="J15" s="41">
        <v>82239.570655000003</v>
      </c>
      <c r="K15" s="41">
        <v>80197.228656000007</v>
      </c>
      <c r="L15" s="41">
        <v>80575.101154000004</v>
      </c>
      <c r="M15" s="41">
        <v>51500.446376</v>
      </c>
      <c r="N15" s="41">
        <v>64635.283786</v>
      </c>
      <c r="O15" s="41">
        <v>46122.689813999998</v>
      </c>
      <c r="P15" s="41">
        <v>38073.199263000002</v>
      </c>
      <c r="Q15" s="41">
        <v>13343.405409000001</v>
      </c>
      <c r="R15" s="41">
        <v>24436.180159</v>
      </c>
      <c r="S15" s="41">
        <v>23705.700572999998</v>
      </c>
      <c r="T15" s="41">
        <v>125.450464</v>
      </c>
    </row>
    <row r="16" spans="1:20" ht="20.100000000000001" x14ac:dyDescent="0.35">
      <c r="A16" t="str">
        <f>IF(C16="",A15,C16)</f>
        <v>Australia</v>
      </c>
      <c r="B16" t="str">
        <f t="shared" si="1"/>
        <v>Principal</v>
      </c>
      <c r="C16" s="36" t="s">
        <v>53</v>
      </c>
      <c r="D16" s="36" t="s">
        <v>908</v>
      </c>
      <c r="E16" s="37" t="s">
        <v>909</v>
      </c>
      <c r="F16" s="37" t="s">
        <v>910</v>
      </c>
      <c r="G16" s="35" t="s">
        <v>906</v>
      </c>
      <c r="H16" s="38" t="s">
        <v>916</v>
      </c>
      <c r="I16" s="38" t="s">
        <v>916</v>
      </c>
      <c r="J16" s="38" t="s">
        <v>916</v>
      </c>
      <c r="K16" s="38" t="s">
        <v>916</v>
      </c>
      <c r="L16" s="38" t="s">
        <v>916</v>
      </c>
      <c r="M16" s="38" t="s">
        <v>916</v>
      </c>
      <c r="N16" s="38" t="s">
        <v>916</v>
      </c>
      <c r="O16" s="38">
        <v>21.178826999999998</v>
      </c>
      <c r="P16" s="38">
        <v>25.371086999999999</v>
      </c>
      <c r="Q16" s="38">
        <v>45.136384</v>
      </c>
      <c r="R16" s="38">
        <v>63.022235999999999</v>
      </c>
      <c r="S16" s="38">
        <v>57.209108999999998</v>
      </c>
      <c r="T16" s="38" t="s">
        <v>916</v>
      </c>
    </row>
    <row r="17" spans="1:20" ht="30" x14ac:dyDescent="0.35">
      <c r="A17" t="str">
        <f>IF(C17="",A16,C17)</f>
        <v>Australia</v>
      </c>
      <c r="B17" t="str">
        <f t="shared" si="1"/>
        <v>Principal</v>
      </c>
      <c r="C17" s="39"/>
      <c r="D17" s="40"/>
      <c r="E17" s="37" t="s">
        <v>911</v>
      </c>
      <c r="F17" s="37" t="s">
        <v>912</v>
      </c>
      <c r="G17" s="35" t="s">
        <v>906</v>
      </c>
      <c r="H17" s="41" t="s">
        <v>916</v>
      </c>
      <c r="I17" s="41" t="s">
        <v>916</v>
      </c>
      <c r="J17" s="41" t="s">
        <v>916</v>
      </c>
      <c r="K17" s="41" t="s">
        <v>916</v>
      </c>
      <c r="L17" s="41" t="s">
        <v>916</v>
      </c>
      <c r="M17" s="41" t="s">
        <v>916</v>
      </c>
      <c r="N17" s="41" t="s">
        <v>916</v>
      </c>
      <c r="O17" s="41">
        <v>29.064311</v>
      </c>
      <c r="P17" s="41">
        <v>28.074349999999999</v>
      </c>
      <c r="Q17" s="41">
        <v>42.578077</v>
      </c>
      <c r="R17" s="41">
        <v>59.372857000000003</v>
      </c>
      <c r="S17" s="41">
        <v>57.209108999999998</v>
      </c>
      <c r="T17" s="41" t="s">
        <v>916</v>
      </c>
    </row>
    <row r="18" spans="1:20" ht="20.100000000000001" x14ac:dyDescent="0.35">
      <c r="A18" t="str">
        <f>IF(C18="",A17,C18)</f>
        <v>Australia</v>
      </c>
      <c r="B18" t="str">
        <f t="shared" si="1"/>
        <v>Significant</v>
      </c>
      <c r="C18" s="39"/>
      <c r="D18" s="36" t="s">
        <v>913</v>
      </c>
      <c r="E18" s="37" t="s">
        <v>909</v>
      </c>
      <c r="F18" s="37" t="s">
        <v>910</v>
      </c>
      <c r="G18" s="35" t="s">
        <v>906</v>
      </c>
      <c r="H18" s="38" t="s">
        <v>916</v>
      </c>
      <c r="I18" s="38" t="s">
        <v>916</v>
      </c>
      <c r="J18" s="38" t="s">
        <v>916</v>
      </c>
      <c r="K18" s="38" t="s">
        <v>916</v>
      </c>
      <c r="L18" s="38" t="s">
        <v>916</v>
      </c>
      <c r="M18" s="38" t="s">
        <v>916</v>
      </c>
      <c r="N18" s="38" t="s">
        <v>916</v>
      </c>
      <c r="O18" s="38">
        <v>137.916923</v>
      </c>
      <c r="P18" s="38">
        <v>402.98806500000001</v>
      </c>
      <c r="Q18" s="38">
        <v>347.58454899999998</v>
      </c>
      <c r="R18" s="38">
        <v>308.25442099999998</v>
      </c>
      <c r="S18" s="38">
        <v>245.06536199999999</v>
      </c>
      <c r="T18" s="38" t="s">
        <v>916</v>
      </c>
    </row>
    <row r="19" spans="1:20" ht="30" x14ac:dyDescent="0.35">
      <c r="A19" t="str">
        <f t="shared" ref="A19:A82" si="2">IF(C19="",A18,C19)</f>
        <v>Australia</v>
      </c>
      <c r="B19" t="str">
        <f t="shared" si="1"/>
        <v>Significant</v>
      </c>
      <c r="C19" s="39"/>
      <c r="D19" s="40"/>
      <c r="E19" s="37" t="s">
        <v>911</v>
      </c>
      <c r="F19" s="37" t="s">
        <v>912</v>
      </c>
      <c r="G19" s="35" t="s">
        <v>906</v>
      </c>
      <c r="H19" s="41" t="s">
        <v>916</v>
      </c>
      <c r="I19" s="41" t="s">
        <v>916</v>
      </c>
      <c r="J19" s="41" t="s">
        <v>916</v>
      </c>
      <c r="K19" s="41" t="s">
        <v>916</v>
      </c>
      <c r="L19" s="41" t="s">
        <v>916</v>
      </c>
      <c r="M19" s="41" t="s">
        <v>916</v>
      </c>
      <c r="N19" s="41" t="s">
        <v>916</v>
      </c>
      <c r="O19" s="41">
        <v>189.267348</v>
      </c>
      <c r="P19" s="41">
        <v>445.92600399999998</v>
      </c>
      <c r="Q19" s="41">
        <v>327.88360499999999</v>
      </c>
      <c r="R19" s="41">
        <v>290.40458899999999</v>
      </c>
      <c r="S19" s="41">
        <v>245.06536199999999</v>
      </c>
      <c r="T19" s="41" t="s">
        <v>916</v>
      </c>
    </row>
    <row r="20" spans="1:20" ht="20.100000000000001" customHeight="1" x14ac:dyDescent="0.35">
      <c r="A20" t="str">
        <f t="shared" si="2"/>
        <v>Australia</v>
      </c>
      <c r="B20" t="str">
        <f t="shared" si="1"/>
        <v>Screened, not targeted</v>
      </c>
      <c r="C20" s="39"/>
      <c r="D20" s="36" t="s">
        <v>914</v>
      </c>
      <c r="E20" s="37" t="s">
        <v>909</v>
      </c>
      <c r="F20" s="37" t="s">
        <v>910</v>
      </c>
      <c r="G20" s="35" t="s">
        <v>906</v>
      </c>
      <c r="H20" s="38" t="s">
        <v>916</v>
      </c>
      <c r="I20" s="38" t="s">
        <v>916</v>
      </c>
      <c r="J20" s="38" t="s">
        <v>916</v>
      </c>
      <c r="K20" s="38" t="s">
        <v>916</v>
      </c>
      <c r="L20" s="38" t="s">
        <v>916</v>
      </c>
      <c r="M20" s="38" t="s">
        <v>916</v>
      </c>
      <c r="N20" s="38" t="s">
        <v>916</v>
      </c>
      <c r="O20" s="38">
        <v>3216.9566140000002</v>
      </c>
      <c r="P20" s="38">
        <v>4129.5649309999999</v>
      </c>
      <c r="Q20" s="38">
        <v>3140.9339399999999</v>
      </c>
      <c r="R20" s="38">
        <v>3388.858275</v>
      </c>
      <c r="S20" s="38">
        <v>2798.8462220000001</v>
      </c>
      <c r="T20" s="38" t="s">
        <v>916</v>
      </c>
    </row>
    <row r="21" spans="1:20" ht="30" x14ac:dyDescent="0.35">
      <c r="A21" t="str">
        <f t="shared" si="2"/>
        <v>Australia</v>
      </c>
      <c r="B21" t="str">
        <f t="shared" si="1"/>
        <v>Screened, not targeted</v>
      </c>
      <c r="C21" s="39"/>
      <c r="D21" s="40"/>
      <c r="E21" s="37" t="s">
        <v>911</v>
      </c>
      <c r="F21" s="37" t="s">
        <v>912</v>
      </c>
      <c r="G21" s="35" t="s">
        <v>906</v>
      </c>
      <c r="H21" s="41" t="s">
        <v>916</v>
      </c>
      <c r="I21" s="41" t="s">
        <v>916</v>
      </c>
      <c r="J21" s="41" t="s">
        <v>916</v>
      </c>
      <c r="K21" s="41" t="s">
        <v>916</v>
      </c>
      <c r="L21" s="41" t="s">
        <v>916</v>
      </c>
      <c r="M21" s="41" t="s">
        <v>916</v>
      </c>
      <c r="N21" s="41" t="s">
        <v>916</v>
      </c>
      <c r="O21" s="41">
        <v>4414.721861</v>
      </c>
      <c r="P21" s="41">
        <v>4569.5655669999996</v>
      </c>
      <c r="Q21" s="41">
        <v>2962.9071330000002</v>
      </c>
      <c r="R21" s="41">
        <v>3192.6224860000002</v>
      </c>
      <c r="S21" s="41">
        <v>2798.8462220000001</v>
      </c>
      <c r="T21" s="41" t="s">
        <v>916</v>
      </c>
    </row>
    <row r="22" spans="1:20" ht="20.100000000000001" x14ac:dyDescent="0.35">
      <c r="A22" t="str">
        <f t="shared" si="2"/>
        <v>Australia</v>
      </c>
      <c r="B22" t="str">
        <f t="shared" si="1"/>
        <v>Not screened</v>
      </c>
      <c r="C22" s="39"/>
      <c r="D22" s="36" t="s">
        <v>915</v>
      </c>
      <c r="E22" s="37" t="s">
        <v>909</v>
      </c>
      <c r="F22" s="37" t="s">
        <v>910</v>
      </c>
      <c r="G22" s="35" t="s">
        <v>906</v>
      </c>
      <c r="H22" s="38" t="s">
        <v>916</v>
      </c>
      <c r="I22" s="38" t="s">
        <v>916</v>
      </c>
      <c r="J22" s="38" t="s">
        <v>916</v>
      </c>
      <c r="K22" s="38" t="s">
        <v>916</v>
      </c>
      <c r="L22" s="38" t="s">
        <v>916</v>
      </c>
      <c r="M22" s="38" t="s">
        <v>916</v>
      </c>
      <c r="N22" s="38" t="s">
        <v>916</v>
      </c>
      <c r="O22" s="38">
        <v>-962.96903399999997</v>
      </c>
      <c r="P22" s="38">
        <v>-792.02220399999999</v>
      </c>
      <c r="Q22" s="38">
        <v>619.59573799999998</v>
      </c>
      <c r="R22" s="38">
        <v>879.86434099999997</v>
      </c>
      <c r="S22" s="38">
        <v>1048.15463</v>
      </c>
      <c r="T22" s="38" t="s">
        <v>916</v>
      </c>
    </row>
    <row r="23" spans="1:20" ht="30" x14ac:dyDescent="0.35">
      <c r="A23" t="str">
        <f t="shared" si="2"/>
        <v>Australia</v>
      </c>
      <c r="B23" t="str">
        <f t="shared" si="1"/>
        <v>Not screened</v>
      </c>
      <c r="C23" s="40"/>
      <c r="D23" s="40"/>
      <c r="E23" s="37" t="s">
        <v>911</v>
      </c>
      <c r="F23" s="37" t="s">
        <v>912</v>
      </c>
      <c r="G23" s="35" t="s">
        <v>906</v>
      </c>
      <c r="H23" s="41" t="s">
        <v>916</v>
      </c>
      <c r="I23" s="41" t="s">
        <v>916</v>
      </c>
      <c r="J23" s="41" t="s">
        <v>916</v>
      </c>
      <c r="K23" s="41" t="s">
        <v>916</v>
      </c>
      <c r="L23" s="41" t="s">
        <v>916</v>
      </c>
      <c r="M23" s="41" t="s">
        <v>916</v>
      </c>
      <c r="N23" s="41" t="s">
        <v>916</v>
      </c>
      <c r="O23" s="41">
        <v>-1321.5100359999999</v>
      </c>
      <c r="P23" s="41">
        <v>-876.41130999999996</v>
      </c>
      <c r="Q23" s="41">
        <v>584.47731299999998</v>
      </c>
      <c r="R23" s="41">
        <v>828.91476399999999</v>
      </c>
      <c r="S23" s="41">
        <v>1048.15463</v>
      </c>
      <c r="T23" s="41" t="s">
        <v>916</v>
      </c>
    </row>
    <row r="24" spans="1:20" ht="20.100000000000001" x14ac:dyDescent="0.35">
      <c r="A24" t="str">
        <f t="shared" si="2"/>
        <v>Austria</v>
      </c>
      <c r="B24" t="str">
        <f t="shared" si="1"/>
        <v>Principal</v>
      </c>
      <c r="C24" s="36" t="s">
        <v>43</v>
      </c>
      <c r="D24" s="36" t="s">
        <v>908</v>
      </c>
      <c r="E24" s="37" t="s">
        <v>909</v>
      </c>
      <c r="F24" s="37" t="s">
        <v>910</v>
      </c>
      <c r="G24" s="35" t="s">
        <v>906</v>
      </c>
      <c r="H24" s="38" t="s">
        <v>916</v>
      </c>
      <c r="I24" s="38" t="s">
        <v>916</v>
      </c>
      <c r="J24" s="38" t="s">
        <v>916</v>
      </c>
      <c r="K24" s="38" t="s">
        <v>916</v>
      </c>
      <c r="L24" s="38" t="s">
        <v>916</v>
      </c>
      <c r="M24" s="38" t="s">
        <v>916</v>
      </c>
      <c r="N24" s="38" t="s">
        <v>916</v>
      </c>
      <c r="O24" s="38">
        <v>18.713830999999999</v>
      </c>
      <c r="P24" s="38">
        <v>5.5869759999999999</v>
      </c>
      <c r="Q24" s="38">
        <v>8.5854719999999993</v>
      </c>
      <c r="R24" s="38">
        <v>5.2191890000000001</v>
      </c>
      <c r="S24" s="38">
        <v>14.109016</v>
      </c>
      <c r="T24" s="38" t="s">
        <v>916</v>
      </c>
    </row>
    <row r="25" spans="1:20" ht="30" x14ac:dyDescent="0.35">
      <c r="A25" t="str">
        <f t="shared" si="2"/>
        <v>Austria</v>
      </c>
      <c r="B25" t="str">
        <f t="shared" si="1"/>
        <v>Principal</v>
      </c>
      <c r="C25" s="39"/>
      <c r="D25" s="40"/>
      <c r="E25" s="37" t="s">
        <v>911</v>
      </c>
      <c r="F25" s="37" t="s">
        <v>912</v>
      </c>
      <c r="G25" s="35" t="s">
        <v>906</v>
      </c>
      <c r="H25" s="41" t="s">
        <v>916</v>
      </c>
      <c r="I25" s="41" t="s">
        <v>916</v>
      </c>
      <c r="J25" s="41" t="s">
        <v>916</v>
      </c>
      <c r="K25" s="41" t="s">
        <v>916</v>
      </c>
      <c r="L25" s="41" t="s">
        <v>916</v>
      </c>
      <c r="M25" s="41" t="s">
        <v>916</v>
      </c>
      <c r="N25" s="41" t="s">
        <v>916</v>
      </c>
      <c r="O25" s="41">
        <v>18.921970000000002</v>
      </c>
      <c r="P25" s="41">
        <v>5.8859430000000001</v>
      </c>
      <c r="Q25" s="41">
        <v>8.4553600000000007</v>
      </c>
      <c r="R25" s="41">
        <v>5.4743769999999996</v>
      </c>
      <c r="S25" s="41">
        <v>14.109016</v>
      </c>
      <c r="T25" s="41" t="s">
        <v>916</v>
      </c>
    </row>
    <row r="26" spans="1:20" ht="20.100000000000001" x14ac:dyDescent="0.35">
      <c r="A26" t="str">
        <f t="shared" si="2"/>
        <v>Austria</v>
      </c>
      <c r="B26" t="str">
        <f t="shared" si="1"/>
        <v>Significant</v>
      </c>
      <c r="C26" s="39"/>
      <c r="D26" s="36" t="s">
        <v>913</v>
      </c>
      <c r="E26" s="37" t="s">
        <v>909</v>
      </c>
      <c r="F26" s="37" t="s">
        <v>910</v>
      </c>
      <c r="G26" s="35" t="s">
        <v>906</v>
      </c>
      <c r="H26" s="38" t="s">
        <v>916</v>
      </c>
      <c r="I26" s="38" t="s">
        <v>916</v>
      </c>
      <c r="J26" s="38" t="s">
        <v>916</v>
      </c>
      <c r="K26" s="38" t="s">
        <v>916</v>
      </c>
      <c r="L26" s="38" t="s">
        <v>916</v>
      </c>
      <c r="M26" s="38" t="s">
        <v>916</v>
      </c>
      <c r="N26" s="38" t="s">
        <v>916</v>
      </c>
      <c r="O26" s="38">
        <v>11.689086</v>
      </c>
      <c r="P26" s="38">
        <v>10.799942</v>
      </c>
      <c r="Q26" s="38">
        <v>9.7338260000000005</v>
      </c>
      <c r="R26" s="38">
        <v>10.313302</v>
      </c>
      <c r="S26" s="38">
        <v>33.509636</v>
      </c>
      <c r="T26" s="38" t="s">
        <v>916</v>
      </c>
    </row>
    <row r="27" spans="1:20" ht="30" x14ac:dyDescent="0.35">
      <c r="A27" t="str">
        <f t="shared" si="2"/>
        <v>Austria</v>
      </c>
      <c r="B27" t="str">
        <f t="shared" si="1"/>
        <v>Significant</v>
      </c>
      <c r="C27" s="39"/>
      <c r="D27" s="40"/>
      <c r="E27" s="37" t="s">
        <v>911</v>
      </c>
      <c r="F27" s="37" t="s">
        <v>912</v>
      </c>
      <c r="G27" s="35" t="s">
        <v>906</v>
      </c>
      <c r="H27" s="41" t="s">
        <v>916</v>
      </c>
      <c r="I27" s="41" t="s">
        <v>916</v>
      </c>
      <c r="J27" s="41" t="s">
        <v>916</v>
      </c>
      <c r="K27" s="41" t="s">
        <v>916</v>
      </c>
      <c r="L27" s="41" t="s">
        <v>916</v>
      </c>
      <c r="M27" s="41" t="s">
        <v>916</v>
      </c>
      <c r="N27" s="41" t="s">
        <v>916</v>
      </c>
      <c r="O27" s="41">
        <v>11.819093000000001</v>
      </c>
      <c r="P27" s="41">
        <v>11.377864000000001</v>
      </c>
      <c r="Q27" s="41">
        <v>9.5863069999999997</v>
      </c>
      <c r="R27" s="41">
        <v>10.817562000000001</v>
      </c>
      <c r="S27" s="41">
        <v>33.509636</v>
      </c>
      <c r="T27" s="41" t="s">
        <v>916</v>
      </c>
    </row>
    <row r="28" spans="1:20" ht="20.100000000000001" customHeight="1" x14ac:dyDescent="0.35">
      <c r="A28" t="str">
        <f t="shared" si="2"/>
        <v>Austria</v>
      </c>
      <c r="B28" t="str">
        <f t="shared" si="1"/>
        <v>Screened, not targeted</v>
      </c>
      <c r="C28" s="39"/>
      <c r="D28" s="36" t="s">
        <v>914</v>
      </c>
      <c r="E28" s="37" t="s">
        <v>909</v>
      </c>
      <c r="F28" s="37" t="s">
        <v>910</v>
      </c>
      <c r="G28" s="35" t="s">
        <v>906</v>
      </c>
      <c r="H28" s="38" t="s">
        <v>916</v>
      </c>
      <c r="I28" s="38" t="s">
        <v>916</v>
      </c>
      <c r="J28" s="38" t="s">
        <v>916</v>
      </c>
      <c r="K28" s="38" t="s">
        <v>916</v>
      </c>
      <c r="L28" s="38" t="s">
        <v>916</v>
      </c>
      <c r="M28" s="38" t="s">
        <v>916</v>
      </c>
      <c r="N28" s="38" t="s">
        <v>916</v>
      </c>
      <c r="O28" s="38">
        <v>252.14508900000001</v>
      </c>
      <c r="P28" s="38">
        <v>607.74013400000001</v>
      </c>
      <c r="Q28" s="38">
        <v>475.42703699999998</v>
      </c>
      <c r="R28" s="38">
        <v>365.23792700000001</v>
      </c>
      <c r="S28" s="38">
        <v>95.370418999999998</v>
      </c>
      <c r="T28" s="38" t="s">
        <v>916</v>
      </c>
    </row>
    <row r="29" spans="1:20" ht="30" x14ac:dyDescent="0.35">
      <c r="A29" t="str">
        <f t="shared" si="2"/>
        <v>Austria</v>
      </c>
      <c r="B29" t="str">
        <f t="shared" si="1"/>
        <v>Screened, not targeted</v>
      </c>
      <c r="C29" s="39"/>
      <c r="D29" s="40"/>
      <c r="E29" s="37" t="s">
        <v>911</v>
      </c>
      <c r="F29" s="37" t="s">
        <v>912</v>
      </c>
      <c r="G29" s="35" t="s">
        <v>906</v>
      </c>
      <c r="H29" s="41" t="s">
        <v>916</v>
      </c>
      <c r="I29" s="41" t="s">
        <v>916</v>
      </c>
      <c r="J29" s="41" t="s">
        <v>916</v>
      </c>
      <c r="K29" s="41" t="s">
        <v>916</v>
      </c>
      <c r="L29" s="41" t="s">
        <v>916</v>
      </c>
      <c r="M29" s="41" t="s">
        <v>916</v>
      </c>
      <c r="N29" s="41" t="s">
        <v>916</v>
      </c>
      <c r="O29" s="41">
        <v>254.94951900000001</v>
      </c>
      <c r="P29" s="41">
        <v>640.26133900000002</v>
      </c>
      <c r="Q29" s="41">
        <v>468.221947</v>
      </c>
      <c r="R29" s="41">
        <v>383.09591599999999</v>
      </c>
      <c r="S29" s="41">
        <v>95.370418999999998</v>
      </c>
      <c r="T29" s="41" t="s">
        <v>916</v>
      </c>
    </row>
    <row r="30" spans="1:20" ht="20.100000000000001" x14ac:dyDescent="0.35">
      <c r="A30" t="str">
        <f t="shared" si="2"/>
        <v>Austria</v>
      </c>
      <c r="B30" t="str">
        <f t="shared" si="1"/>
        <v>Not screened</v>
      </c>
      <c r="C30" s="39"/>
      <c r="D30" s="36" t="s">
        <v>915</v>
      </c>
      <c r="E30" s="37" t="s">
        <v>909</v>
      </c>
      <c r="F30" s="37" t="s">
        <v>910</v>
      </c>
      <c r="G30" s="35" t="s">
        <v>906</v>
      </c>
      <c r="H30" s="38" t="s">
        <v>916</v>
      </c>
      <c r="I30" s="38" t="s">
        <v>916</v>
      </c>
      <c r="J30" s="38" t="s">
        <v>916</v>
      </c>
      <c r="K30" s="38" t="s">
        <v>916</v>
      </c>
      <c r="L30" s="38" t="s">
        <v>916</v>
      </c>
      <c r="M30" s="38" t="s">
        <v>916</v>
      </c>
      <c r="N30" s="38" t="s">
        <v>916</v>
      </c>
      <c r="O30" s="38">
        <v>254.93091100000001</v>
      </c>
      <c r="P30" s="38">
        <v>41.777394000000001</v>
      </c>
      <c r="Q30" s="38">
        <v>43.195188000000002</v>
      </c>
      <c r="R30" s="38">
        <v>325.44679400000001</v>
      </c>
      <c r="S30" s="38">
        <v>522.46667600000001</v>
      </c>
      <c r="T30" s="38" t="s">
        <v>916</v>
      </c>
    </row>
    <row r="31" spans="1:20" ht="30" x14ac:dyDescent="0.35">
      <c r="A31" t="str">
        <f t="shared" si="2"/>
        <v>Austria</v>
      </c>
      <c r="B31" t="str">
        <f t="shared" si="1"/>
        <v>Not screened</v>
      </c>
      <c r="C31" s="40"/>
      <c r="D31" s="40"/>
      <c r="E31" s="37" t="s">
        <v>911</v>
      </c>
      <c r="F31" s="37" t="s">
        <v>912</v>
      </c>
      <c r="G31" s="35" t="s">
        <v>906</v>
      </c>
      <c r="H31" s="41" t="s">
        <v>916</v>
      </c>
      <c r="I31" s="41" t="s">
        <v>916</v>
      </c>
      <c r="J31" s="41" t="s">
        <v>916</v>
      </c>
      <c r="K31" s="41" t="s">
        <v>916</v>
      </c>
      <c r="L31" s="41" t="s">
        <v>916</v>
      </c>
      <c r="M31" s="41" t="s">
        <v>916</v>
      </c>
      <c r="N31" s="41" t="s">
        <v>916</v>
      </c>
      <c r="O31" s="41">
        <v>257.766321</v>
      </c>
      <c r="P31" s="41">
        <v>44.012973000000002</v>
      </c>
      <c r="Q31" s="41">
        <v>42.540570000000002</v>
      </c>
      <c r="R31" s="41">
        <v>341.35924</v>
      </c>
      <c r="S31" s="41">
        <v>522.46667600000001</v>
      </c>
      <c r="T31" s="41" t="s">
        <v>916</v>
      </c>
    </row>
    <row r="32" spans="1:20" ht="20.100000000000001" x14ac:dyDescent="0.35">
      <c r="A32" t="str">
        <f t="shared" si="2"/>
        <v>Belgium</v>
      </c>
      <c r="B32" t="str">
        <f t="shared" si="1"/>
        <v>Principal</v>
      </c>
      <c r="C32" s="36" t="s">
        <v>60</v>
      </c>
      <c r="D32" s="36" t="s">
        <v>908</v>
      </c>
      <c r="E32" s="37" t="s">
        <v>909</v>
      </c>
      <c r="F32" s="37" t="s">
        <v>910</v>
      </c>
      <c r="G32" s="35" t="s">
        <v>906</v>
      </c>
      <c r="H32" s="38" t="s">
        <v>916</v>
      </c>
      <c r="I32" s="38" t="s">
        <v>916</v>
      </c>
      <c r="J32" s="38" t="s">
        <v>916</v>
      </c>
      <c r="K32" s="38" t="s">
        <v>916</v>
      </c>
      <c r="L32" s="38" t="s">
        <v>916</v>
      </c>
      <c r="M32" s="38" t="s">
        <v>916</v>
      </c>
      <c r="N32" s="38" t="s">
        <v>916</v>
      </c>
      <c r="O32" s="38">
        <v>12.896407999999999</v>
      </c>
      <c r="P32" s="38">
        <v>12.980898</v>
      </c>
      <c r="Q32" s="38">
        <v>16.716875000000002</v>
      </c>
      <c r="R32" s="38">
        <v>17.531027999999999</v>
      </c>
      <c r="S32" s="38">
        <v>22.12191</v>
      </c>
      <c r="T32" s="38" t="s">
        <v>916</v>
      </c>
    </row>
    <row r="33" spans="1:20" ht="30" x14ac:dyDescent="0.35">
      <c r="A33" t="str">
        <f t="shared" si="2"/>
        <v>Belgium</v>
      </c>
      <c r="B33" t="str">
        <f t="shared" si="1"/>
        <v>Principal</v>
      </c>
      <c r="C33" s="39"/>
      <c r="D33" s="40"/>
      <c r="E33" s="37" t="s">
        <v>911</v>
      </c>
      <c r="F33" s="37" t="s">
        <v>912</v>
      </c>
      <c r="G33" s="35" t="s">
        <v>906</v>
      </c>
      <c r="H33" s="41" t="s">
        <v>916</v>
      </c>
      <c r="I33" s="41" t="s">
        <v>916</v>
      </c>
      <c r="J33" s="41" t="s">
        <v>916</v>
      </c>
      <c r="K33" s="41" t="s">
        <v>916</v>
      </c>
      <c r="L33" s="41" t="s">
        <v>916</v>
      </c>
      <c r="M33" s="41" t="s">
        <v>916</v>
      </c>
      <c r="N33" s="41" t="s">
        <v>916</v>
      </c>
      <c r="O33" s="41">
        <v>13.29058</v>
      </c>
      <c r="P33" s="41">
        <v>13.786113</v>
      </c>
      <c r="Q33" s="41">
        <v>16.532342</v>
      </c>
      <c r="R33" s="41">
        <v>18.379881000000001</v>
      </c>
      <c r="S33" s="41">
        <v>22.12191</v>
      </c>
      <c r="T33" s="41" t="s">
        <v>916</v>
      </c>
    </row>
    <row r="34" spans="1:20" ht="20.100000000000001" x14ac:dyDescent="0.35">
      <c r="A34" t="str">
        <f t="shared" si="2"/>
        <v>Belgium</v>
      </c>
      <c r="B34" t="str">
        <f t="shared" si="1"/>
        <v>Significant</v>
      </c>
      <c r="C34" s="39"/>
      <c r="D34" s="36" t="s">
        <v>913</v>
      </c>
      <c r="E34" s="37" t="s">
        <v>909</v>
      </c>
      <c r="F34" s="37" t="s">
        <v>910</v>
      </c>
      <c r="G34" s="35" t="s">
        <v>906</v>
      </c>
      <c r="H34" s="38" t="s">
        <v>916</v>
      </c>
      <c r="I34" s="38" t="s">
        <v>916</v>
      </c>
      <c r="J34" s="38" t="s">
        <v>916</v>
      </c>
      <c r="K34" s="38" t="s">
        <v>916</v>
      </c>
      <c r="L34" s="38" t="s">
        <v>916</v>
      </c>
      <c r="M34" s="38" t="s">
        <v>916</v>
      </c>
      <c r="N34" s="38" t="s">
        <v>916</v>
      </c>
      <c r="O34" s="38">
        <v>148.983937</v>
      </c>
      <c r="P34" s="38">
        <v>139.26636999999999</v>
      </c>
      <c r="Q34" s="38">
        <v>153.64578499999999</v>
      </c>
      <c r="R34" s="38">
        <v>81.971250999999995</v>
      </c>
      <c r="S34" s="38">
        <v>147.37902399999999</v>
      </c>
      <c r="T34" s="38" t="s">
        <v>916</v>
      </c>
    </row>
    <row r="35" spans="1:20" ht="30" x14ac:dyDescent="0.35">
      <c r="A35" t="str">
        <f t="shared" si="2"/>
        <v>Belgium</v>
      </c>
      <c r="B35" t="str">
        <f t="shared" si="1"/>
        <v>Significant</v>
      </c>
      <c r="C35" s="39"/>
      <c r="D35" s="40"/>
      <c r="E35" s="37" t="s">
        <v>911</v>
      </c>
      <c r="F35" s="37" t="s">
        <v>912</v>
      </c>
      <c r="G35" s="35" t="s">
        <v>906</v>
      </c>
      <c r="H35" s="41" t="s">
        <v>916</v>
      </c>
      <c r="I35" s="41" t="s">
        <v>916</v>
      </c>
      <c r="J35" s="41" t="s">
        <v>916</v>
      </c>
      <c r="K35" s="41" t="s">
        <v>916</v>
      </c>
      <c r="L35" s="41" t="s">
        <v>916</v>
      </c>
      <c r="M35" s="41" t="s">
        <v>916</v>
      </c>
      <c r="N35" s="41" t="s">
        <v>916</v>
      </c>
      <c r="O35" s="41">
        <v>153.537521</v>
      </c>
      <c r="P35" s="41">
        <v>147.90519599999999</v>
      </c>
      <c r="Q35" s="41">
        <v>151.949746</v>
      </c>
      <c r="R35" s="41">
        <v>85.940298999999996</v>
      </c>
      <c r="S35" s="41">
        <v>147.37902399999999</v>
      </c>
      <c r="T35" s="41" t="s">
        <v>916</v>
      </c>
    </row>
    <row r="36" spans="1:20" ht="20.100000000000001" customHeight="1" x14ac:dyDescent="0.35">
      <c r="A36" t="str">
        <f t="shared" si="2"/>
        <v>Belgium</v>
      </c>
      <c r="B36" t="str">
        <f t="shared" si="1"/>
        <v>Screened, not targeted</v>
      </c>
      <c r="C36" s="39"/>
      <c r="D36" s="36" t="s">
        <v>914</v>
      </c>
      <c r="E36" s="37" t="s">
        <v>909</v>
      </c>
      <c r="F36" s="37" t="s">
        <v>910</v>
      </c>
      <c r="G36" s="35" t="s">
        <v>906</v>
      </c>
      <c r="H36" s="38" t="s">
        <v>916</v>
      </c>
      <c r="I36" s="38" t="s">
        <v>916</v>
      </c>
      <c r="J36" s="38" t="s">
        <v>916</v>
      </c>
      <c r="K36" s="38" t="s">
        <v>916</v>
      </c>
      <c r="L36" s="38" t="s">
        <v>916</v>
      </c>
      <c r="M36" s="38" t="s">
        <v>916</v>
      </c>
      <c r="N36" s="38" t="s">
        <v>916</v>
      </c>
      <c r="O36" s="38">
        <v>1768.8306339999999</v>
      </c>
      <c r="P36" s="38">
        <v>1919.3850500000001</v>
      </c>
      <c r="Q36" s="38">
        <v>1757.520475</v>
      </c>
      <c r="R36" s="38">
        <v>1238.329043</v>
      </c>
      <c r="S36" s="38">
        <v>1240.989562</v>
      </c>
      <c r="T36" s="38" t="s">
        <v>916</v>
      </c>
    </row>
    <row r="37" spans="1:20" ht="30" x14ac:dyDescent="0.35">
      <c r="A37" t="str">
        <f t="shared" si="2"/>
        <v>Belgium</v>
      </c>
      <c r="B37" t="str">
        <f t="shared" si="1"/>
        <v>Screened, not targeted</v>
      </c>
      <c r="C37" s="39"/>
      <c r="D37" s="40"/>
      <c r="E37" s="37" t="s">
        <v>911</v>
      </c>
      <c r="F37" s="37" t="s">
        <v>912</v>
      </c>
      <c r="G37" s="35" t="s">
        <v>906</v>
      </c>
      <c r="H37" s="41" t="s">
        <v>916</v>
      </c>
      <c r="I37" s="41" t="s">
        <v>916</v>
      </c>
      <c r="J37" s="41" t="s">
        <v>916</v>
      </c>
      <c r="K37" s="41" t="s">
        <v>916</v>
      </c>
      <c r="L37" s="41" t="s">
        <v>916</v>
      </c>
      <c r="M37" s="41" t="s">
        <v>916</v>
      </c>
      <c r="N37" s="41" t="s">
        <v>916</v>
      </c>
      <c r="O37" s="41">
        <v>1822.8935899999999</v>
      </c>
      <c r="P37" s="41">
        <v>2038.4463470000001</v>
      </c>
      <c r="Q37" s="41">
        <v>1738.119884</v>
      </c>
      <c r="R37" s="41">
        <v>1298.2890259999999</v>
      </c>
      <c r="S37" s="41">
        <v>1240.989562</v>
      </c>
      <c r="T37" s="41" t="s">
        <v>916</v>
      </c>
    </row>
    <row r="38" spans="1:20" ht="20.100000000000001" x14ac:dyDescent="0.35">
      <c r="A38" t="str">
        <f t="shared" si="2"/>
        <v>Belgium</v>
      </c>
      <c r="B38" t="str">
        <f t="shared" si="1"/>
        <v>Not screened</v>
      </c>
      <c r="C38" s="39"/>
      <c r="D38" s="36" t="s">
        <v>915</v>
      </c>
      <c r="E38" s="37" t="s">
        <v>909</v>
      </c>
      <c r="F38" s="37" t="s">
        <v>910</v>
      </c>
      <c r="G38" s="35" t="s">
        <v>906</v>
      </c>
      <c r="H38" s="38" t="s">
        <v>916</v>
      </c>
      <c r="I38" s="38" t="s">
        <v>916</v>
      </c>
      <c r="J38" s="38" t="s">
        <v>916</v>
      </c>
      <c r="K38" s="38" t="s">
        <v>916</v>
      </c>
      <c r="L38" s="38" t="s">
        <v>916</v>
      </c>
      <c r="M38" s="38" t="s">
        <v>916</v>
      </c>
      <c r="N38" s="38" t="s">
        <v>916</v>
      </c>
      <c r="O38" s="38" t="s">
        <v>916</v>
      </c>
      <c r="P38" s="38" t="s">
        <v>916</v>
      </c>
      <c r="Q38" s="38">
        <v>6.6926649999999999</v>
      </c>
      <c r="R38" s="38">
        <v>6.4240000000000005E-2</v>
      </c>
      <c r="S38" s="38">
        <v>5.6109999999999997E-3</v>
      </c>
      <c r="T38" s="38" t="s">
        <v>916</v>
      </c>
    </row>
    <row r="39" spans="1:20" ht="30" x14ac:dyDescent="0.35">
      <c r="A39" t="str">
        <f t="shared" si="2"/>
        <v>Belgium</v>
      </c>
      <c r="B39" t="str">
        <f t="shared" si="1"/>
        <v>Not screened</v>
      </c>
      <c r="C39" s="40"/>
      <c r="D39" s="40"/>
      <c r="E39" s="37" t="s">
        <v>911</v>
      </c>
      <c r="F39" s="37" t="s">
        <v>912</v>
      </c>
      <c r="G39" s="35" t="s">
        <v>906</v>
      </c>
      <c r="H39" s="41" t="s">
        <v>916</v>
      </c>
      <c r="I39" s="41" t="s">
        <v>916</v>
      </c>
      <c r="J39" s="41" t="s">
        <v>916</v>
      </c>
      <c r="K39" s="41" t="s">
        <v>916</v>
      </c>
      <c r="L39" s="41" t="s">
        <v>916</v>
      </c>
      <c r="M39" s="41" t="s">
        <v>916</v>
      </c>
      <c r="N39" s="41" t="s">
        <v>916</v>
      </c>
      <c r="O39" s="41" t="s">
        <v>916</v>
      </c>
      <c r="P39" s="41" t="s">
        <v>916</v>
      </c>
      <c r="Q39" s="41">
        <v>6.6187860000000001</v>
      </c>
      <c r="R39" s="41">
        <v>6.7350999999999994E-2</v>
      </c>
      <c r="S39" s="41">
        <v>5.6109999999999997E-3</v>
      </c>
      <c r="T39" s="41" t="s">
        <v>916</v>
      </c>
    </row>
    <row r="40" spans="1:20" ht="20.100000000000001" x14ac:dyDescent="0.35">
      <c r="A40" t="str">
        <f t="shared" si="2"/>
        <v>Canada</v>
      </c>
      <c r="B40" t="str">
        <f t="shared" si="1"/>
        <v>Principal</v>
      </c>
      <c r="C40" s="36" t="s">
        <v>74</v>
      </c>
      <c r="D40" s="36" t="s">
        <v>908</v>
      </c>
      <c r="E40" s="37" t="s">
        <v>909</v>
      </c>
      <c r="F40" s="37" t="s">
        <v>910</v>
      </c>
      <c r="G40" s="35" t="s">
        <v>906</v>
      </c>
      <c r="H40" s="38" t="s">
        <v>916</v>
      </c>
      <c r="I40" s="38" t="s">
        <v>916</v>
      </c>
      <c r="J40" s="38" t="s">
        <v>916</v>
      </c>
      <c r="K40" s="38" t="s">
        <v>916</v>
      </c>
      <c r="L40" s="38" t="s">
        <v>916</v>
      </c>
      <c r="M40" s="38" t="s">
        <v>916</v>
      </c>
      <c r="N40" s="38" t="s">
        <v>916</v>
      </c>
      <c r="O40" s="38">
        <v>14.340629</v>
      </c>
      <c r="P40" s="38">
        <v>19.088789999999999</v>
      </c>
      <c r="Q40" s="38">
        <v>5.3089279999999999</v>
      </c>
      <c r="R40" s="38">
        <v>30.249700000000001</v>
      </c>
      <c r="S40" s="38">
        <v>1.18909</v>
      </c>
      <c r="T40" s="38" t="s">
        <v>916</v>
      </c>
    </row>
    <row r="41" spans="1:20" ht="30" x14ac:dyDescent="0.35">
      <c r="A41" t="str">
        <f t="shared" si="2"/>
        <v>Canada</v>
      </c>
      <c r="B41" t="str">
        <f t="shared" si="1"/>
        <v>Principal</v>
      </c>
      <c r="C41" s="39"/>
      <c r="D41" s="40"/>
      <c r="E41" s="37" t="s">
        <v>911</v>
      </c>
      <c r="F41" s="37" t="s">
        <v>912</v>
      </c>
      <c r="G41" s="35" t="s">
        <v>906</v>
      </c>
      <c r="H41" s="41" t="s">
        <v>916</v>
      </c>
      <c r="I41" s="41" t="s">
        <v>916</v>
      </c>
      <c r="J41" s="41" t="s">
        <v>916</v>
      </c>
      <c r="K41" s="41" t="s">
        <v>916</v>
      </c>
      <c r="L41" s="41" t="s">
        <v>916</v>
      </c>
      <c r="M41" s="41" t="s">
        <v>916</v>
      </c>
      <c r="N41" s="41" t="s">
        <v>916</v>
      </c>
      <c r="O41" s="41">
        <v>17.335421</v>
      </c>
      <c r="P41" s="41">
        <v>20.295552000000001</v>
      </c>
      <c r="Q41" s="41">
        <v>5.2435669999999996</v>
      </c>
      <c r="R41" s="41">
        <v>29.741358999999999</v>
      </c>
      <c r="S41" s="41">
        <v>1.18909</v>
      </c>
      <c r="T41" s="41" t="s">
        <v>916</v>
      </c>
    </row>
    <row r="42" spans="1:20" ht="20.100000000000001" x14ac:dyDescent="0.35">
      <c r="A42" t="str">
        <f t="shared" si="2"/>
        <v>Canada</v>
      </c>
      <c r="B42" t="str">
        <f t="shared" si="1"/>
        <v>Significant</v>
      </c>
      <c r="C42" s="39"/>
      <c r="D42" s="36" t="s">
        <v>913</v>
      </c>
      <c r="E42" s="37" t="s">
        <v>909</v>
      </c>
      <c r="F42" s="37" t="s">
        <v>910</v>
      </c>
      <c r="G42" s="35" t="s">
        <v>906</v>
      </c>
      <c r="H42" s="38" t="s">
        <v>916</v>
      </c>
      <c r="I42" s="38" t="s">
        <v>916</v>
      </c>
      <c r="J42" s="38" t="s">
        <v>916</v>
      </c>
      <c r="K42" s="38" t="s">
        <v>916</v>
      </c>
      <c r="L42" s="38" t="s">
        <v>916</v>
      </c>
      <c r="M42" s="38" t="s">
        <v>916</v>
      </c>
      <c r="N42" s="38" t="s">
        <v>916</v>
      </c>
      <c r="O42" s="38">
        <v>107.540375</v>
      </c>
      <c r="P42" s="38">
        <v>30.421106999999999</v>
      </c>
      <c r="Q42" s="38">
        <v>78.098731000000001</v>
      </c>
      <c r="R42" s="38">
        <v>316.18800700000003</v>
      </c>
      <c r="S42" s="38">
        <v>54.267879999999998</v>
      </c>
      <c r="T42" s="38" t="s">
        <v>916</v>
      </c>
    </row>
    <row r="43" spans="1:20" ht="30" x14ac:dyDescent="0.35">
      <c r="A43" t="str">
        <f t="shared" si="2"/>
        <v>Canada</v>
      </c>
      <c r="B43" t="str">
        <f t="shared" si="1"/>
        <v>Significant</v>
      </c>
      <c r="C43" s="39"/>
      <c r="D43" s="40"/>
      <c r="E43" s="37" t="s">
        <v>911</v>
      </c>
      <c r="F43" s="37" t="s">
        <v>912</v>
      </c>
      <c r="G43" s="35" t="s">
        <v>906</v>
      </c>
      <c r="H43" s="41" t="s">
        <v>916</v>
      </c>
      <c r="I43" s="41" t="s">
        <v>916</v>
      </c>
      <c r="J43" s="41" t="s">
        <v>916</v>
      </c>
      <c r="K43" s="41" t="s">
        <v>916</v>
      </c>
      <c r="L43" s="41" t="s">
        <v>916</v>
      </c>
      <c r="M43" s="41" t="s">
        <v>916</v>
      </c>
      <c r="N43" s="41" t="s">
        <v>916</v>
      </c>
      <c r="O43" s="41">
        <v>129.99830600000001</v>
      </c>
      <c r="P43" s="41">
        <v>32.344290000000001</v>
      </c>
      <c r="Q43" s="41">
        <v>77.137248999999997</v>
      </c>
      <c r="R43" s="41">
        <v>310.874527</v>
      </c>
      <c r="S43" s="41">
        <v>54.267879999999998</v>
      </c>
      <c r="T43" s="41" t="s">
        <v>916</v>
      </c>
    </row>
    <row r="44" spans="1:20" ht="20.100000000000001" customHeight="1" x14ac:dyDescent="0.35">
      <c r="A44" t="str">
        <f t="shared" si="2"/>
        <v>Canada</v>
      </c>
      <c r="B44" t="str">
        <f t="shared" si="1"/>
        <v>Screened, not targeted</v>
      </c>
      <c r="C44" s="39"/>
      <c r="D44" s="36" t="s">
        <v>914</v>
      </c>
      <c r="E44" s="37" t="s">
        <v>909</v>
      </c>
      <c r="F44" s="37" t="s">
        <v>910</v>
      </c>
      <c r="G44" s="35" t="s">
        <v>906</v>
      </c>
      <c r="H44" s="38" t="s">
        <v>916</v>
      </c>
      <c r="I44" s="38" t="s">
        <v>916</v>
      </c>
      <c r="J44" s="38" t="s">
        <v>916</v>
      </c>
      <c r="K44" s="38" t="s">
        <v>916</v>
      </c>
      <c r="L44" s="38" t="s">
        <v>916</v>
      </c>
      <c r="M44" s="38" t="s">
        <v>916</v>
      </c>
      <c r="N44" s="38" t="s">
        <v>916</v>
      </c>
      <c r="O44" s="38">
        <v>3657.9598740000001</v>
      </c>
      <c r="P44" s="38">
        <v>3764.3955350000001</v>
      </c>
      <c r="Q44" s="38">
        <v>3912.3591179999999</v>
      </c>
      <c r="R44" s="38">
        <v>3162.1403190000001</v>
      </c>
      <c r="S44" s="38">
        <v>3380.6419620000001</v>
      </c>
      <c r="T44" s="38" t="s">
        <v>916</v>
      </c>
    </row>
    <row r="45" spans="1:20" ht="30" x14ac:dyDescent="0.35">
      <c r="A45" t="str">
        <f t="shared" si="2"/>
        <v>Canada</v>
      </c>
      <c r="B45" t="str">
        <f t="shared" si="1"/>
        <v>Screened, not targeted</v>
      </c>
      <c r="C45" s="39"/>
      <c r="D45" s="40"/>
      <c r="E45" s="37" t="s">
        <v>911</v>
      </c>
      <c r="F45" s="37" t="s">
        <v>912</v>
      </c>
      <c r="G45" s="35" t="s">
        <v>906</v>
      </c>
      <c r="H45" s="41" t="s">
        <v>916</v>
      </c>
      <c r="I45" s="41" t="s">
        <v>916</v>
      </c>
      <c r="J45" s="41" t="s">
        <v>916</v>
      </c>
      <c r="K45" s="41" t="s">
        <v>916</v>
      </c>
      <c r="L45" s="41" t="s">
        <v>916</v>
      </c>
      <c r="M45" s="41" t="s">
        <v>916</v>
      </c>
      <c r="N45" s="41" t="s">
        <v>916</v>
      </c>
      <c r="O45" s="41">
        <v>4421.8607810000003</v>
      </c>
      <c r="P45" s="41">
        <v>4002.3745610000001</v>
      </c>
      <c r="Q45" s="41">
        <v>3864.1938329999998</v>
      </c>
      <c r="R45" s="41">
        <v>3109.0011119999999</v>
      </c>
      <c r="S45" s="41">
        <v>3380.6419620000001</v>
      </c>
      <c r="T45" s="41" t="s">
        <v>916</v>
      </c>
    </row>
    <row r="46" spans="1:20" ht="20.100000000000001" x14ac:dyDescent="0.35">
      <c r="A46" t="str">
        <f t="shared" si="2"/>
        <v>Canada</v>
      </c>
      <c r="B46" t="str">
        <f t="shared" si="1"/>
        <v>Not screened</v>
      </c>
      <c r="C46" s="39"/>
      <c r="D46" s="36" t="s">
        <v>915</v>
      </c>
      <c r="E46" s="37" t="s">
        <v>909</v>
      </c>
      <c r="F46" s="37" t="s">
        <v>910</v>
      </c>
      <c r="G46" s="35" t="s">
        <v>906</v>
      </c>
      <c r="H46" s="38" t="s">
        <v>916</v>
      </c>
      <c r="I46" s="38" t="s">
        <v>916</v>
      </c>
      <c r="J46" s="38" t="s">
        <v>916</v>
      </c>
      <c r="K46" s="38" t="s">
        <v>916</v>
      </c>
      <c r="L46" s="38" t="s">
        <v>916</v>
      </c>
      <c r="M46" s="38" t="s">
        <v>916</v>
      </c>
      <c r="N46" s="38" t="s">
        <v>916</v>
      </c>
      <c r="O46" s="38" t="s">
        <v>916</v>
      </c>
      <c r="P46" s="38" t="s">
        <v>916</v>
      </c>
      <c r="Q46" s="38" t="s">
        <v>916</v>
      </c>
      <c r="R46" s="38">
        <v>-165.53416000000001</v>
      </c>
      <c r="S46" s="38">
        <v>-157.81080399999999</v>
      </c>
      <c r="T46" s="38" t="s">
        <v>916</v>
      </c>
    </row>
    <row r="47" spans="1:20" ht="30" x14ac:dyDescent="0.35">
      <c r="A47" t="str">
        <f t="shared" si="2"/>
        <v>Canada</v>
      </c>
      <c r="B47" t="str">
        <f t="shared" si="1"/>
        <v>Not screened</v>
      </c>
      <c r="C47" s="40"/>
      <c r="D47" s="40"/>
      <c r="E47" s="37" t="s">
        <v>911</v>
      </c>
      <c r="F47" s="37" t="s">
        <v>912</v>
      </c>
      <c r="G47" s="35" t="s">
        <v>906</v>
      </c>
      <c r="H47" s="41" t="s">
        <v>916</v>
      </c>
      <c r="I47" s="41" t="s">
        <v>916</v>
      </c>
      <c r="J47" s="41" t="s">
        <v>916</v>
      </c>
      <c r="K47" s="41" t="s">
        <v>916</v>
      </c>
      <c r="L47" s="41" t="s">
        <v>916</v>
      </c>
      <c r="M47" s="41" t="s">
        <v>916</v>
      </c>
      <c r="N47" s="41" t="s">
        <v>916</v>
      </c>
      <c r="O47" s="41" t="s">
        <v>916</v>
      </c>
      <c r="P47" s="41" t="s">
        <v>916</v>
      </c>
      <c r="Q47" s="41" t="s">
        <v>916</v>
      </c>
      <c r="R47" s="41">
        <v>-162.752388</v>
      </c>
      <c r="S47" s="41">
        <v>-157.81080399999999</v>
      </c>
      <c r="T47" s="41" t="s">
        <v>916</v>
      </c>
    </row>
    <row r="48" spans="1:20" ht="20.100000000000001" x14ac:dyDescent="0.35">
      <c r="A48" t="str">
        <f t="shared" si="2"/>
        <v>Czech Republic</v>
      </c>
      <c r="B48" t="str">
        <f t="shared" si="1"/>
        <v>Principal</v>
      </c>
      <c r="C48" s="36" t="s">
        <v>90</v>
      </c>
      <c r="D48" s="36" t="s">
        <v>908</v>
      </c>
      <c r="E48" s="37" t="s">
        <v>909</v>
      </c>
      <c r="F48" s="37" t="s">
        <v>910</v>
      </c>
      <c r="G48" s="35" t="s">
        <v>906</v>
      </c>
      <c r="H48" s="38" t="s">
        <v>916</v>
      </c>
      <c r="I48" s="38" t="s">
        <v>916</v>
      </c>
      <c r="J48" s="38" t="s">
        <v>916</v>
      </c>
      <c r="K48" s="38" t="s">
        <v>916</v>
      </c>
      <c r="L48" s="38" t="s">
        <v>916</v>
      </c>
      <c r="M48" s="38" t="s">
        <v>916</v>
      </c>
      <c r="N48" s="38" t="s">
        <v>916</v>
      </c>
      <c r="O48" s="38" t="s">
        <v>916</v>
      </c>
      <c r="P48" s="38" t="s">
        <v>916</v>
      </c>
      <c r="Q48" s="38" t="s">
        <v>916</v>
      </c>
      <c r="R48" s="38">
        <v>0.98214800000000002</v>
      </c>
      <c r="S48" s="38">
        <v>0.14379800000000001</v>
      </c>
      <c r="T48" s="38">
        <v>0.513984</v>
      </c>
    </row>
    <row r="49" spans="1:20" ht="30" x14ac:dyDescent="0.35">
      <c r="A49" t="str">
        <f t="shared" si="2"/>
        <v>Czech Republic</v>
      </c>
      <c r="B49" t="str">
        <f t="shared" si="1"/>
        <v>Principal</v>
      </c>
      <c r="C49" s="39"/>
      <c r="D49" s="40"/>
      <c r="E49" s="37" t="s">
        <v>911</v>
      </c>
      <c r="F49" s="37" t="s">
        <v>912</v>
      </c>
      <c r="G49" s="35" t="s">
        <v>906</v>
      </c>
      <c r="H49" s="41" t="s">
        <v>916</v>
      </c>
      <c r="I49" s="41" t="s">
        <v>916</v>
      </c>
      <c r="J49" s="41" t="s">
        <v>916</v>
      </c>
      <c r="K49" s="41" t="s">
        <v>916</v>
      </c>
      <c r="L49" s="41" t="s">
        <v>916</v>
      </c>
      <c r="M49" s="41" t="s">
        <v>916</v>
      </c>
      <c r="N49" s="41" t="s">
        <v>916</v>
      </c>
      <c r="O49" s="41" t="s">
        <v>916</v>
      </c>
      <c r="P49" s="41" t="s">
        <v>916</v>
      </c>
      <c r="Q49" s="41" t="s">
        <v>916</v>
      </c>
      <c r="R49" s="41">
        <v>0.99761599999999995</v>
      </c>
      <c r="S49" s="41">
        <v>0.14379800000000001</v>
      </c>
      <c r="T49" s="41">
        <v>0.53155300000000005</v>
      </c>
    </row>
    <row r="50" spans="1:20" ht="20.100000000000001" x14ac:dyDescent="0.35">
      <c r="A50" t="str">
        <f t="shared" si="2"/>
        <v>Czech Republic</v>
      </c>
      <c r="B50" t="str">
        <f t="shared" si="1"/>
        <v>Significant</v>
      </c>
      <c r="C50" s="39"/>
      <c r="D50" s="36" t="s">
        <v>913</v>
      </c>
      <c r="E50" s="37" t="s">
        <v>909</v>
      </c>
      <c r="F50" s="37" t="s">
        <v>910</v>
      </c>
      <c r="G50" s="35" t="s">
        <v>906</v>
      </c>
      <c r="H50" s="38" t="s">
        <v>916</v>
      </c>
      <c r="I50" s="38" t="s">
        <v>916</v>
      </c>
      <c r="J50" s="38" t="s">
        <v>916</v>
      </c>
      <c r="K50" s="38" t="s">
        <v>916</v>
      </c>
      <c r="L50" s="38" t="s">
        <v>916</v>
      </c>
      <c r="M50" s="38" t="s">
        <v>916</v>
      </c>
      <c r="N50" s="38" t="s">
        <v>916</v>
      </c>
      <c r="O50" s="38" t="s">
        <v>916</v>
      </c>
      <c r="P50" s="38" t="s">
        <v>916</v>
      </c>
      <c r="Q50" s="38">
        <v>0.372618</v>
      </c>
      <c r="R50" s="38">
        <v>4.2135210000000001</v>
      </c>
      <c r="S50" s="38">
        <v>3.798972</v>
      </c>
      <c r="T50" s="38">
        <v>4.0224529999999996</v>
      </c>
    </row>
    <row r="51" spans="1:20" ht="30" x14ac:dyDescent="0.35">
      <c r="A51" t="str">
        <f t="shared" si="2"/>
        <v>Czech Republic</v>
      </c>
      <c r="B51" t="str">
        <f t="shared" si="1"/>
        <v>Significant</v>
      </c>
      <c r="C51" s="39"/>
      <c r="D51" s="40"/>
      <c r="E51" s="37" t="s">
        <v>911</v>
      </c>
      <c r="F51" s="37" t="s">
        <v>912</v>
      </c>
      <c r="G51" s="35" t="s">
        <v>906</v>
      </c>
      <c r="H51" s="41" t="s">
        <v>916</v>
      </c>
      <c r="I51" s="41" t="s">
        <v>916</v>
      </c>
      <c r="J51" s="41" t="s">
        <v>916</v>
      </c>
      <c r="K51" s="41" t="s">
        <v>916</v>
      </c>
      <c r="L51" s="41" t="s">
        <v>916</v>
      </c>
      <c r="M51" s="41" t="s">
        <v>916</v>
      </c>
      <c r="N51" s="41" t="s">
        <v>916</v>
      </c>
      <c r="O51" s="41" t="s">
        <v>916</v>
      </c>
      <c r="P51" s="41" t="s">
        <v>916</v>
      </c>
      <c r="Q51" s="41">
        <v>0.34714</v>
      </c>
      <c r="R51" s="41">
        <v>4.2798769999999999</v>
      </c>
      <c r="S51" s="41">
        <v>3.798972</v>
      </c>
      <c r="T51" s="41">
        <v>4.1599490000000001</v>
      </c>
    </row>
    <row r="52" spans="1:20" ht="20.100000000000001" customHeight="1" x14ac:dyDescent="0.35">
      <c r="A52" t="str">
        <f t="shared" si="2"/>
        <v>Czech Republic</v>
      </c>
      <c r="B52" t="str">
        <f t="shared" si="1"/>
        <v>Screened, not targeted</v>
      </c>
      <c r="C52" s="39"/>
      <c r="D52" s="36" t="s">
        <v>914</v>
      </c>
      <c r="E52" s="37" t="s">
        <v>909</v>
      </c>
      <c r="F52" s="37" t="s">
        <v>910</v>
      </c>
      <c r="G52" s="35" t="s">
        <v>906</v>
      </c>
      <c r="H52" s="38" t="s">
        <v>916</v>
      </c>
      <c r="I52" s="38" t="s">
        <v>916</v>
      </c>
      <c r="J52" s="38" t="s">
        <v>916</v>
      </c>
      <c r="K52" s="38" t="s">
        <v>916</v>
      </c>
      <c r="L52" s="38" t="s">
        <v>916</v>
      </c>
      <c r="M52" s="38" t="s">
        <v>916</v>
      </c>
      <c r="N52" s="38" t="s">
        <v>916</v>
      </c>
      <c r="O52" s="38" t="s">
        <v>916</v>
      </c>
      <c r="P52" s="38" t="s">
        <v>916</v>
      </c>
      <c r="Q52" s="38">
        <v>0.444878</v>
      </c>
      <c r="R52" s="38">
        <v>15.221079</v>
      </c>
      <c r="S52" s="38">
        <v>53.034851000000003</v>
      </c>
      <c r="T52" s="38">
        <v>58.499696999999998</v>
      </c>
    </row>
    <row r="53" spans="1:20" ht="30" x14ac:dyDescent="0.35">
      <c r="A53" t="str">
        <f t="shared" si="2"/>
        <v>Czech Republic</v>
      </c>
      <c r="B53" t="str">
        <f t="shared" si="1"/>
        <v>Screened, not targeted</v>
      </c>
      <c r="C53" s="39"/>
      <c r="D53" s="40"/>
      <c r="E53" s="37" t="s">
        <v>911</v>
      </c>
      <c r="F53" s="37" t="s">
        <v>912</v>
      </c>
      <c r="G53" s="35" t="s">
        <v>906</v>
      </c>
      <c r="H53" s="41" t="s">
        <v>916</v>
      </c>
      <c r="I53" s="41" t="s">
        <v>916</v>
      </c>
      <c r="J53" s="41" t="s">
        <v>916</v>
      </c>
      <c r="K53" s="41" t="s">
        <v>916</v>
      </c>
      <c r="L53" s="41" t="s">
        <v>916</v>
      </c>
      <c r="M53" s="41" t="s">
        <v>916</v>
      </c>
      <c r="N53" s="41" t="s">
        <v>916</v>
      </c>
      <c r="O53" s="41" t="s">
        <v>916</v>
      </c>
      <c r="P53" s="41" t="s">
        <v>916</v>
      </c>
      <c r="Q53" s="41">
        <v>0.41445599999999999</v>
      </c>
      <c r="R53" s="41">
        <v>15.460782</v>
      </c>
      <c r="S53" s="41">
        <v>53.034851000000003</v>
      </c>
      <c r="T53" s="41">
        <v>60.499357000000003</v>
      </c>
    </row>
    <row r="54" spans="1:20" ht="20.100000000000001" x14ac:dyDescent="0.35">
      <c r="A54" t="str">
        <f t="shared" si="2"/>
        <v>Czech Republic</v>
      </c>
      <c r="B54" t="str">
        <f t="shared" si="1"/>
        <v>Not screened</v>
      </c>
      <c r="C54" s="39"/>
      <c r="D54" s="36" t="s">
        <v>915</v>
      </c>
      <c r="E54" s="37" t="s">
        <v>909</v>
      </c>
      <c r="F54" s="37" t="s">
        <v>910</v>
      </c>
      <c r="G54" s="35" t="s">
        <v>906</v>
      </c>
      <c r="H54" s="38" t="s">
        <v>916</v>
      </c>
      <c r="I54" s="38" t="s">
        <v>916</v>
      </c>
      <c r="J54" s="38" t="s">
        <v>916</v>
      </c>
      <c r="K54" s="38" t="s">
        <v>916</v>
      </c>
      <c r="L54" s="38" t="s">
        <v>916</v>
      </c>
      <c r="M54" s="38" t="s">
        <v>916</v>
      </c>
      <c r="N54" s="38" t="s">
        <v>916</v>
      </c>
      <c r="O54" s="38" t="s">
        <v>916</v>
      </c>
      <c r="P54" s="38" t="s">
        <v>916</v>
      </c>
      <c r="Q54" s="38">
        <v>57.357703999999998</v>
      </c>
      <c r="R54" s="38">
        <v>45.752428999999999</v>
      </c>
      <c r="S54" s="38">
        <v>0.31880500000000001</v>
      </c>
      <c r="T54" s="38">
        <v>0.15140799999999999</v>
      </c>
    </row>
    <row r="55" spans="1:20" ht="30" x14ac:dyDescent="0.35">
      <c r="A55" t="str">
        <f t="shared" si="2"/>
        <v>Czech Republic</v>
      </c>
      <c r="B55" t="str">
        <f t="shared" si="1"/>
        <v>Not screened</v>
      </c>
      <c r="C55" s="40"/>
      <c r="D55" s="40"/>
      <c r="E55" s="37" t="s">
        <v>911</v>
      </c>
      <c r="F55" s="37" t="s">
        <v>912</v>
      </c>
      <c r="G55" s="35" t="s">
        <v>906</v>
      </c>
      <c r="H55" s="41" t="s">
        <v>916</v>
      </c>
      <c r="I55" s="41" t="s">
        <v>916</v>
      </c>
      <c r="J55" s="41" t="s">
        <v>916</v>
      </c>
      <c r="K55" s="41" t="s">
        <v>916</v>
      </c>
      <c r="L55" s="41" t="s">
        <v>916</v>
      </c>
      <c r="M55" s="41" t="s">
        <v>916</v>
      </c>
      <c r="N55" s="41" t="s">
        <v>916</v>
      </c>
      <c r="O55" s="41" t="s">
        <v>916</v>
      </c>
      <c r="P55" s="41" t="s">
        <v>916</v>
      </c>
      <c r="Q55" s="41">
        <v>53.435723000000003</v>
      </c>
      <c r="R55" s="41">
        <v>46.472946999999998</v>
      </c>
      <c r="S55" s="41">
        <v>0.31880500000000001</v>
      </c>
      <c r="T55" s="41">
        <v>0.156584</v>
      </c>
    </row>
    <row r="56" spans="1:20" ht="20.100000000000001" x14ac:dyDescent="0.35">
      <c r="A56" t="str">
        <f t="shared" si="2"/>
        <v>Denmark</v>
      </c>
      <c r="B56" t="str">
        <f t="shared" si="1"/>
        <v>Principal</v>
      </c>
      <c r="C56" s="36" t="s">
        <v>91</v>
      </c>
      <c r="D56" s="36" t="s">
        <v>908</v>
      </c>
      <c r="E56" s="37" t="s">
        <v>909</v>
      </c>
      <c r="F56" s="37" t="s">
        <v>910</v>
      </c>
      <c r="G56" s="35" t="s">
        <v>906</v>
      </c>
      <c r="H56" s="38" t="s">
        <v>916</v>
      </c>
      <c r="I56" s="38" t="s">
        <v>916</v>
      </c>
      <c r="J56" s="38" t="s">
        <v>916</v>
      </c>
      <c r="K56" s="38" t="s">
        <v>916</v>
      </c>
      <c r="L56" s="38" t="s">
        <v>916</v>
      </c>
      <c r="M56" s="38" t="s">
        <v>916</v>
      </c>
      <c r="N56" s="38" t="s">
        <v>916</v>
      </c>
      <c r="O56" s="38">
        <v>1.2260359999999999</v>
      </c>
      <c r="P56" s="38">
        <v>2.709743</v>
      </c>
      <c r="Q56" s="38">
        <v>0.83948900000000004</v>
      </c>
      <c r="R56" s="38" t="s">
        <v>916</v>
      </c>
      <c r="S56" s="38">
        <v>0.19583800000000001</v>
      </c>
      <c r="T56" s="38">
        <v>1.779771</v>
      </c>
    </row>
    <row r="57" spans="1:20" ht="30" x14ac:dyDescent="0.35">
      <c r="A57" t="str">
        <f t="shared" si="2"/>
        <v>Denmark</v>
      </c>
      <c r="B57" t="str">
        <f t="shared" si="1"/>
        <v>Principal</v>
      </c>
      <c r="C57" s="39"/>
      <c r="D57" s="40"/>
      <c r="E57" s="37" t="s">
        <v>911</v>
      </c>
      <c r="F57" s="37" t="s">
        <v>912</v>
      </c>
      <c r="G57" s="35" t="s">
        <v>906</v>
      </c>
      <c r="H57" s="41" t="s">
        <v>916</v>
      </c>
      <c r="I57" s="41" t="s">
        <v>916</v>
      </c>
      <c r="J57" s="41" t="s">
        <v>916</v>
      </c>
      <c r="K57" s="41" t="s">
        <v>916</v>
      </c>
      <c r="L57" s="41" t="s">
        <v>916</v>
      </c>
      <c r="M57" s="41" t="s">
        <v>916</v>
      </c>
      <c r="N57" s="41" t="s">
        <v>916</v>
      </c>
      <c r="O57" s="41">
        <v>1.262157</v>
      </c>
      <c r="P57" s="41">
        <v>2.8422879999999999</v>
      </c>
      <c r="Q57" s="41">
        <v>0.83460100000000004</v>
      </c>
      <c r="R57" s="41" t="s">
        <v>916</v>
      </c>
      <c r="S57" s="41">
        <v>0.19583800000000001</v>
      </c>
      <c r="T57" s="41">
        <v>1.7668539999999999</v>
      </c>
    </row>
    <row r="58" spans="1:20" ht="20.100000000000001" x14ac:dyDescent="0.35">
      <c r="A58" t="str">
        <f t="shared" si="2"/>
        <v>Denmark</v>
      </c>
      <c r="B58" t="str">
        <f t="shared" si="1"/>
        <v>Significant</v>
      </c>
      <c r="C58" s="39"/>
      <c r="D58" s="36" t="s">
        <v>913</v>
      </c>
      <c r="E58" s="37" t="s">
        <v>909</v>
      </c>
      <c r="F58" s="37" t="s">
        <v>910</v>
      </c>
      <c r="G58" s="35" t="s">
        <v>906</v>
      </c>
      <c r="H58" s="38" t="s">
        <v>916</v>
      </c>
      <c r="I58" s="38" t="s">
        <v>916</v>
      </c>
      <c r="J58" s="38" t="s">
        <v>916</v>
      </c>
      <c r="K58" s="38" t="s">
        <v>916</v>
      </c>
      <c r="L58" s="38" t="s">
        <v>916</v>
      </c>
      <c r="M58" s="38" t="s">
        <v>916</v>
      </c>
      <c r="N58" s="38" t="s">
        <v>916</v>
      </c>
      <c r="O58" s="38">
        <v>119.380155</v>
      </c>
      <c r="P58" s="38">
        <v>250.06545299999999</v>
      </c>
      <c r="Q58" s="38">
        <v>162.62835000000001</v>
      </c>
      <c r="R58" s="38">
        <v>120.67168599999999</v>
      </c>
      <c r="S58" s="38">
        <v>249.2938</v>
      </c>
      <c r="T58" s="38">
        <v>369.96404899999999</v>
      </c>
    </row>
    <row r="59" spans="1:20" ht="30" x14ac:dyDescent="0.35">
      <c r="A59" t="str">
        <f t="shared" si="2"/>
        <v>Denmark</v>
      </c>
      <c r="B59" t="str">
        <f t="shared" si="1"/>
        <v>Significant</v>
      </c>
      <c r="C59" s="39"/>
      <c r="D59" s="40"/>
      <c r="E59" s="37" t="s">
        <v>911</v>
      </c>
      <c r="F59" s="37" t="s">
        <v>912</v>
      </c>
      <c r="G59" s="35" t="s">
        <v>906</v>
      </c>
      <c r="H59" s="41" t="s">
        <v>916</v>
      </c>
      <c r="I59" s="41" t="s">
        <v>916</v>
      </c>
      <c r="J59" s="41" t="s">
        <v>916</v>
      </c>
      <c r="K59" s="41" t="s">
        <v>916</v>
      </c>
      <c r="L59" s="41" t="s">
        <v>916</v>
      </c>
      <c r="M59" s="41" t="s">
        <v>916</v>
      </c>
      <c r="N59" s="41" t="s">
        <v>916</v>
      </c>
      <c r="O59" s="41">
        <v>122.89735400000001</v>
      </c>
      <c r="P59" s="41">
        <v>262.297214</v>
      </c>
      <c r="Q59" s="41">
        <v>161.6814</v>
      </c>
      <c r="R59" s="41">
        <v>126.439385</v>
      </c>
      <c r="S59" s="41">
        <v>249.2938</v>
      </c>
      <c r="T59" s="41">
        <v>367.278953</v>
      </c>
    </row>
    <row r="60" spans="1:20" ht="20.100000000000001" customHeight="1" x14ac:dyDescent="0.35">
      <c r="A60" t="str">
        <f t="shared" si="2"/>
        <v>Denmark</v>
      </c>
      <c r="B60" t="str">
        <f t="shared" si="1"/>
        <v>Screened, not targeted</v>
      </c>
      <c r="C60" s="39"/>
      <c r="D60" s="36" t="s">
        <v>914</v>
      </c>
      <c r="E60" s="37" t="s">
        <v>909</v>
      </c>
      <c r="F60" s="37" t="s">
        <v>910</v>
      </c>
      <c r="G60" s="35" t="s">
        <v>906</v>
      </c>
      <c r="H60" s="38" t="s">
        <v>916</v>
      </c>
      <c r="I60" s="38" t="s">
        <v>916</v>
      </c>
      <c r="J60" s="38" t="s">
        <v>916</v>
      </c>
      <c r="K60" s="38" t="s">
        <v>916</v>
      </c>
      <c r="L60" s="38" t="s">
        <v>916</v>
      </c>
      <c r="M60" s="38" t="s">
        <v>916</v>
      </c>
      <c r="N60" s="38" t="s">
        <v>916</v>
      </c>
      <c r="O60" s="38">
        <v>1498.2470659999999</v>
      </c>
      <c r="P60" s="38">
        <v>1268.529223</v>
      </c>
      <c r="Q60" s="38">
        <v>1340.3880300000001</v>
      </c>
      <c r="R60" s="38">
        <v>1148.5068859999999</v>
      </c>
      <c r="S60" s="38">
        <v>1106.3757270000001</v>
      </c>
      <c r="T60" s="38">
        <v>1568.9864190000001</v>
      </c>
    </row>
    <row r="61" spans="1:20" ht="30" x14ac:dyDescent="0.35">
      <c r="A61" t="str">
        <f t="shared" si="2"/>
        <v>Denmark</v>
      </c>
      <c r="B61" t="str">
        <f t="shared" si="1"/>
        <v>Screened, not targeted</v>
      </c>
      <c r="C61" s="39"/>
      <c r="D61" s="40"/>
      <c r="E61" s="37" t="s">
        <v>911</v>
      </c>
      <c r="F61" s="37" t="s">
        <v>912</v>
      </c>
      <c r="G61" s="35" t="s">
        <v>906</v>
      </c>
      <c r="H61" s="41" t="s">
        <v>916</v>
      </c>
      <c r="I61" s="41" t="s">
        <v>916</v>
      </c>
      <c r="J61" s="41" t="s">
        <v>916</v>
      </c>
      <c r="K61" s="41" t="s">
        <v>916</v>
      </c>
      <c r="L61" s="41" t="s">
        <v>916</v>
      </c>
      <c r="M61" s="41" t="s">
        <v>916</v>
      </c>
      <c r="N61" s="41" t="s">
        <v>916</v>
      </c>
      <c r="O61" s="41">
        <v>1542.3886669999999</v>
      </c>
      <c r="P61" s="41">
        <v>1330.57836</v>
      </c>
      <c r="Q61" s="41">
        <v>1332.583251</v>
      </c>
      <c r="R61" s="41">
        <v>1203.4016160000001</v>
      </c>
      <c r="S61" s="41">
        <v>1106.3757270000001</v>
      </c>
      <c r="T61" s="41">
        <v>1557.599152</v>
      </c>
    </row>
    <row r="62" spans="1:20" ht="20.100000000000001" x14ac:dyDescent="0.35">
      <c r="A62" t="str">
        <f t="shared" si="2"/>
        <v>Denmark</v>
      </c>
      <c r="B62" t="str">
        <f t="shared" si="1"/>
        <v>Not screened</v>
      </c>
      <c r="C62" s="39"/>
      <c r="D62" s="36" t="s">
        <v>915</v>
      </c>
      <c r="E62" s="37" t="s">
        <v>909</v>
      </c>
      <c r="F62" s="37" t="s">
        <v>910</v>
      </c>
      <c r="G62" s="35" t="s">
        <v>906</v>
      </c>
      <c r="H62" s="38" t="s">
        <v>916</v>
      </c>
      <c r="I62" s="38" t="s">
        <v>916</v>
      </c>
      <c r="J62" s="38" t="s">
        <v>916</v>
      </c>
      <c r="K62" s="38" t="s">
        <v>916</v>
      </c>
      <c r="L62" s="38" t="s">
        <v>916</v>
      </c>
      <c r="M62" s="38" t="s">
        <v>916</v>
      </c>
      <c r="N62" s="38" t="s">
        <v>916</v>
      </c>
      <c r="O62" s="38">
        <v>322.08248099999997</v>
      </c>
      <c r="P62" s="38">
        <v>142.81968699999999</v>
      </c>
      <c r="Q62" s="38">
        <v>617.28453200000001</v>
      </c>
      <c r="R62" s="38">
        <v>659.39290700000004</v>
      </c>
      <c r="S62" s="38">
        <v>674.08247600000004</v>
      </c>
      <c r="T62" s="38">
        <v>129.43509900000001</v>
      </c>
    </row>
    <row r="63" spans="1:20" ht="30" x14ac:dyDescent="0.35">
      <c r="A63" t="str">
        <f t="shared" si="2"/>
        <v>Denmark</v>
      </c>
      <c r="B63" t="str">
        <f t="shared" si="1"/>
        <v>Not screened</v>
      </c>
      <c r="C63" s="40"/>
      <c r="D63" s="40"/>
      <c r="E63" s="37" t="s">
        <v>911</v>
      </c>
      <c r="F63" s="37" t="s">
        <v>912</v>
      </c>
      <c r="G63" s="35" t="s">
        <v>906</v>
      </c>
      <c r="H63" s="41" t="s">
        <v>916</v>
      </c>
      <c r="I63" s="41" t="s">
        <v>916</v>
      </c>
      <c r="J63" s="41" t="s">
        <v>916</v>
      </c>
      <c r="K63" s="41" t="s">
        <v>916</v>
      </c>
      <c r="L63" s="41" t="s">
        <v>916</v>
      </c>
      <c r="M63" s="41" t="s">
        <v>916</v>
      </c>
      <c r="N63" s="41" t="s">
        <v>916</v>
      </c>
      <c r="O63" s="41">
        <v>331.57173</v>
      </c>
      <c r="P63" s="41">
        <v>149.80559099999999</v>
      </c>
      <c r="Q63" s="41">
        <v>613.69022199999995</v>
      </c>
      <c r="R63" s="41">
        <v>690.90964899999994</v>
      </c>
      <c r="S63" s="41">
        <v>674.08247600000004</v>
      </c>
      <c r="T63" s="41">
        <v>128.49569700000001</v>
      </c>
    </row>
    <row r="64" spans="1:20" ht="20.100000000000001" x14ac:dyDescent="0.35">
      <c r="A64" t="str">
        <f t="shared" si="2"/>
        <v>Finland</v>
      </c>
      <c r="B64" t="str">
        <f t="shared" si="1"/>
        <v>Principal</v>
      </c>
      <c r="C64" s="36" t="s">
        <v>104</v>
      </c>
      <c r="D64" s="36" t="s">
        <v>908</v>
      </c>
      <c r="E64" s="37" t="s">
        <v>909</v>
      </c>
      <c r="F64" s="37" t="s">
        <v>910</v>
      </c>
      <c r="G64" s="35" t="s">
        <v>906</v>
      </c>
      <c r="H64" s="38" t="s">
        <v>916</v>
      </c>
      <c r="I64" s="38" t="s">
        <v>916</v>
      </c>
      <c r="J64" s="38" t="s">
        <v>916</v>
      </c>
      <c r="K64" s="38" t="s">
        <v>916</v>
      </c>
      <c r="L64" s="38" t="s">
        <v>916</v>
      </c>
      <c r="M64" s="38" t="s">
        <v>916</v>
      </c>
      <c r="N64" s="38" t="s">
        <v>916</v>
      </c>
      <c r="O64" s="38">
        <v>2.9289170000000002</v>
      </c>
      <c r="P64" s="38">
        <v>14.117141</v>
      </c>
      <c r="Q64" s="38">
        <v>9.4703850000000003</v>
      </c>
      <c r="R64" s="38">
        <v>1.4613860000000001</v>
      </c>
      <c r="S64" s="38">
        <v>8.6716840000000008</v>
      </c>
      <c r="T64" s="38">
        <v>0.98333999999999999</v>
      </c>
    </row>
    <row r="65" spans="1:20" ht="30" x14ac:dyDescent="0.35">
      <c r="A65" t="str">
        <f t="shared" si="2"/>
        <v>Finland</v>
      </c>
      <c r="B65" t="str">
        <f t="shared" si="1"/>
        <v>Principal</v>
      </c>
      <c r="C65" s="39"/>
      <c r="D65" s="40"/>
      <c r="E65" s="37" t="s">
        <v>911</v>
      </c>
      <c r="F65" s="37" t="s">
        <v>912</v>
      </c>
      <c r="G65" s="35" t="s">
        <v>906</v>
      </c>
      <c r="H65" s="41" t="s">
        <v>916</v>
      </c>
      <c r="I65" s="41" t="s">
        <v>916</v>
      </c>
      <c r="J65" s="41" t="s">
        <v>916</v>
      </c>
      <c r="K65" s="41" t="s">
        <v>916</v>
      </c>
      <c r="L65" s="41" t="s">
        <v>916</v>
      </c>
      <c r="M65" s="41" t="s">
        <v>916</v>
      </c>
      <c r="N65" s="41" t="s">
        <v>916</v>
      </c>
      <c r="O65" s="41">
        <v>3.0192920000000001</v>
      </c>
      <c r="P65" s="41">
        <v>15.254645999999999</v>
      </c>
      <c r="Q65" s="41">
        <v>9.5011980000000005</v>
      </c>
      <c r="R65" s="41">
        <v>1.5453429999999999</v>
      </c>
      <c r="S65" s="41">
        <v>8.6716840000000008</v>
      </c>
      <c r="T65" s="41">
        <v>0.97137600000000002</v>
      </c>
    </row>
    <row r="66" spans="1:20" ht="20.100000000000001" x14ac:dyDescent="0.35">
      <c r="A66" t="str">
        <f t="shared" si="2"/>
        <v>Finland</v>
      </c>
      <c r="B66" t="str">
        <f t="shared" si="1"/>
        <v>Significant</v>
      </c>
      <c r="C66" s="39"/>
      <c r="D66" s="36" t="s">
        <v>913</v>
      </c>
      <c r="E66" s="37" t="s">
        <v>909</v>
      </c>
      <c r="F66" s="37" t="s">
        <v>910</v>
      </c>
      <c r="G66" s="35" t="s">
        <v>906</v>
      </c>
      <c r="H66" s="38" t="s">
        <v>916</v>
      </c>
      <c r="I66" s="38" t="s">
        <v>916</v>
      </c>
      <c r="J66" s="38" t="s">
        <v>916</v>
      </c>
      <c r="K66" s="38" t="s">
        <v>916</v>
      </c>
      <c r="L66" s="38" t="s">
        <v>916</v>
      </c>
      <c r="M66" s="38" t="s">
        <v>916</v>
      </c>
      <c r="N66" s="38" t="s">
        <v>916</v>
      </c>
      <c r="O66" s="38">
        <v>114.097886</v>
      </c>
      <c r="P66" s="38">
        <v>104.834311</v>
      </c>
      <c r="Q66" s="38">
        <v>184.31098600000001</v>
      </c>
      <c r="R66" s="38">
        <v>41.855998999999997</v>
      </c>
      <c r="S66" s="38">
        <v>10.949279000000001</v>
      </c>
      <c r="T66" s="38">
        <v>13.385966</v>
      </c>
    </row>
    <row r="67" spans="1:20" ht="30" x14ac:dyDescent="0.35">
      <c r="A67" t="str">
        <f t="shared" si="2"/>
        <v>Finland</v>
      </c>
      <c r="B67" t="str">
        <f t="shared" si="1"/>
        <v>Significant</v>
      </c>
      <c r="C67" s="39"/>
      <c r="D67" s="40"/>
      <c r="E67" s="37" t="s">
        <v>911</v>
      </c>
      <c r="F67" s="37" t="s">
        <v>912</v>
      </c>
      <c r="G67" s="35" t="s">
        <v>906</v>
      </c>
      <c r="H67" s="41" t="s">
        <v>916</v>
      </c>
      <c r="I67" s="41" t="s">
        <v>916</v>
      </c>
      <c r="J67" s="41" t="s">
        <v>916</v>
      </c>
      <c r="K67" s="41" t="s">
        <v>916</v>
      </c>
      <c r="L67" s="41" t="s">
        <v>916</v>
      </c>
      <c r="M67" s="41" t="s">
        <v>916</v>
      </c>
      <c r="N67" s="41" t="s">
        <v>916</v>
      </c>
      <c r="O67" s="41">
        <v>117.618551</v>
      </c>
      <c r="P67" s="41">
        <v>113.281462</v>
      </c>
      <c r="Q67" s="41">
        <v>184.910676</v>
      </c>
      <c r="R67" s="41">
        <v>44.260612000000002</v>
      </c>
      <c r="S67" s="41">
        <v>10.949279000000001</v>
      </c>
      <c r="T67" s="41">
        <v>13.223125</v>
      </c>
    </row>
    <row r="68" spans="1:20" ht="20.100000000000001" customHeight="1" x14ac:dyDescent="0.35">
      <c r="A68" t="str">
        <f t="shared" si="2"/>
        <v>Finland</v>
      </c>
      <c r="B68" t="str">
        <f t="shared" si="1"/>
        <v>Screened, not targeted</v>
      </c>
      <c r="C68" s="39"/>
      <c r="D68" s="36" t="s">
        <v>914</v>
      </c>
      <c r="E68" s="37" t="s">
        <v>909</v>
      </c>
      <c r="F68" s="37" t="s">
        <v>910</v>
      </c>
      <c r="G68" s="35" t="s">
        <v>906</v>
      </c>
      <c r="H68" s="38" t="s">
        <v>916</v>
      </c>
      <c r="I68" s="38" t="s">
        <v>916</v>
      </c>
      <c r="J68" s="38" t="s">
        <v>916</v>
      </c>
      <c r="K68" s="38" t="s">
        <v>916</v>
      </c>
      <c r="L68" s="38" t="s">
        <v>916</v>
      </c>
      <c r="M68" s="38" t="s">
        <v>916</v>
      </c>
      <c r="N68" s="38" t="s">
        <v>916</v>
      </c>
      <c r="O68" s="38">
        <v>1150.375037</v>
      </c>
      <c r="P68" s="38">
        <v>959.00220899999999</v>
      </c>
      <c r="Q68" s="38">
        <v>988.08736299999998</v>
      </c>
      <c r="R68" s="38">
        <v>772.25374799999997</v>
      </c>
      <c r="S68" s="38">
        <v>846.31274800000006</v>
      </c>
      <c r="T68" s="38">
        <v>798.46434199999999</v>
      </c>
    </row>
    <row r="69" spans="1:20" ht="30" x14ac:dyDescent="0.35">
      <c r="A69" t="str">
        <f t="shared" si="2"/>
        <v>Finland</v>
      </c>
      <c r="B69" t="str">
        <f t="shared" si="1"/>
        <v>Screened, not targeted</v>
      </c>
      <c r="C69" s="39"/>
      <c r="D69" s="40"/>
      <c r="E69" s="37" t="s">
        <v>911</v>
      </c>
      <c r="F69" s="37" t="s">
        <v>912</v>
      </c>
      <c r="G69" s="35" t="s">
        <v>906</v>
      </c>
      <c r="H69" s="41" t="s">
        <v>916</v>
      </c>
      <c r="I69" s="41" t="s">
        <v>916</v>
      </c>
      <c r="J69" s="41" t="s">
        <v>916</v>
      </c>
      <c r="K69" s="41" t="s">
        <v>916</v>
      </c>
      <c r="L69" s="41" t="s">
        <v>916</v>
      </c>
      <c r="M69" s="41" t="s">
        <v>916</v>
      </c>
      <c r="N69" s="41" t="s">
        <v>916</v>
      </c>
      <c r="O69" s="41">
        <v>1185.871605</v>
      </c>
      <c r="P69" s="41">
        <v>1036.274983</v>
      </c>
      <c r="Q69" s="41">
        <v>991.30229199999997</v>
      </c>
      <c r="R69" s="41">
        <v>816.61941899999999</v>
      </c>
      <c r="S69" s="41">
        <v>846.31274800000006</v>
      </c>
      <c r="T69" s="41">
        <v>788.75087099999996</v>
      </c>
    </row>
    <row r="70" spans="1:20" ht="20.100000000000001" x14ac:dyDescent="0.35">
      <c r="A70" t="str">
        <f t="shared" si="2"/>
        <v>Finland</v>
      </c>
      <c r="B70" t="str">
        <f t="shared" si="1"/>
        <v>Not screened</v>
      </c>
      <c r="C70" s="39"/>
      <c r="D70" s="36" t="s">
        <v>915</v>
      </c>
      <c r="E70" s="37" t="s">
        <v>909</v>
      </c>
      <c r="F70" s="37" t="s">
        <v>910</v>
      </c>
      <c r="G70" s="35" t="s">
        <v>906</v>
      </c>
      <c r="H70" s="38" t="s">
        <v>916</v>
      </c>
      <c r="I70" s="38" t="s">
        <v>916</v>
      </c>
      <c r="J70" s="38" t="s">
        <v>916</v>
      </c>
      <c r="K70" s="38" t="s">
        <v>916</v>
      </c>
      <c r="L70" s="38" t="s">
        <v>916</v>
      </c>
      <c r="M70" s="38" t="s">
        <v>916</v>
      </c>
      <c r="N70" s="38" t="s">
        <v>916</v>
      </c>
      <c r="O70" s="38" t="s">
        <v>916</v>
      </c>
      <c r="P70" s="38" t="s">
        <v>916</v>
      </c>
      <c r="Q70" s="38" t="s">
        <v>916</v>
      </c>
      <c r="R70" s="38">
        <v>1.2465029999999999</v>
      </c>
      <c r="S70" s="38" t="s">
        <v>916</v>
      </c>
      <c r="T70" s="38">
        <v>0.90071900000000005</v>
      </c>
    </row>
    <row r="71" spans="1:20" ht="30" x14ac:dyDescent="0.35">
      <c r="A71" t="str">
        <f t="shared" si="2"/>
        <v>Finland</v>
      </c>
      <c r="B71" t="str">
        <f t="shared" si="1"/>
        <v>Not screened</v>
      </c>
      <c r="C71" s="40"/>
      <c r="D71" s="40"/>
      <c r="E71" s="37" t="s">
        <v>911</v>
      </c>
      <c r="F71" s="37" t="s">
        <v>912</v>
      </c>
      <c r="G71" s="35" t="s">
        <v>906</v>
      </c>
      <c r="H71" s="41" t="s">
        <v>916</v>
      </c>
      <c r="I71" s="41" t="s">
        <v>916</v>
      </c>
      <c r="J71" s="41" t="s">
        <v>916</v>
      </c>
      <c r="K71" s="41" t="s">
        <v>916</v>
      </c>
      <c r="L71" s="41" t="s">
        <v>916</v>
      </c>
      <c r="M71" s="41" t="s">
        <v>916</v>
      </c>
      <c r="N71" s="41" t="s">
        <v>916</v>
      </c>
      <c r="O71" s="41" t="s">
        <v>916</v>
      </c>
      <c r="P71" s="41" t="s">
        <v>916</v>
      </c>
      <c r="Q71" s="41" t="s">
        <v>916</v>
      </c>
      <c r="R71" s="41">
        <v>1.3181149999999999</v>
      </c>
      <c r="S71" s="41" t="s">
        <v>916</v>
      </c>
      <c r="T71" s="41">
        <v>0.88976200000000005</v>
      </c>
    </row>
    <row r="72" spans="1:20" ht="20.100000000000001" x14ac:dyDescent="0.35">
      <c r="A72" t="str">
        <f t="shared" si="2"/>
        <v>France</v>
      </c>
      <c r="B72" t="str">
        <f t="shared" si="1"/>
        <v>Principal</v>
      </c>
      <c r="C72" s="36" t="s">
        <v>105</v>
      </c>
      <c r="D72" s="36" t="s">
        <v>908</v>
      </c>
      <c r="E72" s="37" t="s">
        <v>909</v>
      </c>
      <c r="F72" s="37" t="s">
        <v>910</v>
      </c>
      <c r="G72" s="35" t="s">
        <v>906</v>
      </c>
      <c r="H72" s="38" t="s">
        <v>916</v>
      </c>
      <c r="I72" s="38" t="s">
        <v>916</v>
      </c>
      <c r="J72" s="38" t="s">
        <v>916</v>
      </c>
      <c r="K72" s="38" t="s">
        <v>916</v>
      </c>
      <c r="L72" s="38" t="s">
        <v>916</v>
      </c>
      <c r="M72" s="38" t="s">
        <v>916</v>
      </c>
      <c r="N72" s="38" t="s">
        <v>916</v>
      </c>
      <c r="O72" s="38">
        <v>44.099958999999998</v>
      </c>
      <c r="P72" s="38">
        <v>29.365898000000001</v>
      </c>
      <c r="Q72" s="38">
        <v>60.309612000000001</v>
      </c>
      <c r="R72" s="38">
        <v>124.480289</v>
      </c>
      <c r="S72" s="38">
        <v>100.70652800000001</v>
      </c>
      <c r="T72" s="38" t="s">
        <v>916</v>
      </c>
    </row>
    <row r="73" spans="1:20" ht="30" x14ac:dyDescent="0.35">
      <c r="A73" t="str">
        <f t="shared" si="2"/>
        <v>France</v>
      </c>
      <c r="B73" t="str">
        <f t="shared" si="1"/>
        <v>Principal</v>
      </c>
      <c r="C73" s="39"/>
      <c r="D73" s="40"/>
      <c r="E73" s="37" t="s">
        <v>911</v>
      </c>
      <c r="F73" s="37" t="s">
        <v>912</v>
      </c>
      <c r="G73" s="35" t="s">
        <v>906</v>
      </c>
      <c r="H73" s="41" t="s">
        <v>916</v>
      </c>
      <c r="I73" s="41" t="s">
        <v>916</v>
      </c>
      <c r="J73" s="41" t="s">
        <v>916</v>
      </c>
      <c r="K73" s="41" t="s">
        <v>916</v>
      </c>
      <c r="L73" s="41" t="s">
        <v>916</v>
      </c>
      <c r="M73" s="41" t="s">
        <v>916</v>
      </c>
      <c r="N73" s="41" t="s">
        <v>916</v>
      </c>
      <c r="O73" s="41">
        <v>43.787863000000002</v>
      </c>
      <c r="P73" s="41">
        <v>30.319154000000001</v>
      </c>
      <c r="Q73" s="41">
        <v>58.785736</v>
      </c>
      <c r="R73" s="41">
        <v>129.58543900000001</v>
      </c>
      <c r="S73" s="41">
        <v>100.70652800000001</v>
      </c>
      <c r="T73" s="41" t="s">
        <v>916</v>
      </c>
    </row>
    <row r="74" spans="1:20" ht="20.100000000000001" x14ac:dyDescent="0.35">
      <c r="A74" t="str">
        <f t="shared" si="2"/>
        <v>France</v>
      </c>
      <c r="B74" t="str">
        <f t="shared" ref="B74:B137" si="3">IF(D74="",D73,D74)</f>
        <v>Significant</v>
      </c>
      <c r="C74" s="39"/>
      <c r="D74" s="36" t="s">
        <v>913</v>
      </c>
      <c r="E74" s="37" t="s">
        <v>909</v>
      </c>
      <c r="F74" s="37" t="s">
        <v>910</v>
      </c>
      <c r="G74" s="35" t="s">
        <v>906</v>
      </c>
      <c r="H74" s="38" t="s">
        <v>916</v>
      </c>
      <c r="I74" s="38" t="s">
        <v>916</v>
      </c>
      <c r="J74" s="38" t="s">
        <v>916</v>
      </c>
      <c r="K74" s="38" t="s">
        <v>916</v>
      </c>
      <c r="L74" s="38" t="s">
        <v>916</v>
      </c>
      <c r="M74" s="38" t="s">
        <v>916</v>
      </c>
      <c r="N74" s="38" t="s">
        <v>916</v>
      </c>
      <c r="O74" s="38">
        <v>201.61282399999999</v>
      </c>
      <c r="P74" s="38">
        <v>420.240161</v>
      </c>
      <c r="Q74" s="38">
        <v>268.09059000000002</v>
      </c>
      <c r="R74" s="38">
        <v>319.46903300000002</v>
      </c>
      <c r="S74" s="38">
        <v>229.427245</v>
      </c>
      <c r="T74" s="38" t="s">
        <v>916</v>
      </c>
    </row>
    <row r="75" spans="1:20" ht="30" x14ac:dyDescent="0.35">
      <c r="A75" t="str">
        <f t="shared" si="2"/>
        <v>France</v>
      </c>
      <c r="B75" t="str">
        <f t="shared" si="3"/>
        <v>Significant</v>
      </c>
      <c r="C75" s="39"/>
      <c r="D75" s="40"/>
      <c r="E75" s="37" t="s">
        <v>911</v>
      </c>
      <c r="F75" s="37" t="s">
        <v>912</v>
      </c>
      <c r="G75" s="35" t="s">
        <v>906</v>
      </c>
      <c r="H75" s="41" t="s">
        <v>916</v>
      </c>
      <c r="I75" s="41" t="s">
        <v>916</v>
      </c>
      <c r="J75" s="41" t="s">
        <v>916</v>
      </c>
      <c r="K75" s="41" t="s">
        <v>916</v>
      </c>
      <c r="L75" s="41" t="s">
        <v>916</v>
      </c>
      <c r="M75" s="41" t="s">
        <v>916</v>
      </c>
      <c r="N75" s="41" t="s">
        <v>916</v>
      </c>
      <c r="O75" s="41">
        <v>200.18599900000001</v>
      </c>
      <c r="P75" s="41">
        <v>433.88178499999998</v>
      </c>
      <c r="Q75" s="41">
        <v>261.316598</v>
      </c>
      <c r="R75" s="41">
        <v>332.57099599999998</v>
      </c>
      <c r="S75" s="41">
        <v>229.427245</v>
      </c>
      <c r="T75" s="41" t="s">
        <v>916</v>
      </c>
    </row>
    <row r="76" spans="1:20" ht="20.100000000000001" customHeight="1" x14ac:dyDescent="0.35">
      <c r="A76" t="str">
        <f t="shared" si="2"/>
        <v>France</v>
      </c>
      <c r="B76" t="str">
        <f t="shared" si="3"/>
        <v>Screened, not targeted</v>
      </c>
      <c r="C76" s="39"/>
      <c r="D76" s="36" t="s">
        <v>914</v>
      </c>
      <c r="E76" s="37" t="s">
        <v>909</v>
      </c>
      <c r="F76" s="37" t="s">
        <v>910</v>
      </c>
      <c r="G76" s="35" t="s">
        <v>906</v>
      </c>
      <c r="H76" s="38" t="s">
        <v>916</v>
      </c>
      <c r="I76" s="38" t="s">
        <v>916</v>
      </c>
      <c r="J76" s="38" t="s">
        <v>916</v>
      </c>
      <c r="K76" s="38" t="s">
        <v>916</v>
      </c>
      <c r="L76" s="38" t="s">
        <v>916</v>
      </c>
      <c r="M76" s="38" t="s">
        <v>916</v>
      </c>
      <c r="N76" s="38" t="s">
        <v>916</v>
      </c>
      <c r="O76" s="38">
        <v>7943.4252020000004</v>
      </c>
      <c r="P76" s="38">
        <v>9254.3537610000003</v>
      </c>
      <c r="Q76" s="38">
        <v>9161.8906239999997</v>
      </c>
      <c r="R76" s="38">
        <v>9508.2187009999998</v>
      </c>
      <c r="S76" s="38">
        <v>5320.8947200000002</v>
      </c>
      <c r="T76" s="38" t="s">
        <v>916</v>
      </c>
    </row>
    <row r="77" spans="1:20" ht="30" x14ac:dyDescent="0.35">
      <c r="A77" t="str">
        <f t="shared" si="2"/>
        <v>France</v>
      </c>
      <c r="B77" t="str">
        <f t="shared" si="3"/>
        <v>Screened, not targeted</v>
      </c>
      <c r="C77" s="39"/>
      <c r="D77" s="40"/>
      <c r="E77" s="37" t="s">
        <v>911</v>
      </c>
      <c r="F77" s="37" t="s">
        <v>912</v>
      </c>
      <c r="G77" s="35" t="s">
        <v>906</v>
      </c>
      <c r="H77" s="41" t="s">
        <v>916</v>
      </c>
      <c r="I77" s="41" t="s">
        <v>916</v>
      </c>
      <c r="J77" s="41" t="s">
        <v>916</v>
      </c>
      <c r="K77" s="41" t="s">
        <v>916</v>
      </c>
      <c r="L77" s="41" t="s">
        <v>916</v>
      </c>
      <c r="M77" s="41" t="s">
        <v>916</v>
      </c>
      <c r="N77" s="41" t="s">
        <v>916</v>
      </c>
      <c r="O77" s="41">
        <v>7887.209186</v>
      </c>
      <c r="P77" s="41">
        <v>9554.7639600000002</v>
      </c>
      <c r="Q77" s="41">
        <v>8930.3920859999998</v>
      </c>
      <c r="R77" s="41">
        <v>9898.1669829999992</v>
      </c>
      <c r="S77" s="41">
        <v>5320.8947200000002</v>
      </c>
      <c r="T77" s="41" t="s">
        <v>916</v>
      </c>
    </row>
    <row r="78" spans="1:20" ht="20.100000000000001" x14ac:dyDescent="0.35">
      <c r="A78" t="str">
        <f t="shared" si="2"/>
        <v>France</v>
      </c>
      <c r="B78" t="str">
        <f t="shared" si="3"/>
        <v>Not screened</v>
      </c>
      <c r="C78" s="39"/>
      <c r="D78" s="36" t="s">
        <v>915</v>
      </c>
      <c r="E78" s="37" t="s">
        <v>909</v>
      </c>
      <c r="F78" s="37" t="s">
        <v>910</v>
      </c>
      <c r="G78" s="35" t="s">
        <v>906</v>
      </c>
      <c r="H78" s="38" t="s">
        <v>916</v>
      </c>
      <c r="I78" s="38" t="s">
        <v>916</v>
      </c>
      <c r="J78" s="38" t="s">
        <v>916</v>
      </c>
      <c r="K78" s="38" t="s">
        <v>916</v>
      </c>
      <c r="L78" s="38" t="s">
        <v>916</v>
      </c>
      <c r="M78" s="38" t="s">
        <v>916</v>
      </c>
      <c r="N78" s="38" t="s">
        <v>916</v>
      </c>
      <c r="O78" s="38">
        <v>1157.9414300000001</v>
      </c>
      <c r="P78" s="38">
        <v>1289.1060540000001</v>
      </c>
      <c r="Q78" s="38" t="s">
        <v>916</v>
      </c>
      <c r="R78" s="38">
        <v>1352.349618</v>
      </c>
      <c r="S78" s="38">
        <v>3343.9891210000001</v>
      </c>
      <c r="T78" s="38" t="s">
        <v>916</v>
      </c>
    </row>
    <row r="79" spans="1:20" ht="30" x14ac:dyDescent="0.35">
      <c r="A79" t="str">
        <f t="shared" si="2"/>
        <v>France</v>
      </c>
      <c r="B79" t="str">
        <f t="shared" si="3"/>
        <v>Not screened</v>
      </c>
      <c r="C79" s="40"/>
      <c r="D79" s="40"/>
      <c r="E79" s="37" t="s">
        <v>911</v>
      </c>
      <c r="F79" s="37" t="s">
        <v>912</v>
      </c>
      <c r="G79" s="35" t="s">
        <v>906</v>
      </c>
      <c r="H79" s="41" t="s">
        <v>916</v>
      </c>
      <c r="I79" s="41" t="s">
        <v>916</v>
      </c>
      <c r="J79" s="41" t="s">
        <v>916</v>
      </c>
      <c r="K79" s="41" t="s">
        <v>916</v>
      </c>
      <c r="L79" s="41" t="s">
        <v>916</v>
      </c>
      <c r="M79" s="41" t="s">
        <v>916</v>
      </c>
      <c r="N79" s="41" t="s">
        <v>916</v>
      </c>
      <c r="O79" s="41">
        <v>1149.7466159999999</v>
      </c>
      <c r="P79" s="41">
        <v>1330.95236</v>
      </c>
      <c r="Q79" s="41" t="s">
        <v>916</v>
      </c>
      <c r="R79" s="41">
        <v>1407.8117850000001</v>
      </c>
      <c r="S79" s="41">
        <v>3343.9891210000001</v>
      </c>
      <c r="T79" s="41" t="s">
        <v>916</v>
      </c>
    </row>
    <row r="80" spans="1:20" ht="20.100000000000001" x14ac:dyDescent="0.35">
      <c r="A80" t="str">
        <f t="shared" si="2"/>
        <v>Germany</v>
      </c>
      <c r="B80" t="str">
        <f t="shared" si="3"/>
        <v>Principal</v>
      </c>
      <c r="C80" s="36" t="s">
        <v>487</v>
      </c>
      <c r="D80" s="36" t="s">
        <v>908</v>
      </c>
      <c r="E80" s="37" t="s">
        <v>909</v>
      </c>
      <c r="F80" s="37" t="s">
        <v>910</v>
      </c>
      <c r="G80" s="35" t="s">
        <v>906</v>
      </c>
      <c r="H80" s="38" t="s">
        <v>916</v>
      </c>
      <c r="I80" s="38" t="s">
        <v>916</v>
      </c>
      <c r="J80" s="38" t="s">
        <v>916</v>
      </c>
      <c r="K80" s="38" t="s">
        <v>916</v>
      </c>
      <c r="L80" s="38" t="s">
        <v>916</v>
      </c>
      <c r="M80" s="38" t="s">
        <v>916</v>
      </c>
      <c r="N80" s="38" t="s">
        <v>916</v>
      </c>
      <c r="O80" s="38">
        <v>194.109308</v>
      </c>
      <c r="P80" s="38">
        <v>281.28043600000001</v>
      </c>
      <c r="Q80" s="38">
        <v>630.32578699999999</v>
      </c>
      <c r="R80" s="38">
        <v>577.11441200000002</v>
      </c>
      <c r="S80" s="38">
        <v>559.64453600000002</v>
      </c>
      <c r="T80" s="38" t="s">
        <v>916</v>
      </c>
    </row>
    <row r="81" spans="1:20" ht="30" x14ac:dyDescent="0.35">
      <c r="A81" t="str">
        <f t="shared" si="2"/>
        <v>Germany</v>
      </c>
      <c r="B81" t="str">
        <f t="shared" si="3"/>
        <v>Principal</v>
      </c>
      <c r="C81" s="39"/>
      <c r="D81" s="40"/>
      <c r="E81" s="37" t="s">
        <v>911</v>
      </c>
      <c r="F81" s="37" t="s">
        <v>912</v>
      </c>
      <c r="G81" s="35" t="s">
        <v>906</v>
      </c>
      <c r="H81" s="41" t="s">
        <v>916</v>
      </c>
      <c r="I81" s="41" t="s">
        <v>916</v>
      </c>
      <c r="J81" s="41" t="s">
        <v>916</v>
      </c>
      <c r="K81" s="41" t="s">
        <v>916</v>
      </c>
      <c r="L81" s="41" t="s">
        <v>916</v>
      </c>
      <c r="M81" s="41" t="s">
        <v>916</v>
      </c>
      <c r="N81" s="41" t="s">
        <v>916</v>
      </c>
      <c r="O81" s="41">
        <v>195.31383600000001</v>
      </c>
      <c r="P81" s="41">
        <v>295.48637000000002</v>
      </c>
      <c r="Q81" s="41">
        <v>623.899406</v>
      </c>
      <c r="R81" s="41">
        <v>608.30592300000001</v>
      </c>
      <c r="S81" s="41">
        <v>559.64453600000002</v>
      </c>
      <c r="T81" s="41" t="s">
        <v>916</v>
      </c>
    </row>
    <row r="82" spans="1:20" ht="20.100000000000001" x14ac:dyDescent="0.35">
      <c r="A82" t="str">
        <f t="shared" si="2"/>
        <v>Germany</v>
      </c>
      <c r="B82" t="str">
        <f t="shared" si="3"/>
        <v>Significant</v>
      </c>
      <c r="C82" s="39"/>
      <c r="D82" s="36" t="s">
        <v>913</v>
      </c>
      <c r="E82" s="37" t="s">
        <v>909</v>
      </c>
      <c r="F82" s="37" t="s">
        <v>910</v>
      </c>
      <c r="G82" s="35" t="s">
        <v>906</v>
      </c>
      <c r="H82" s="38" t="s">
        <v>916</v>
      </c>
      <c r="I82" s="38" t="s">
        <v>916</v>
      </c>
      <c r="J82" s="38" t="s">
        <v>916</v>
      </c>
      <c r="K82" s="38" t="s">
        <v>916</v>
      </c>
      <c r="L82" s="38" t="s">
        <v>916</v>
      </c>
      <c r="M82" s="38" t="s">
        <v>916</v>
      </c>
      <c r="N82" s="38" t="s">
        <v>916</v>
      </c>
      <c r="O82" s="38">
        <v>188.46307400000001</v>
      </c>
      <c r="P82" s="38">
        <v>302.63507299999998</v>
      </c>
      <c r="Q82" s="38">
        <v>590.04089299999998</v>
      </c>
      <c r="R82" s="38">
        <v>393.661382</v>
      </c>
      <c r="S82" s="38">
        <v>441.37085400000001</v>
      </c>
      <c r="T82" s="38" t="s">
        <v>916</v>
      </c>
    </row>
    <row r="83" spans="1:20" ht="30" x14ac:dyDescent="0.35">
      <c r="A83" t="str">
        <f t="shared" ref="A83:A146" si="4">IF(C83="",A82,C83)</f>
        <v>Germany</v>
      </c>
      <c r="B83" t="str">
        <f t="shared" si="3"/>
        <v>Significant</v>
      </c>
      <c r="C83" s="39"/>
      <c r="D83" s="40"/>
      <c r="E83" s="37" t="s">
        <v>911</v>
      </c>
      <c r="F83" s="37" t="s">
        <v>912</v>
      </c>
      <c r="G83" s="35" t="s">
        <v>906</v>
      </c>
      <c r="H83" s="41" t="s">
        <v>916</v>
      </c>
      <c r="I83" s="41" t="s">
        <v>916</v>
      </c>
      <c r="J83" s="41" t="s">
        <v>916</v>
      </c>
      <c r="K83" s="41" t="s">
        <v>916</v>
      </c>
      <c r="L83" s="41" t="s">
        <v>916</v>
      </c>
      <c r="M83" s="41" t="s">
        <v>916</v>
      </c>
      <c r="N83" s="41" t="s">
        <v>916</v>
      </c>
      <c r="O83" s="41">
        <v>189.632566</v>
      </c>
      <c r="P83" s="41">
        <v>317.91951399999999</v>
      </c>
      <c r="Q83" s="41">
        <v>584.02522799999997</v>
      </c>
      <c r="R83" s="41">
        <v>414.93774400000001</v>
      </c>
      <c r="S83" s="41">
        <v>441.37085400000001</v>
      </c>
      <c r="T83" s="41" t="s">
        <v>916</v>
      </c>
    </row>
    <row r="84" spans="1:20" ht="20.100000000000001" customHeight="1" x14ac:dyDescent="0.35">
      <c r="A84" t="str">
        <f t="shared" si="4"/>
        <v>Germany</v>
      </c>
      <c r="B84" t="str">
        <f t="shared" si="3"/>
        <v>Screened, not targeted</v>
      </c>
      <c r="C84" s="39"/>
      <c r="D84" s="36" t="s">
        <v>914</v>
      </c>
      <c r="E84" s="37" t="s">
        <v>909</v>
      </c>
      <c r="F84" s="37" t="s">
        <v>910</v>
      </c>
      <c r="G84" s="35" t="s">
        <v>906</v>
      </c>
      <c r="H84" s="38" t="s">
        <v>916</v>
      </c>
      <c r="I84" s="38" t="s">
        <v>916</v>
      </c>
      <c r="J84" s="38" t="s">
        <v>916</v>
      </c>
      <c r="K84" s="38" t="s">
        <v>916</v>
      </c>
      <c r="L84" s="38" t="s">
        <v>916</v>
      </c>
      <c r="M84" s="38" t="s">
        <v>916</v>
      </c>
      <c r="N84" s="38" t="s">
        <v>916</v>
      </c>
      <c r="O84" s="38">
        <v>3882.190282</v>
      </c>
      <c r="P84" s="38">
        <v>6398.1745090000004</v>
      </c>
      <c r="Q84" s="38">
        <v>7114.3571410000004</v>
      </c>
      <c r="R84" s="38">
        <v>6908.4438289999998</v>
      </c>
      <c r="S84" s="38">
        <v>9912.7691790000008</v>
      </c>
      <c r="T84" s="38" t="s">
        <v>916</v>
      </c>
    </row>
    <row r="85" spans="1:20" ht="30" x14ac:dyDescent="0.35">
      <c r="A85" t="str">
        <f t="shared" si="4"/>
        <v>Germany</v>
      </c>
      <c r="B85" t="str">
        <f t="shared" si="3"/>
        <v>Screened, not targeted</v>
      </c>
      <c r="C85" s="39"/>
      <c r="D85" s="40"/>
      <c r="E85" s="37" t="s">
        <v>911</v>
      </c>
      <c r="F85" s="37" t="s">
        <v>912</v>
      </c>
      <c r="G85" s="35" t="s">
        <v>906</v>
      </c>
      <c r="H85" s="41" t="s">
        <v>916</v>
      </c>
      <c r="I85" s="41" t="s">
        <v>916</v>
      </c>
      <c r="J85" s="41" t="s">
        <v>916</v>
      </c>
      <c r="K85" s="41" t="s">
        <v>916</v>
      </c>
      <c r="L85" s="41" t="s">
        <v>916</v>
      </c>
      <c r="M85" s="41" t="s">
        <v>916</v>
      </c>
      <c r="N85" s="41" t="s">
        <v>916</v>
      </c>
      <c r="O85" s="41">
        <v>3906.28087</v>
      </c>
      <c r="P85" s="41">
        <v>6721.3112220000003</v>
      </c>
      <c r="Q85" s="41">
        <v>7041.8238959999999</v>
      </c>
      <c r="R85" s="41">
        <v>7281.8270030000003</v>
      </c>
      <c r="S85" s="41">
        <v>9912.7691799999993</v>
      </c>
      <c r="T85" s="41" t="s">
        <v>916</v>
      </c>
    </row>
    <row r="86" spans="1:20" ht="20.100000000000001" x14ac:dyDescent="0.35">
      <c r="A86" t="str">
        <f t="shared" si="4"/>
        <v>Germany</v>
      </c>
      <c r="B86" t="str">
        <f t="shared" si="3"/>
        <v>Not screened</v>
      </c>
      <c r="C86" s="39"/>
      <c r="D86" s="36" t="s">
        <v>915</v>
      </c>
      <c r="E86" s="37" t="s">
        <v>909</v>
      </c>
      <c r="F86" s="37" t="s">
        <v>910</v>
      </c>
      <c r="G86" s="35" t="s">
        <v>906</v>
      </c>
      <c r="H86" s="38" t="s">
        <v>916</v>
      </c>
      <c r="I86" s="38" t="s">
        <v>916</v>
      </c>
      <c r="J86" s="38" t="s">
        <v>916</v>
      </c>
      <c r="K86" s="38" t="s">
        <v>916</v>
      </c>
      <c r="L86" s="38" t="s">
        <v>916</v>
      </c>
      <c r="M86" s="38" t="s">
        <v>916</v>
      </c>
      <c r="N86" s="38" t="s">
        <v>916</v>
      </c>
      <c r="O86" s="38">
        <v>5187.6839030000001</v>
      </c>
      <c r="P86" s="38">
        <v>4247.799137</v>
      </c>
      <c r="Q86" s="38">
        <v>4178.0440390000003</v>
      </c>
      <c r="R86" s="38">
        <v>4373.6502570000002</v>
      </c>
      <c r="S86" s="38">
        <v>3170.411032</v>
      </c>
      <c r="T86" s="38" t="s">
        <v>916</v>
      </c>
    </row>
    <row r="87" spans="1:20" ht="30" x14ac:dyDescent="0.35">
      <c r="A87" t="str">
        <f t="shared" si="4"/>
        <v>Germany</v>
      </c>
      <c r="B87" t="str">
        <f t="shared" si="3"/>
        <v>Not screened</v>
      </c>
      <c r="C87" s="40"/>
      <c r="D87" s="40"/>
      <c r="E87" s="37" t="s">
        <v>911</v>
      </c>
      <c r="F87" s="37" t="s">
        <v>912</v>
      </c>
      <c r="G87" s="35" t="s">
        <v>906</v>
      </c>
      <c r="H87" s="41" t="s">
        <v>916</v>
      </c>
      <c r="I87" s="41" t="s">
        <v>916</v>
      </c>
      <c r="J87" s="41" t="s">
        <v>916</v>
      </c>
      <c r="K87" s="41" t="s">
        <v>916</v>
      </c>
      <c r="L87" s="41" t="s">
        <v>916</v>
      </c>
      <c r="M87" s="41" t="s">
        <v>916</v>
      </c>
      <c r="N87" s="41" t="s">
        <v>916</v>
      </c>
      <c r="O87" s="41">
        <v>5219.875599</v>
      </c>
      <c r="P87" s="41">
        <v>4462.3322109999999</v>
      </c>
      <c r="Q87" s="41">
        <v>4135.4474950000003</v>
      </c>
      <c r="R87" s="41">
        <v>4610.0345200000002</v>
      </c>
      <c r="S87" s="41">
        <v>3170.4110310000001</v>
      </c>
      <c r="T87" s="41" t="s">
        <v>916</v>
      </c>
    </row>
    <row r="88" spans="1:20" ht="20.100000000000001" x14ac:dyDescent="0.35">
      <c r="A88" t="str">
        <f t="shared" si="4"/>
        <v>Greece</v>
      </c>
      <c r="B88" t="str">
        <f t="shared" si="3"/>
        <v>Principal</v>
      </c>
      <c r="C88" s="36" t="s">
        <v>108</v>
      </c>
      <c r="D88" s="36" t="s">
        <v>908</v>
      </c>
      <c r="E88" s="37" t="s">
        <v>909</v>
      </c>
      <c r="F88" s="37" t="s">
        <v>910</v>
      </c>
      <c r="G88" s="35" t="s">
        <v>906</v>
      </c>
      <c r="H88" s="38" t="s">
        <v>916</v>
      </c>
      <c r="I88" s="38" t="s">
        <v>916</v>
      </c>
      <c r="J88" s="38" t="s">
        <v>916</v>
      </c>
      <c r="K88" s="38" t="s">
        <v>916</v>
      </c>
      <c r="L88" s="38" t="s">
        <v>916</v>
      </c>
      <c r="M88" s="38" t="s">
        <v>916</v>
      </c>
      <c r="N88" s="38" t="s">
        <v>916</v>
      </c>
      <c r="O88" s="38">
        <v>3.0233270000000001</v>
      </c>
      <c r="P88" s="38">
        <v>1.27861</v>
      </c>
      <c r="Q88" s="38" t="s">
        <v>916</v>
      </c>
      <c r="R88" s="38">
        <v>0.54492799999999997</v>
      </c>
      <c r="S88" s="38">
        <v>8.9500999999999997E-2</v>
      </c>
      <c r="T88" s="38" t="s">
        <v>916</v>
      </c>
    </row>
    <row r="89" spans="1:20" ht="30" x14ac:dyDescent="0.35">
      <c r="A89" t="str">
        <f t="shared" si="4"/>
        <v>Greece</v>
      </c>
      <c r="B89" t="str">
        <f t="shared" si="3"/>
        <v>Principal</v>
      </c>
      <c r="C89" s="39"/>
      <c r="D89" s="40"/>
      <c r="E89" s="37" t="s">
        <v>911</v>
      </c>
      <c r="F89" s="37" t="s">
        <v>912</v>
      </c>
      <c r="G89" s="35" t="s">
        <v>906</v>
      </c>
      <c r="H89" s="41" t="s">
        <v>916</v>
      </c>
      <c r="I89" s="41" t="s">
        <v>916</v>
      </c>
      <c r="J89" s="41" t="s">
        <v>916</v>
      </c>
      <c r="K89" s="41" t="s">
        <v>916</v>
      </c>
      <c r="L89" s="41" t="s">
        <v>916</v>
      </c>
      <c r="M89" s="41" t="s">
        <v>916</v>
      </c>
      <c r="N89" s="41" t="s">
        <v>916</v>
      </c>
      <c r="O89" s="41">
        <v>2.8592140000000001</v>
      </c>
      <c r="P89" s="41">
        <v>1.2599199999999999</v>
      </c>
      <c r="Q89" s="41" t="s">
        <v>916</v>
      </c>
      <c r="R89" s="41">
        <v>0.55002799999999996</v>
      </c>
      <c r="S89" s="41">
        <v>8.9500999999999997E-2</v>
      </c>
      <c r="T89" s="41" t="s">
        <v>916</v>
      </c>
    </row>
    <row r="90" spans="1:20" ht="20.100000000000001" x14ac:dyDescent="0.35">
      <c r="A90" t="str">
        <f t="shared" si="4"/>
        <v>Greece</v>
      </c>
      <c r="B90" t="str">
        <f t="shared" si="3"/>
        <v>Significant</v>
      </c>
      <c r="C90" s="39"/>
      <c r="D90" s="36" t="s">
        <v>913</v>
      </c>
      <c r="E90" s="37" t="s">
        <v>909</v>
      </c>
      <c r="F90" s="37" t="s">
        <v>910</v>
      </c>
      <c r="G90" s="35" t="s">
        <v>906</v>
      </c>
      <c r="H90" s="38" t="s">
        <v>916</v>
      </c>
      <c r="I90" s="38" t="s">
        <v>916</v>
      </c>
      <c r="J90" s="38" t="s">
        <v>916</v>
      </c>
      <c r="K90" s="38" t="s">
        <v>916</v>
      </c>
      <c r="L90" s="38" t="s">
        <v>916</v>
      </c>
      <c r="M90" s="38" t="s">
        <v>916</v>
      </c>
      <c r="N90" s="38" t="s">
        <v>916</v>
      </c>
      <c r="O90" s="38">
        <v>5.7241609999999996</v>
      </c>
      <c r="P90" s="38">
        <v>3.1110859999999998</v>
      </c>
      <c r="Q90" s="38" t="s">
        <v>916</v>
      </c>
      <c r="R90" s="38">
        <v>4.1100000000000002E-4</v>
      </c>
      <c r="S90" s="38">
        <v>3.8435999999999998E-2</v>
      </c>
      <c r="T90" s="38" t="s">
        <v>916</v>
      </c>
    </row>
    <row r="91" spans="1:20" ht="30" x14ac:dyDescent="0.35">
      <c r="A91" t="str">
        <f t="shared" si="4"/>
        <v>Greece</v>
      </c>
      <c r="B91" t="str">
        <f t="shared" si="3"/>
        <v>Significant</v>
      </c>
      <c r="C91" s="39"/>
      <c r="D91" s="40"/>
      <c r="E91" s="37" t="s">
        <v>911</v>
      </c>
      <c r="F91" s="37" t="s">
        <v>912</v>
      </c>
      <c r="G91" s="35" t="s">
        <v>906</v>
      </c>
      <c r="H91" s="41" t="s">
        <v>916</v>
      </c>
      <c r="I91" s="41" t="s">
        <v>916</v>
      </c>
      <c r="J91" s="41" t="s">
        <v>916</v>
      </c>
      <c r="K91" s="41" t="s">
        <v>916</v>
      </c>
      <c r="L91" s="41" t="s">
        <v>916</v>
      </c>
      <c r="M91" s="41" t="s">
        <v>916</v>
      </c>
      <c r="N91" s="41" t="s">
        <v>916</v>
      </c>
      <c r="O91" s="41">
        <v>5.4134419999999999</v>
      </c>
      <c r="P91" s="41">
        <v>3.0656110000000001</v>
      </c>
      <c r="Q91" s="41" t="s">
        <v>916</v>
      </c>
      <c r="R91" s="41">
        <v>4.15E-4</v>
      </c>
      <c r="S91" s="41">
        <v>3.8435999999999998E-2</v>
      </c>
      <c r="T91" s="41" t="s">
        <v>916</v>
      </c>
    </row>
    <row r="92" spans="1:20" ht="20.100000000000001" customHeight="1" x14ac:dyDescent="0.35">
      <c r="A92" t="str">
        <f t="shared" si="4"/>
        <v>Greece</v>
      </c>
      <c r="B92" t="str">
        <f t="shared" si="3"/>
        <v>Screened, not targeted</v>
      </c>
      <c r="C92" s="39"/>
      <c r="D92" s="36" t="s">
        <v>914</v>
      </c>
      <c r="E92" s="37" t="s">
        <v>909</v>
      </c>
      <c r="F92" s="37" t="s">
        <v>910</v>
      </c>
      <c r="G92" s="35" t="s">
        <v>906</v>
      </c>
      <c r="H92" s="38" t="s">
        <v>916</v>
      </c>
      <c r="I92" s="38" t="s">
        <v>916</v>
      </c>
      <c r="J92" s="38" t="s">
        <v>916</v>
      </c>
      <c r="K92" s="38" t="s">
        <v>916</v>
      </c>
      <c r="L92" s="38" t="s">
        <v>916</v>
      </c>
      <c r="M92" s="38" t="s">
        <v>916</v>
      </c>
      <c r="N92" s="38" t="s">
        <v>916</v>
      </c>
      <c r="O92" s="38">
        <v>288.19734999999997</v>
      </c>
      <c r="P92" s="38">
        <v>207.54906099999999</v>
      </c>
      <c r="Q92" s="38">
        <v>153.89732000000001</v>
      </c>
      <c r="R92" s="38">
        <v>106.74328800000001</v>
      </c>
      <c r="S92" s="38">
        <v>41.954999999999998</v>
      </c>
      <c r="T92" s="38" t="s">
        <v>916</v>
      </c>
    </row>
    <row r="93" spans="1:20" ht="30" x14ac:dyDescent="0.35">
      <c r="A93" t="str">
        <f t="shared" si="4"/>
        <v>Greece</v>
      </c>
      <c r="B93" t="str">
        <f t="shared" si="3"/>
        <v>Screened, not targeted</v>
      </c>
      <c r="C93" s="39"/>
      <c r="D93" s="40"/>
      <c r="E93" s="37" t="s">
        <v>911</v>
      </c>
      <c r="F93" s="37" t="s">
        <v>912</v>
      </c>
      <c r="G93" s="35" t="s">
        <v>906</v>
      </c>
      <c r="H93" s="41" t="s">
        <v>916</v>
      </c>
      <c r="I93" s="41" t="s">
        <v>916</v>
      </c>
      <c r="J93" s="41" t="s">
        <v>916</v>
      </c>
      <c r="K93" s="41" t="s">
        <v>916</v>
      </c>
      <c r="L93" s="41" t="s">
        <v>916</v>
      </c>
      <c r="M93" s="41" t="s">
        <v>916</v>
      </c>
      <c r="N93" s="41" t="s">
        <v>916</v>
      </c>
      <c r="O93" s="41">
        <v>272.55338699999999</v>
      </c>
      <c r="P93" s="41">
        <v>204.51536200000001</v>
      </c>
      <c r="Q93" s="41">
        <v>143.59724600000001</v>
      </c>
      <c r="R93" s="41">
        <v>107.742131</v>
      </c>
      <c r="S93" s="41">
        <v>41.954999999999998</v>
      </c>
      <c r="T93" s="41" t="s">
        <v>916</v>
      </c>
    </row>
    <row r="94" spans="1:20" ht="20.100000000000001" x14ac:dyDescent="0.35">
      <c r="A94" t="str">
        <f t="shared" si="4"/>
        <v>Greece</v>
      </c>
      <c r="B94" t="str">
        <f t="shared" si="3"/>
        <v>Not screened</v>
      </c>
      <c r="C94" s="39"/>
      <c r="D94" s="36" t="s">
        <v>915</v>
      </c>
      <c r="E94" s="37" t="s">
        <v>909</v>
      </c>
      <c r="F94" s="37" t="s">
        <v>910</v>
      </c>
      <c r="G94" s="35" t="s">
        <v>906</v>
      </c>
      <c r="H94" s="38" t="s">
        <v>916</v>
      </c>
      <c r="I94" s="38" t="s">
        <v>916</v>
      </c>
      <c r="J94" s="38" t="s">
        <v>916</v>
      </c>
      <c r="K94" s="38" t="s">
        <v>916</v>
      </c>
      <c r="L94" s="38" t="s">
        <v>916</v>
      </c>
      <c r="M94" s="38" t="s">
        <v>916</v>
      </c>
      <c r="N94" s="38" t="s">
        <v>916</v>
      </c>
      <c r="O94" s="38" t="s">
        <v>916</v>
      </c>
      <c r="P94" s="38" t="s">
        <v>916</v>
      </c>
      <c r="Q94" s="38" t="s">
        <v>916</v>
      </c>
      <c r="R94" s="38">
        <v>2.5707000000000001E-2</v>
      </c>
      <c r="S94" s="38">
        <v>1.531747</v>
      </c>
      <c r="T94" s="38" t="s">
        <v>916</v>
      </c>
    </row>
    <row r="95" spans="1:20" ht="30" x14ac:dyDescent="0.35">
      <c r="A95" t="str">
        <f t="shared" si="4"/>
        <v>Greece</v>
      </c>
      <c r="B95" t="str">
        <f t="shared" si="3"/>
        <v>Not screened</v>
      </c>
      <c r="C95" s="40"/>
      <c r="D95" s="40"/>
      <c r="E95" s="37" t="s">
        <v>911</v>
      </c>
      <c r="F95" s="37" t="s">
        <v>912</v>
      </c>
      <c r="G95" s="35" t="s">
        <v>906</v>
      </c>
      <c r="H95" s="41" t="s">
        <v>916</v>
      </c>
      <c r="I95" s="41" t="s">
        <v>916</v>
      </c>
      <c r="J95" s="41" t="s">
        <v>916</v>
      </c>
      <c r="K95" s="41" t="s">
        <v>916</v>
      </c>
      <c r="L95" s="41" t="s">
        <v>916</v>
      </c>
      <c r="M95" s="41" t="s">
        <v>916</v>
      </c>
      <c r="N95" s="41" t="s">
        <v>916</v>
      </c>
      <c r="O95" s="41" t="s">
        <v>916</v>
      </c>
      <c r="P95" s="41" t="s">
        <v>916</v>
      </c>
      <c r="Q95" s="41" t="s">
        <v>916</v>
      </c>
      <c r="R95" s="41">
        <v>2.5947000000000001E-2</v>
      </c>
      <c r="S95" s="41">
        <v>1.531747</v>
      </c>
      <c r="T95" s="41" t="s">
        <v>916</v>
      </c>
    </row>
    <row r="96" spans="1:20" ht="20.100000000000001" x14ac:dyDescent="0.35">
      <c r="A96" t="str">
        <f t="shared" si="4"/>
        <v>Iceland</v>
      </c>
      <c r="B96" t="str">
        <f t="shared" si="3"/>
        <v>Principal</v>
      </c>
      <c r="C96" s="36" t="s">
        <v>118</v>
      </c>
      <c r="D96" s="36" t="s">
        <v>908</v>
      </c>
      <c r="E96" s="37" t="s">
        <v>909</v>
      </c>
      <c r="F96" s="37" t="s">
        <v>910</v>
      </c>
      <c r="G96" s="35" t="s">
        <v>906</v>
      </c>
      <c r="H96" s="38" t="s">
        <v>916</v>
      </c>
      <c r="I96" s="38" t="s">
        <v>916</v>
      </c>
      <c r="J96" s="38" t="s">
        <v>916</v>
      </c>
      <c r="K96" s="38" t="s">
        <v>916</v>
      </c>
      <c r="L96" s="38" t="s">
        <v>916</v>
      </c>
      <c r="M96" s="38" t="s">
        <v>916</v>
      </c>
      <c r="N96" s="38" t="s">
        <v>916</v>
      </c>
      <c r="O96" s="38" t="s">
        <v>916</v>
      </c>
      <c r="P96" s="38" t="s">
        <v>916</v>
      </c>
      <c r="Q96" s="38" t="s">
        <v>916</v>
      </c>
      <c r="R96" s="38">
        <v>2.1637209999999998</v>
      </c>
      <c r="S96" s="38">
        <v>3.1151979999999999</v>
      </c>
      <c r="T96" s="38" t="s">
        <v>916</v>
      </c>
    </row>
    <row r="97" spans="1:20" ht="30" x14ac:dyDescent="0.35">
      <c r="A97" t="str">
        <f t="shared" si="4"/>
        <v>Iceland</v>
      </c>
      <c r="B97" t="str">
        <f t="shared" si="3"/>
        <v>Principal</v>
      </c>
      <c r="C97" s="39"/>
      <c r="D97" s="40"/>
      <c r="E97" s="37" t="s">
        <v>911</v>
      </c>
      <c r="F97" s="37" t="s">
        <v>912</v>
      </c>
      <c r="G97" s="35" t="s">
        <v>906</v>
      </c>
      <c r="H97" s="41" t="s">
        <v>916</v>
      </c>
      <c r="I97" s="41" t="s">
        <v>916</v>
      </c>
      <c r="J97" s="41" t="s">
        <v>916</v>
      </c>
      <c r="K97" s="41" t="s">
        <v>916</v>
      </c>
      <c r="L97" s="41" t="s">
        <v>916</v>
      </c>
      <c r="M97" s="41" t="s">
        <v>916</v>
      </c>
      <c r="N97" s="41" t="s">
        <v>916</v>
      </c>
      <c r="O97" s="41" t="s">
        <v>916</v>
      </c>
      <c r="P97" s="41" t="s">
        <v>916</v>
      </c>
      <c r="Q97" s="41" t="s">
        <v>916</v>
      </c>
      <c r="R97" s="41">
        <v>2.2613020000000001</v>
      </c>
      <c r="S97" s="41">
        <v>3.1151979999999999</v>
      </c>
      <c r="T97" s="41" t="s">
        <v>916</v>
      </c>
    </row>
    <row r="98" spans="1:20" ht="20.100000000000001" x14ac:dyDescent="0.35">
      <c r="A98" t="str">
        <f t="shared" si="4"/>
        <v>Iceland</v>
      </c>
      <c r="B98" t="str">
        <f t="shared" si="3"/>
        <v>Significant</v>
      </c>
      <c r="C98" s="39"/>
      <c r="D98" s="36" t="s">
        <v>913</v>
      </c>
      <c r="E98" s="37" t="s">
        <v>909</v>
      </c>
      <c r="F98" s="37" t="s">
        <v>910</v>
      </c>
      <c r="G98" s="35" t="s">
        <v>906</v>
      </c>
      <c r="H98" s="38" t="s">
        <v>916</v>
      </c>
      <c r="I98" s="38" t="s">
        <v>916</v>
      </c>
      <c r="J98" s="38" t="s">
        <v>916</v>
      </c>
      <c r="K98" s="38" t="s">
        <v>916</v>
      </c>
      <c r="L98" s="38" t="s">
        <v>916</v>
      </c>
      <c r="M98" s="38" t="s">
        <v>916</v>
      </c>
      <c r="N98" s="38" t="s">
        <v>916</v>
      </c>
      <c r="O98" s="38" t="s">
        <v>916</v>
      </c>
      <c r="P98" s="38" t="s">
        <v>916</v>
      </c>
      <c r="Q98" s="38" t="s">
        <v>916</v>
      </c>
      <c r="R98" s="38">
        <v>1.845547</v>
      </c>
      <c r="S98" s="38">
        <v>2.048702</v>
      </c>
      <c r="T98" s="38" t="s">
        <v>916</v>
      </c>
    </row>
    <row r="99" spans="1:20" ht="30" x14ac:dyDescent="0.35">
      <c r="A99" t="str">
        <f t="shared" si="4"/>
        <v>Iceland</v>
      </c>
      <c r="B99" t="str">
        <f t="shared" si="3"/>
        <v>Significant</v>
      </c>
      <c r="C99" s="39"/>
      <c r="D99" s="40"/>
      <c r="E99" s="37" t="s">
        <v>911</v>
      </c>
      <c r="F99" s="37" t="s">
        <v>912</v>
      </c>
      <c r="G99" s="35" t="s">
        <v>906</v>
      </c>
      <c r="H99" s="41" t="s">
        <v>916</v>
      </c>
      <c r="I99" s="41" t="s">
        <v>916</v>
      </c>
      <c r="J99" s="41" t="s">
        <v>916</v>
      </c>
      <c r="K99" s="41" t="s">
        <v>916</v>
      </c>
      <c r="L99" s="41" t="s">
        <v>916</v>
      </c>
      <c r="M99" s="41" t="s">
        <v>916</v>
      </c>
      <c r="N99" s="41" t="s">
        <v>916</v>
      </c>
      <c r="O99" s="41" t="s">
        <v>916</v>
      </c>
      <c r="P99" s="41" t="s">
        <v>916</v>
      </c>
      <c r="Q99" s="41" t="s">
        <v>916</v>
      </c>
      <c r="R99" s="41">
        <v>1.9287780000000001</v>
      </c>
      <c r="S99" s="41">
        <v>2.048702</v>
      </c>
      <c r="T99" s="41" t="s">
        <v>916</v>
      </c>
    </row>
    <row r="100" spans="1:20" ht="20.100000000000001" customHeight="1" x14ac:dyDescent="0.35">
      <c r="A100" t="str">
        <f t="shared" si="4"/>
        <v>Iceland</v>
      </c>
      <c r="B100" t="str">
        <f t="shared" si="3"/>
        <v>Screened, not targeted</v>
      </c>
      <c r="C100" s="39"/>
      <c r="D100" s="36" t="s">
        <v>914</v>
      </c>
      <c r="E100" s="37" t="s">
        <v>909</v>
      </c>
      <c r="F100" s="37" t="s">
        <v>910</v>
      </c>
      <c r="G100" s="35" t="s">
        <v>906</v>
      </c>
      <c r="H100" s="38" t="s">
        <v>916</v>
      </c>
      <c r="I100" s="38" t="s">
        <v>916</v>
      </c>
      <c r="J100" s="38" t="s">
        <v>916</v>
      </c>
      <c r="K100" s="38" t="s">
        <v>916</v>
      </c>
      <c r="L100" s="38" t="s">
        <v>916</v>
      </c>
      <c r="M100" s="38" t="s">
        <v>916</v>
      </c>
      <c r="N100" s="38" t="s">
        <v>916</v>
      </c>
      <c r="O100" s="38" t="s">
        <v>916</v>
      </c>
      <c r="P100" s="38" t="s">
        <v>916</v>
      </c>
      <c r="Q100" s="38" t="s">
        <v>916</v>
      </c>
      <c r="R100" s="38">
        <v>15.382975</v>
      </c>
      <c r="S100" s="38">
        <v>21.656977000000001</v>
      </c>
      <c r="T100" s="38" t="s">
        <v>916</v>
      </c>
    </row>
    <row r="101" spans="1:20" ht="30" x14ac:dyDescent="0.35">
      <c r="A101" t="str">
        <f t="shared" si="4"/>
        <v>Iceland</v>
      </c>
      <c r="B101" t="str">
        <f t="shared" si="3"/>
        <v>Screened, not targeted</v>
      </c>
      <c r="C101" s="39"/>
      <c r="D101" s="40"/>
      <c r="E101" s="37" t="s">
        <v>911</v>
      </c>
      <c r="F101" s="37" t="s">
        <v>912</v>
      </c>
      <c r="G101" s="35" t="s">
        <v>906</v>
      </c>
      <c r="H101" s="41" t="s">
        <v>916</v>
      </c>
      <c r="I101" s="41" t="s">
        <v>916</v>
      </c>
      <c r="J101" s="41" t="s">
        <v>916</v>
      </c>
      <c r="K101" s="41" t="s">
        <v>916</v>
      </c>
      <c r="L101" s="41" t="s">
        <v>916</v>
      </c>
      <c r="M101" s="41" t="s">
        <v>916</v>
      </c>
      <c r="N101" s="41" t="s">
        <v>916</v>
      </c>
      <c r="O101" s="41" t="s">
        <v>916</v>
      </c>
      <c r="P101" s="41" t="s">
        <v>916</v>
      </c>
      <c r="Q101" s="41" t="s">
        <v>916</v>
      </c>
      <c r="R101" s="41">
        <v>16.076722</v>
      </c>
      <c r="S101" s="41">
        <v>21.656977000000001</v>
      </c>
      <c r="T101" s="41" t="s">
        <v>916</v>
      </c>
    </row>
    <row r="102" spans="1:20" ht="20.100000000000001" x14ac:dyDescent="0.35">
      <c r="A102" t="str">
        <f t="shared" si="4"/>
        <v>Iceland</v>
      </c>
      <c r="B102" t="str">
        <f t="shared" si="3"/>
        <v>Not screened</v>
      </c>
      <c r="C102" s="39"/>
      <c r="D102" s="36" t="s">
        <v>915</v>
      </c>
      <c r="E102" s="37" t="s">
        <v>909</v>
      </c>
      <c r="F102" s="37" t="s">
        <v>910</v>
      </c>
      <c r="G102" s="35" t="s">
        <v>906</v>
      </c>
      <c r="H102" s="38" t="s">
        <v>916</v>
      </c>
      <c r="I102" s="38" t="s">
        <v>916</v>
      </c>
      <c r="J102" s="38" t="s">
        <v>916</v>
      </c>
      <c r="K102" s="38" t="s">
        <v>916</v>
      </c>
      <c r="L102" s="38" t="s">
        <v>916</v>
      </c>
      <c r="M102" s="38" t="s">
        <v>916</v>
      </c>
      <c r="N102" s="38" t="s">
        <v>916</v>
      </c>
      <c r="O102" s="38" t="s">
        <v>916</v>
      </c>
      <c r="P102" s="38" t="s">
        <v>916</v>
      </c>
      <c r="Q102" s="38">
        <v>20.051314000000001</v>
      </c>
      <c r="R102" s="38">
        <v>1.8151250000000001</v>
      </c>
      <c r="S102" s="38">
        <v>2.5900530000000002</v>
      </c>
      <c r="T102" s="38" t="s">
        <v>916</v>
      </c>
    </row>
    <row r="103" spans="1:20" ht="30" x14ac:dyDescent="0.35">
      <c r="A103" t="str">
        <f t="shared" si="4"/>
        <v>Iceland</v>
      </c>
      <c r="B103" t="str">
        <f t="shared" si="3"/>
        <v>Not screened</v>
      </c>
      <c r="C103" s="40"/>
      <c r="D103" s="40"/>
      <c r="E103" s="37" t="s">
        <v>911</v>
      </c>
      <c r="F103" s="37" t="s">
        <v>912</v>
      </c>
      <c r="G103" s="35" t="s">
        <v>906</v>
      </c>
      <c r="H103" s="41" t="s">
        <v>916</v>
      </c>
      <c r="I103" s="41" t="s">
        <v>916</v>
      </c>
      <c r="J103" s="41" t="s">
        <v>916</v>
      </c>
      <c r="K103" s="41" t="s">
        <v>916</v>
      </c>
      <c r="L103" s="41" t="s">
        <v>916</v>
      </c>
      <c r="M103" s="41" t="s">
        <v>916</v>
      </c>
      <c r="N103" s="41" t="s">
        <v>916</v>
      </c>
      <c r="O103" s="41" t="s">
        <v>916</v>
      </c>
      <c r="P103" s="41" t="s">
        <v>916</v>
      </c>
      <c r="Q103" s="41">
        <v>20.043140999999999</v>
      </c>
      <c r="R103" s="41">
        <v>1.896984</v>
      </c>
      <c r="S103" s="41">
        <v>2.5900530000000002</v>
      </c>
      <c r="T103" s="41" t="s">
        <v>916</v>
      </c>
    </row>
    <row r="104" spans="1:20" ht="20.100000000000001" x14ac:dyDescent="0.35">
      <c r="A104" t="str">
        <f t="shared" si="4"/>
        <v>Ireland</v>
      </c>
      <c r="B104" t="str">
        <f t="shared" si="3"/>
        <v>Principal</v>
      </c>
      <c r="C104" s="36" t="s">
        <v>123</v>
      </c>
      <c r="D104" s="36" t="s">
        <v>908</v>
      </c>
      <c r="E104" s="37" t="s">
        <v>909</v>
      </c>
      <c r="F104" s="37" t="s">
        <v>910</v>
      </c>
      <c r="G104" s="35" t="s">
        <v>906</v>
      </c>
      <c r="H104" s="38" t="s">
        <v>916</v>
      </c>
      <c r="I104" s="38" t="s">
        <v>916</v>
      </c>
      <c r="J104" s="38" t="s">
        <v>916</v>
      </c>
      <c r="K104" s="38" t="s">
        <v>916</v>
      </c>
      <c r="L104" s="38" t="s">
        <v>916</v>
      </c>
      <c r="M104" s="38" t="s">
        <v>916</v>
      </c>
      <c r="N104" s="38" t="s">
        <v>916</v>
      </c>
      <c r="O104" s="38">
        <v>1.2045669999999999</v>
      </c>
      <c r="P104" s="38">
        <v>1.4599000000000001E-2</v>
      </c>
      <c r="Q104" s="38">
        <v>17.516466000000001</v>
      </c>
      <c r="R104" s="38">
        <v>0.49135600000000001</v>
      </c>
      <c r="S104" s="38">
        <v>0.14594399999999999</v>
      </c>
      <c r="T104" s="38" t="s">
        <v>916</v>
      </c>
    </row>
    <row r="105" spans="1:20" ht="30" x14ac:dyDescent="0.35">
      <c r="A105" t="str">
        <f t="shared" si="4"/>
        <v>Ireland</v>
      </c>
      <c r="B105" t="str">
        <f t="shared" si="3"/>
        <v>Principal</v>
      </c>
      <c r="C105" s="39"/>
      <c r="D105" s="40"/>
      <c r="E105" s="37" t="s">
        <v>911</v>
      </c>
      <c r="F105" s="37" t="s">
        <v>912</v>
      </c>
      <c r="G105" s="35" t="s">
        <v>906</v>
      </c>
      <c r="H105" s="41" t="s">
        <v>916</v>
      </c>
      <c r="I105" s="41" t="s">
        <v>916</v>
      </c>
      <c r="J105" s="41" t="s">
        <v>916</v>
      </c>
      <c r="K105" s="41" t="s">
        <v>916</v>
      </c>
      <c r="L105" s="41" t="s">
        <v>916</v>
      </c>
      <c r="M105" s="41" t="s">
        <v>916</v>
      </c>
      <c r="N105" s="41" t="s">
        <v>916</v>
      </c>
      <c r="O105" s="41">
        <v>1.16692</v>
      </c>
      <c r="P105" s="41">
        <v>1.5113E-2</v>
      </c>
      <c r="Q105" s="41">
        <v>17.115518000000002</v>
      </c>
      <c r="R105" s="41">
        <v>0.51260899999999998</v>
      </c>
      <c r="S105" s="41">
        <v>0.14594399999999999</v>
      </c>
      <c r="T105" s="41" t="s">
        <v>916</v>
      </c>
    </row>
    <row r="106" spans="1:20" ht="20.100000000000001" x14ac:dyDescent="0.35">
      <c r="A106" t="str">
        <f t="shared" si="4"/>
        <v>Ireland</v>
      </c>
      <c r="B106" t="str">
        <f t="shared" si="3"/>
        <v>Significant</v>
      </c>
      <c r="C106" s="39"/>
      <c r="D106" s="36" t="s">
        <v>913</v>
      </c>
      <c r="E106" s="37" t="s">
        <v>909</v>
      </c>
      <c r="F106" s="37" t="s">
        <v>910</v>
      </c>
      <c r="G106" s="35" t="s">
        <v>906</v>
      </c>
      <c r="H106" s="38" t="s">
        <v>916</v>
      </c>
      <c r="I106" s="38" t="s">
        <v>916</v>
      </c>
      <c r="J106" s="38" t="s">
        <v>916</v>
      </c>
      <c r="K106" s="38" t="s">
        <v>916</v>
      </c>
      <c r="L106" s="38" t="s">
        <v>916</v>
      </c>
      <c r="M106" s="38" t="s">
        <v>916</v>
      </c>
      <c r="N106" s="38" t="s">
        <v>916</v>
      </c>
      <c r="O106" s="38">
        <v>106.57899500000001</v>
      </c>
      <c r="P106" s="38">
        <v>41.271033000000003</v>
      </c>
      <c r="Q106" s="38" t="s">
        <v>916</v>
      </c>
      <c r="R106" s="38">
        <v>35.502637999999997</v>
      </c>
      <c r="S106" s="38">
        <v>41.738303999999999</v>
      </c>
      <c r="T106" s="38" t="s">
        <v>916</v>
      </c>
    </row>
    <row r="107" spans="1:20" ht="30" x14ac:dyDescent="0.35">
      <c r="A107" t="str">
        <f t="shared" si="4"/>
        <v>Ireland</v>
      </c>
      <c r="B107" t="str">
        <f t="shared" si="3"/>
        <v>Significant</v>
      </c>
      <c r="C107" s="39"/>
      <c r="D107" s="40"/>
      <c r="E107" s="37" t="s">
        <v>911</v>
      </c>
      <c r="F107" s="37" t="s">
        <v>912</v>
      </c>
      <c r="G107" s="35" t="s">
        <v>906</v>
      </c>
      <c r="H107" s="41" t="s">
        <v>916</v>
      </c>
      <c r="I107" s="41" t="s">
        <v>916</v>
      </c>
      <c r="J107" s="41" t="s">
        <v>916</v>
      </c>
      <c r="K107" s="41" t="s">
        <v>916</v>
      </c>
      <c r="L107" s="41" t="s">
        <v>916</v>
      </c>
      <c r="M107" s="41" t="s">
        <v>916</v>
      </c>
      <c r="N107" s="41" t="s">
        <v>916</v>
      </c>
      <c r="O107" s="41">
        <v>103.24790299999999</v>
      </c>
      <c r="P107" s="41">
        <v>42.723274000000004</v>
      </c>
      <c r="Q107" s="41" t="s">
        <v>916</v>
      </c>
      <c r="R107" s="41">
        <v>37.038321000000003</v>
      </c>
      <c r="S107" s="41">
        <v>41.738303999999999</v>
      </c>
      <c r="T107" s="41" t="s">
        <v>916</v>
      </c>
    </row>
    <row r="108" spans="1:20" ht="20.100000000000001" customHeight="1" x14ac:dyDescent="0.35">
      <c r="A108" t="str">
        <f t="shared" si="4"/>
        <v>Ireland</v>
      </c>
      <c r="B108" t="str">
        <f t="shared" si="3"/>
        <v>Screened, not targeted</v>
      </c>
      <c r="C108" s="39"/>
      <c r="D108" s="36" t="s">
        <v>914</v>
      </c>
      <c r="E108" s="37" t="s">
        <v>909</v>
      </c>
      <c r="F108" s="37" t="s">
        <v>910</v>
      </c>
      <c r="G108" s="35" t="s">
        <v>906</v>
      </c>
      <c r="H108" s="38" t="s">
        <v>916</v>
      </c>
      <c r="I108" s="38" t="s">
        <v>916</v>
      </c>
      <c r="J108" s="38" t="s">
        <v>916</v>
      </c>
      <c r="K108" s="38" t="s">
        <v>916</v>
      </c>
      <c r="L108" s="38" t="s">
        <v>916</v>
      </c>
      <c r="M108" s="38" t="s">
        <v>916</v>
      </c>
      <c r="N108" s="38" t="s">
        <v>916</v>
      </c>
      <c r="O108" s="38">
        <v>544.46084099999996</v>
      </c>
      <c r="P108" s="38">
        <v>537.64181299999996</v>
      </c>
      <c r="Q108" s="38" t="s">
        <v>916</v>
      </c>
      <c r="R108" s="38">
        <v>500.18177900000001</v>
      </c>
      <c r="S108" s="38">
        <v>280.61431800000003</v>
      </c>
      <c r="T108" s="38" t="s">
        <v>916</v>
      </c>
    </row>
    <row r="109" spans="1:20" ht="30" x14ac:dyDescent="0.35">
      <c r="A109" t="str">
        <f t="shared" si="4"/>
        <v>Ireland</v>
      </c>
      <c r="B109" t="str">
        <f t="shared" si="3"/>
        <v>Screened, not targeted</v>
      </c>
      <c r="C109" s="39"/>
      <c r="D109" s="40"/>
      <c r="E109" s="37" t="s">
        <v>911</v>
      </c>
      <c r="F109" s="37" t="s">
        <v>912</v>
      </c>
      <c r="G109" s="35" t="s">
        <v>906</v>
      </c>
      <c r="H109" s="41" t="s">
        <v>916</v>
      </c>
      <c r="I109" s="41" t="s">
        <v>916</v>
      </c>
      <c r="J109" s="41" t="s">
        <v>916</v>
      </c>
      <c r="K109" s="41" t="s">
        <v>916</v>
      </c>
      <c r="L109" s="41" t="s">
        <v>916</v>
      </c>
      <c r="M109" s="41" t="s">
        <v>916</v>
      </c>
      <c r="N109" s="41" t="s">
        <v>916</v>
      </c>
      <c r="O109" s="41">
        <v>527.44387900000004</v>
      </c>
      <c r="P109" s="41">
        <v>556.56026499999996</v>
      </c>
      <c r="Q109" s="41" t="s">
        <v>916</v>
      </c>
      <c r="R109" s="41">
        <v>521.81736899999999</v>
      </c>
      <c r="S109" s="41">
        <v>280.61431800000003</v>
      </c>
      <c r="T109" s="41" t="s">
        <v>916</v>
      </c>
    </row>
    <row r="110" spans="1:20" ht="20.100000000000001" x14ac:dyDescent="0.35">
      <c r="A110" t="str">
        <f t="shared" si="4"/>
        <v>Ireland</v>
      </c>
      <c r="B110" t="str">
        <f t="shared" si="3"/>
        <v>Not screened</v>
      </c>
      <c r="C110" s="39"/>
      <c r="D110" s="36" t="s">
        <v>915</v>
      </c>
      <c r="E110" s="37" t="s">
        <v>909</v>
      </c>
      <c r="F110" s="37" t="s">
        <v>910</v>
      </c>
      <c r="G110" s="35" t="s">
        <v>906</v>
      </c>
      <c r="H110" s="38" t="s">
        <v>916</v>
      </c>
      <c r="I110" s="38" t="s">
        <v>916</v>
      </c>
      <c r="J110" s="38" t="s">
        <v>916</v>
      </c>
      <c r="K110" s="38" t="s">
        <v>916</v>
      </c>
      <c r="L110" s="38" t="s">
        <v>916</v>
      </c>
      <c r="M110" s="38" t="s">
        <v>916</v>
      </c>
      <c r="N110" s="38" t="s">
        <v>916</v>
      </c>
      <c r="O110" s="38">
        <v>44.824367000000002</v>
      </c>
      <c r="P110" s="38">
        <v>8.1150599999999997</v>
      </c>
      <c r="Q110" s="38">
        <v>589.47122999999999</v>
      </c>
      <c r="R110" s="38" t="s">
        <v>916</v>
      </c>
      <c r="S110" s="38">
        <v>220.54186799999999</v>
      </c>
      <c r="T110" s="38" t="s">
        <v>916</v>
      </c>
    </row>
    <row r="111" spans="1:20" ht="30" x14ac:dyDescent="0.35">
      <c r="A111" t="str">
        <f t="shared" si="4"/>
        <v>Ireland</v>
      </c>
      <c r="B111" t="str">
        <f t="shared" si="3"/>
        <v>Not screened</v>
      </c>
      <c r="C111" s="40"/>
      <c r="D111" s="40"/>
      <c r="E111" s="37" t="s">
        <v>911</v>
      </c>
      <c r="F111" s="37" t="s">
        <v>912</v>
      </c>
      <c r="G111" s="35" t="s">
        <v>906</v>
      </c>
      <c r="H111" s="41" t="s">
        <v>916</v>
      </c>
      <c r="I111" s="41" t="s">
        <v>916</v>
      </c>
      <c r="J111" s="41" t="s">
        <v>916</v>
      </c>
      <c r="K111" s="41" t="s">
        <v>916</v>
      </c>
      <c r="L111" s="41" t="s">
        <v>916</v>
      </c>
      <c r="M111" s="41" t="s">
        <v>916</v>
      </c>
      <c r="N111" s="41" t="s">
        <v>916</v>
      </c>
      <c r="O111" s="41">
        <v>43.423394999999999</v>
      </c>
      <c r="P111" s="41">
        <v>8.4006109999999996</v>
      </c>
      <c r="Q111" s="41">
        <v>575.97841700000004</v>
      </c>
      <c r="R111" s="41" t="s">
        <v>916</v>
      </c>
      <c r="S111" s="41">
        <v>220.54186799999999</v>
      </c>
      <c r="T111" s="41" t="s">
        <v>916</v>
      </c>
    </row>
    <row r="112" spans="1:20" ht="20.100000000000001" x14ac:dyDescent="0.35">
      <c r="A112" t="str">
        <f t="shared" si="4"/>
        <v>Italy</v>
      </c>
      <c r="B112" t="str">
        <f t="shared" si="3"/>
        <v>Principal</v>
      </c>
      <c r="C112" s="36" t="s">
        <v>125</v>
      </c>
      <c r="D112" s="36" t="s">
        <v>908</v>
      </c>
      <c r="E112" s="37" t="s">
        <v>909</v>
      </c>
      <c r="F112" s="37" t="s">
        <v>910</v>
      </c>
      <c r="G112" s="35" t="s">
        <v>906</v>
      </c>
      <c r="H112" s="38" t="s">
        <v>916</v>
      </c>
      <c r="I112" s="38" t="s">
        <v>916</v>
      </c>
      <c r="J112" s="38" t="s">
        <v>916</v>
      </c>
      <c r="K112" s="38" t="s">
        <v>916</v>
      </c>
      <c r="L112" s="38" t="s">
        <v>916</v>
      </c>
      <c r="M112" s="38" t="s">
        <v>916</v>
      </c>
      <c r="N112" s="38" t="s">
        <v>916</v>
      </c>
      <c r="O112" s="38">
        <v>6.9636389999999997</v>
      </c>
      <c r="P112" s="38">
        <v>2.3545029999999998</v>
      </c>
      <c r="Q112" s="38">
        <v>55.599457999999998</v>
      </c>
      <c r="R112" s="38">
        <v>16.121397999999999</v>
      </c>
      <c r="S112" s="38">
        <v>11.529798</v>
      </c>
      <c r="T112" s="38" t="s">
        <v>916</v>
      </c>
    </row>
    <row r="113" spans="1:20" ht="30" x14ac:dyDescent="0.35">
      <c r="A113" t="str">
        <f t="shared" si="4"/>
        <v>Italy</v>
      </c>
      <c r="B113" t="str">
        <f t="shared" si="3"/>
        <v>Principal</v>
      </c>
      <c r="C113" s="39"/>
      <c r="D113" s="40"/>
      <c r="E113" s="37" t="s">
        <v>911</v>
      </c>
      <c r="F113" s="37" t="s">
        <v>912</v>
      </c>
      <c r="G113" s="35" t="s">
        <v>906</v>
      </c>
      <c r="H113" s="41" t="s">
        <v>916</v>
      </c>
      <c r="I113" s="41" t="s">
        <v>916</v>
      </c>
      <c r="J113" s="41" t="s">
        <v>916</v>
      </c>
      <c r="K113" s="41" t="s">
        <v>916</v>
      </c>
      <c r="L113" s="41" t="s">
        <v>916</v>
      </c>
      <c r="M113" s="41" t="s">
        <v>916</v>
      </c>
      <c r="N113" s="41" t="s">
        <v>916</v>
      </c>
      <c r="O113" s="41">
        <v>6.9654230000000004</v>
      </c>
      <c r="P113" s="41">
        <v>2.4686949999999999</v>
      </c>
      <c r="Q113" s="41">
        <v>54.711115999999997</v>
      </c>
      <c r="R113" s="41">
        <v>16.894492</v>
      </c>
      <c r="S113" s="41">
        <v>11.529798</v>
      </c>
      <c r="T113" s="41" t="s">
        <v>916</v>
      </c>
    </row>
    <row r="114" spans="1:20" ht="20.100000000000001" x14ac:dyDescent="0.35">
      <c r="A114" t="str">
        <f t="shared" si="4"/>
        <v>Italy</v>
      </c>
      <c r="B114" t="str">
        <f t="shared" si="3"/>
        <v>Significant</v>
      </c>
      <c r="C114" s="39"/>
      <c r="D114" s="36" t="s">
        <v>913</v>
      </c>
      <c r="E114" s="37" t="s">
        <v>909</v>
      </c>
      <c r="F114" s="37" t="s">
        <v>910</v>
      </c>
      <c r="G114" s="35" t="s">
        <v>906</v>
      </c>
      <c r="H114" s="38" t="s">
        <v>916</v>
      </c>
      <c r="I114" s="38" t="s">
        <v>916</v>
      </c>
      <c r="J114" s="38" t="s">
        <v>916</v>
      </c>
      <c r="K114" s="38" t="s">
        <v>916</v>
      </c>
      <c r="L114" s="38" t="s">
        <v>916</v>
      </c>
      <c r="M114" s="38" t="s">
        <v>916</v>
      </c>
      <c r="N114" s="38" t="s">
        <v>916</v>
      </c>
      <c r="O114" s="38">
        <v>57.350047000000004</v>
      </c>
      <c r="P114" s="38">
        <v>6.3547950000000002</v>
      </c>
      <c r="Q114" s="38">
        <v>33.475732000000001</v>
      </c>
      <c r="R114" s="38">
        <v>45.163355000000003</v>
      </c>
      <c r="S114" s="38">
        <v>66.605312999999995</v>
      </c>
      <c r="T114" s="38" t="s">
        <v>916</v>
      </c>
    </row>
    <row r="115" spans="1:20" ht="30" x14ac:dyDescent="0.35">
      <c r="A115" t="str">
        <f t="shared" si="4"/>
        <v>Italy</v>
      </c>
      <c r="B115" t="str">
        <f t="shared" si="3"/>
        <v>Significant</v>
      </c>
      <c r="C115" s="39"/>
      <c r="D115" s="40"/>
      <c r="E115" s="37" t="s">
        <v>911</v>
      </c>
      <c r="F115" s="37" t="s">
        <v>912</v>
      </c>
      <c r="G115" s="35" t="s">
        <v>906</v>
      </c>
      <c r="H115" s="41" t="s">
        <v>916</v>
      </c>
      <c r="I115" s="41" t="s">
        <v>916</v>
      </c>
      <c r="J115" s="41" t="s">
        <v>916</v>
      </c>
      <c r="K115" s="41" t="s">
        <v>916</v>
      </c>
      <c r="L115" s="41" t="s">
        <v>916</v>
      </c>
      <c r="M115" s="41" t="s">
        <v>916</v>
      </c>
      <c r="N115" s="41" t="s">
        <v>916</v>
      </c>
      <c r="O115" s="41">
        <v>57.364721000000003</v>
      </c>
      <c r="P115" s="41">
        <v>6.6630000000000003</v>
      </c>
      <c r="Q115" s="41">
        <v>32.940874999999998</v>
      </c>
      <c r="R115" s="41">
        <v>47.329129000000002</v>
      </c>
      <c r="S115" s="41">
        <v>66.605312999999995</v>
      </c>
      <c r="T115" s="41" t="s">
        <v>916</v>
      </c>
    </row>
    <row r="116" spans="1:20" ht="20.100000000000001" customHeight="1" x14ac:dyDescent="0.35">
      <c r="A116" t="str">
        <f t="shared" si="4"/>
        <v>Italy</v>
      </c>
      <c r="B116" t="str">
        <f t="shared" si="3"/>
        <v>Screened, not targeted</v>
      </c>
      <c r="C116" s="39"/>
      <c r="D116" s="36" t="s">
        <v>914</v>
      </c>
      <c r="E116" s="37" t="s">
        <v>909</v>
      </c>
      <c r="F116" s="37" t="s">
        <v>910</v>
      </c>
      <c r="G116" s="35" t="s">
        <v>906</v>
      </c>
      <c r="H116" s="38" t="s">
        <v>916</v>
      </c>
      <c r="I116" s="38" t="s">
        <v>916</v>
      </c>
      <c r="J116" s="38" t="s">
        <v>916</v>
      </c>
      <c r="K116" s="38" t="s">
        <v>916</v>
      </c>
      <c r="L116" s="38" t="s">
        <v>916</v>
      </c>
      <c r="M116" s="38" t="s">
        <v>916</v>
      </c>
      <c r="N116" s="38" t="s">
        <v>916</v>
      </c>
      <c r="O116" s="38">
        <v>714.469157</v>
      </c>
      <c r="P116" s="38">
        <v>346.02655499999997</v>
      </c>
      <c r="Q116" s="38">
        <v>1084.3094000000001</v>
      </c>
      <c r="R116" s="38">
        <v>523.03168900000003</v>
      </c>
      <c r="S116" s="38">
        <v>222.89782</v>
      </c>
      <c r="T116" s="38" t="s">
        <v>916</v>
      </c>
    </row>
    <row r="117" spans="1:20" ht="30" x14ac:dyDescent="0.35">
      <c r="A117" t="str">
        <f t="shared" si="4"/>
        <v>Italy</v>
      </c>
      <c r="B117" t="str">
        <f t="shared" si="3"/>
        <v>Screened, not targeted</v>
      </c>
      <c r="C117" s="39"/>
      <c r="D117" s="40"/>
      <c r="E117" s="37" t="s">
        <v>911</v>
      </c>
      <c r="F117" s="37" t="s">
        <v>912</v>
      </c>
      <c r="G117" s="35" t="s">
        <v>906</v>
      </c>
      <c r="H117" s="41" t="s">
        <v>916</v>
      </c>
      <c r="I117" s="41" t="s">
        <v>916</v>
      </c>
      <c r="J117" s="41" t="s">
        <v>916</v>
      </c>
      <c r="K117" s="41" t="s">
        <v>916</v>
      </c>
      <c r="L117" s="41" t="s">
        <v>916</v>
      </c>
      <c r="M117" s="41" t="s">
        <v>916</v>
      </c>
      <c r="N117" s="41" t="s">
        <v>916</v>
      </c>
      <c r="O117" s="41">
        <v>714.65202499999998</v>
      </c>
      <c r="P117" s="41">
        <v>362.80875099999997</v>
      </c>
      <c r="Q117" s="41">
        <v>1066.9848039999999</v>
      </c>
      <c r="R117" s="41">
        <v>548.11326299999996</v>
      </c>
      <c r="S117" s="41">
        <v>222.89782</v>
      </c>
      <c r="T117" s="41" t="s">
        <v>916</v>
      </c>
    </row>
    <row r="118" spans="1:20" ht="20.100000000000001" x14ac:dyDescent="0.35">
      <c r="A118" t="str">
        <f t="shared" si="4"/>
        <v>Italy</v>
      </c>
      <c r="B118" t="str">
        <f t="shared" si="3"/>
        <v>Not screened</v>
      </c>
      <c r="C118" s="39"/>
      <c r="D118" s="36" t="s">
        <v>915</v>
      </c>
      <c r="E118" s="37" t="s">
        <v>909</v>
      </c>
      <c r="F118" s="37" t="s">
        <v>910</v>
      </c>
      <c r="G118" s="35" t="s">
        <v>906</v>
      </c>
      <c r="H118" s="38" t="s">
        <v>916</v>
      </c>
      <c r="I118" s="38" t="s">
        <v>916</v>
      </c>
      <c r="J118" s="38" t="s">
        <v>916</v>
      </c>
      <c r="K118" s="38" t="s">
        <v>916</v>
      </c>
      <c r="L118" s="38" t="s">
        <v>916</v>
      </c>
      <c r="M118" s="38" t="s">
        <v>916</v>
      </c>
      <c r="N118" s="38" t="s">
        <v>916</v>
      </c>
      <c r="O118" s="38">
        <v>369.08343100000002</v>
      </c>
      <c r="P118" s="38">
        <v>623.19981800000005</v>
      </c>
      <c r="Q118" s="38">
        <v>604.26560800000004</v>
      </c>
      <c r="R118" s="38">
        <v>261.22608300000002</v>
      </c>
      <c r="S118" s="38">
        <v>620.44198600000004</v>
      </c>
      <c r="T118" s="38" t="s">
        <v>916</v>
      </c>
    </row>
    <row r="119" spans="1:20" ht="30" x14ac:dyDescent="0.35">
      <c r="A119" t="str">
        <f t="shared" si="4"/>
        <v>Italy</v>
      </c>
      <c r="B119" t="str">
        <f t="shared" si="3"/>
        <v>Not screened</v>
      </c>
      <c r="C119" s="40"/>
      <c r="D119" s="40"/>
      <c r="E119" s="37" t="s">
        <v>911</v>
      </c>
      <c r="F119" s="37" t="s">
        <v>912</v>
      </c>
      <c r="G119" s="35" t="s">
        <v>906</v>
      </c>
      <c r="H119" s="41" t="s">
        <v>916</v>
      </c>
      <c r="I119" s="41" t="s">
        <v>916</v>
      </c>
      <c r="J119" s="41" t="s">
        <v>916</v>
      </c>
      <c r="K119" s="41" t="s">
        <v>916</v>
      </c>
      <c r="L119" s="41" t="s">
        <v>916</v>
      </c>
      <c r="M119" s="41" t="s">
        <v>916</v>
      </c>
      <c r="N119" s="41" t="s">
        <v>916</v>
      </c>
      <c r="O119" s="41">
        <v>369.17789699999997</v>
      </c>
      <c r="P119" s="41">
        <v>653.42483900000002</v>
      </c>
      <c r="Q119" s="41">
        <v>594.61092599999995</v>
      </c>
      <c r="R119" s="41">
        <v>273.75298199999997</v>
      </c>
      <c r="S119" s="41">
        <v>620.44198600000004</v>
      </c>
      <c r="T119" s="41" t="s">
        <v>916</v>
      </c>
    </row>
    <row r="120" spans="1:20" ht="20.100000000000001" x14ac:dyDescent="0.35">
      <c r="A120" t="str">
        <f t="shared" si="4"/>
        <v>Japan</v>
      </c>
      <c r="B120" t="str">
        <f t="shared" si="3"/>
        <v>Principal</v>
      </c>
      <c r="C120" s="36" t="s">
        <v>127</v>
      </c>
      <c r="D120" s="36" t="s">
        <v>908</v>
      </c>
      <c r="E120" s="37" t="s">
        <v>909</v>
      </c>
      <c r="F120" s="37" t="s">
        <v>910</v>
      </c>
      <c r="G120" s="35" t="s">
        <v>906</v>
      </c>
      <c r="H120" s="38" t="s">
        <v>916</v>
      </c>
      <c r="I120" s="38" t="s">
        <v>916</v>
      </c>
      <c r="J120" s="38" t="s">
        <v>916</v>
      </c>
      <c r="K120" s="38" t="s">
        <v>916</v>
      </c>
      <c r="L120" s="38" t="s">
        <v>916</v>
      </c>
      <c r="M120" s="38" t="s">
        <v>916</v>
      </c>
      <c r="N120" s="38" t="s">
        <v>916</v>
      </c>
      <c r="O120" s="38">
        <v>995.33260900000005</v>
      </c>
      <c r="P120" s="38">
        <v>822.66962799999999</v>
      </c>
      <c r="Q120" s="38">
        <v>1368.3327019999999</v>
      </c>
      <c r="R120" s="38">
        <v>331.771818</v>
      </c>
      <c r="S120" s="38">
        <v>38.064670999999997</v>
      </c>
      <c r="T120" s="38" t="s">
        <v>916</v>
      </c>
    </row>
    <row r="121" spans="1:20" ht="30" x14ac:dyDescent="0.35">
      <c r="A121" t="str">
        <f t="shared" si="4"/>
        <v>Japan</v>
      </c>
      <c r="B121" t="str">
        <f t="shared" si="3"/>
        <v>Principal</v>
      </c>
      <c r="C121" s="39"/>
      <c r="D121" s="40"/>
      <c r="E121" s="37" t="s">
        <v>911</v>
      </c>
      <c r="F121" s="37" t="s">
        <v>912</v>
      </c>
      <c r="G121" s="35" t="s">
        <v>906</v>
      </c>
      <c r="H121" s="41" t="s">
        <v>916</v>
      </c>
      <c r="I121" s="41" t="s">
        <v>916</v>
      </c>
      <c r="J121" s="41" t="s">
        <v>916</v>
      </c>
      <c r="K121" s="41" t="s">
        <v>916</v>
      </c>
      <c r="L121" s="41" t="s">
        <v>916</v>
      </c>
      <c r="M121" s="41" t="s">
        <v>916</v>
      </c>
      <c r="N121" s="41" t="s">
        <v>916</v>
      </c>
      <c r="O121" s="41">
        <v>901.09724800000004</v>
      </c>
      <c r="P121" s="41">
        <v>715.42983500000003</v>
      </c>
      <c r="Q121" s="41">
        <v>1100.643652</v>
      </c>
      <c r="R121" s="41">
        <v>269.5582</v>
      </c>
      <c r="S121" s="41">
        <v>38.064670999999997</v>
      </c>
      <c r="T121" s="41" t="s">
        <v>916</v>
      </c>
    </row>
    <row r="122" spans="1:20" ht="20.100000000000001" x14ac:dyDescent="0.35">
      <c r="A122" t="str">
        <f t="shared" si="4"/>
        <v>Japan</v>
      </c>
      <c r="B122" t="str">
        <f t="shared" si="3"/>
        <v>Significant</v>
      </c>
      <c r="C122" s="39"/>
      <c r="D122" s="36" t="s">
        <v>913</v>
      </c>
      <c r="E122" s="37" t="s">
        <v>909</v>
      </c>
      <c r="F122" s="37" t="s">
        <v>910</v>
      </c>
      <c r="G122" s="35" t="s">
        <v>906</v>
      </c>
      <c r="H122" s="38" t="s">
        <v>916</v>
      </c>
      <c r="I122" s="38" t="s">
        <v>916</v>
      </c>
      <c r="J122" s="38" t="s">
        <v>916</v>
      </c>
      <c r="K122" s="38" t="s">
        <v>916</v>
      </c>
      <c r="L122" s="38" t="s">
        <v>916</v>
      </c>
      <c r="M122" s="38" t="s">
        <v>916</v>
      </c>
      <c r="N122" s="38" t="s">
        <v>916</v>
      </c>
      <c r="O122" s="38">
        <v>139.48442399999999</v>
      </c>
      <c r="P122" s="38">
        <v>260.06753600000002</v>
      </c>
      <c r="Q122" s="38">
        <v>108.09625800000001</v>
      </c>
      <c r="R122" s="38">
        <v>118.22792099999999</v>
      </c>
      <c r="S122" s="38">
        <v>69.882436999999996</v>
      </c>
      <c r="T122" s="38" t="s">
        <v>916</v>
      </c>
    </row>
    <row r="123" spans="1:20" ht="30" x14ac:dyDescent="0.35">
      <c r="A123" t="str">
        <f t="shared" si="4"/>
        <v>Japan</v>
      </c>
      <c r="B123" t="str">
        <f t="shared" si="3"/>
        <v>Significant</v>
      </c>
      <c r="C123" s="39"/>
      <c r="D123" s="40"/>
      <c r="E123" s="37" t="s">
        <v>911</v>
      </c>
      <c r="F123" s="37" t="s">
        <v>912</v>
      </c>
      <c r="G123" s="35" t="s">
        <v>906</v>
      </c>
      <c r="H123" s="41" t="s">
        <v>916</v>
      </c>
      <c r="I123" s="41" t="s">
        <v>916</v>
      </c>
      <c r="J123" s="41" t="s">
        <v>916</v>
      </c>
      <c r="K123" s="41" t="s">
        <v>916</v>
      </c>
      <c r="L123" s="41" t="s">
        <v>916</v>
      </c>
      <c r="M123" s="41" t="s">
        <v>916</v>
      </c>
      <c r="N123" s="41" t="s">
        <v>916</v>
      </c>
      <c r="O123" s="41">
        <v>126.278419</v>
      </c>
      <c r="P123" s="41">
        <v>226.16621499999999</v>
      </c>
      <c r="Q123" s="41">
        <v>86.949220999999994</v>
      </c>
      <c r="R123" s="41">
        <v>96.057901000000001</v>
      </c>
      <c r="S123" s="41">
        <v>69.882436999999996</v>
      </c>
      <c r="T123" s="41" t="s">
        <v>916</v>
      </c>
    </row>
    <row r="124" spans="1:20" ht="20.100000000000001" customHeight="1" x14ac:dyDescent="0.35">
      <c r="A124" t="str">
        <f t="shared" si="4"/>
        <v>Japan</v>
      </c>
      <c r="B124" t="str">
        <f t="shared" si="3"/>
        <v>Screened, not targeted</v>
      </c>
      <c r="C124" s="39"/>
      <c r="D124" s="36" t="s">
        <v>914</v>
      </c>
      <c r="E124" s="37" t="s">
        <v>909</v>
      </c>
      <c r="F124" s="37" t="s">
        <v>910</v>
      </c>
      <c r="G124" s="35" t="s">
        <v>906</v>
      </c>
      <c r="H124" s="38" t="s">
        <v>916</v>
      </c>
      <c r="I124" s="38" t="s">
        <v>916</v>
      </c>
      <c r="J124" s="38" t="s">
        <v>916</v>
      </c>
      <c r="K124" s="38" t="s">
        <v>916</v>
      </c>
      <c r="L124" s="38" t="s">
        <v>916</v>
      </c>
      <c r="M124" s="38" t="s">
        <v>916</v>
      </c>
      <c r="N124" s="38" t="s">
        <v>916</v>
      </c>
      <c r="O124" s="38">
        <v>10593.570624</v>
      </c>
      <c r="P124" s="38">
        <v>14388.441747000001</v>
      </c>
      <c r="Q124" s="38">
        <v>11800.605729999999</v>
      </c>
      <c r="R124" s="38">
        <v>14867.262948</v>
      </c>
      <c r="S124" s="38">
        <v>14501.306005</v>
      </c>
      <c r="T124" s="38" t="s">
        <v>916</v>
      </c>
    </row>
    <row r="125" spans="1:20" ht="30" x14ac:dyDescent="0.35">
      <c r="A125" t="str">
        <f t="shared" si="4"/>
        <v>Japan</v>
      </c>
      <c r="B125" t="str">
        <f t="shared" si="3"/>
        <v>Screened, not targeted</v>
      </c>
      <c r="C125" s="39"/>
      <c r="D125" s="40"/>
      <c r="E125" s="37" t="s">
        <v>911</v>
      </c>
      <c r="F125" s="37" t="s">
        <v>912</v>
      </c>
      <c r="G125" s="35" t="s">
        <v>906</v>
      </c>
      <c r="H125" s="41" t="s">
        <v>916</v>
      </c>
      <c r="I125" s="41" t="s">
        <v>916</v>
      </c>
      <c r="J125" s="41" t="s">
        <v>916</v>
      </c>
      <c r="K125" s="41" t="s">
        <v>916</v>
      </c>
      <c r="L125" s="41" t="s">
        <v>916</v>
      </c>
      <c r="M125" s="41" t="s">
        <v>916</v>
      </c>
      <c r="N125" s="41" t="s">
        <v>916</v>
      </c>
      <c r="O125" s="41">
        <v>9590.6003990000008</v>
      </c>
      <c r="P125" s="41">
        <v>12512.824322</v>
      </c>
      <c r="Q125" s="41">
        <v>9492.0349029999998</v>
      </c>
      <c r="R125" s="41">
        <v>12079.364174</v>
      </c>
      <c r="S125" s="41">
        <v>14501.306005</v>
      </c>
      <c r="T125" s="41" t="s">
        <v>916</v>
      </c>
    </row>
    <row r="126" spans="1:20" ht="20.100000000000001" x14ac:dyDescent="0.35">
      <c r="A126" t="str">
        <f t="shared" si="4"/>
        <v>Japan</v>
      </c>
      <c r="B126" t="str">
        <f t="shared" si="3"/>
        <v>Not screened</v>
      </c>
      <c r="C126" s="39"/>
      <c r="D126" s="36" t="s">
        <v>915</v>
      </c>
      <c r="E126" s="37" t="s">
        <v>909</v>
      </c>
      <c r="F126" s="37" t="s">
        <v>910</v>
      </c>
      <c r="G126" s="35" t="s">
        <v>906</v>
      </c>
      <c r="H126" s="38" t="s">
        <v>916</v>
      </c>
      <c r="I126" s="38" t="s">
        <v>916</v>
      </c>
      <c r="J126" s="38" t="s">
        <v>916</v>
      </c>
      <c r="K126" s="38" t="s">
        <v>916</v>
      </c>
      <c r="L126" s="38" t="s">
        <v>916</v>
      </c>
      <c r="M126" s="38" t="s">
        <v>916</v>
      </c>
      <c r="N126" s="38" t="s">
        <v>916</v>
      </c>
      <c r="O126" s="38">
        <v>2933.6245020000001</v>
      </c>
      <c r="P126" s="38">
        <v>2013.918353</v>
      </c>
      <c r="Q126" s="38">
        <v>2179.7747439999998</v>
      </c>
      <c r="R126" s="38">
        <v>1952.333335</v>
      </c>
      <c r="S126" s="38">
        <v>7084.9664089999997</v>
      </c>
      <c r="T126" s="38" t="s">
        <v>916</v>
      </c>
    </row>
    <row r="127" spans="1:20" ht="30" x14ac:dyDescent="0.35">
      <c r="A127" t="str">
        <f t="shared" si="4"/>
        <v>Japan</v>
      </c>
      <c r="B127" t="str">
        <f t="shared" si="3"/>
        <v>Not screened</v>
      </c>
      <c r="C127" s="40"/>
      <c r="D127" s="40"/>
      <c r="E127" s="37" t="s">
        <v>911</v>
      </c>
      <c r="F127" s="37" t="s">
        <v>912</v>
      </c>
      <c r="G127" s="35" t="s">
        <v>906</v>
      </c>
      <c r="H127" s="41" t="s">
        <v>916</v>
      </c>
      <c r="I127" s="41" t="s">
        <v>916</v>
      </c>
      <c r="J127" s="41" t="s">
        <v>916</v>
      </c>
      <c r="K127" s="41" t="s">
        <v>916</v>
      </c>
      <c r="L127" s="41" t="s">
        <v>916</v>
      </c>
      <c r="M127" s="41" t="s">
        <v>916</v>
      </c>
      <c r="N127" s="41" t="s">
        <v>916</v>
      </c>
      <c r="O127" s="41">
        <v>2655.876972</v>
      </c>
      <c r="P127" s="41">
        <v>1751.3923299999999</v>
      </c>
      <c r="Q127" s="41">
        <v>1753.342022</v>
      </c>
      <c r="R127" s="41">
        <v>1586.2331389999999</v>
      </c>
      <c r="S127" s="41">
        <v>7084.9664089999997</v>
      </c>
      <c r="T127" s="41" t="s">
        <v>916</v>
      </c>
    </row>
    <row r="128" spans="1:20" ht="20.100000000000001" x14ac:dyDescent="0.35">
      <c r="A128" t="str">
        <f t="shared" si="4"/>
        <v>Korea</v>
      </c>
      <c r="B128" t="str">
        <f t="shared" si="3"/>
        <v>Principal</v>
      </c>
      <c r="C128" s="36" t="s">
        <v>568</v>
      </c>
      <c r="D128" s="36" t="s">
        <v>908</v>
      </c>
      <c r="E128" s="37" t="s">
        <v>909</v>
      </c>
      <c r="F128" s="37" t="s">
        <v>910</v>
      </c>
      <c r="G128" s="35" t="s">
        <v>906</v>
      </c>
      <c r="H128" s="38" t="s">
        <v>916</v>
      </c>
      <c r="I128" s="38" t="s">
        <v>916</v>
      </c>
      <c r="J128" s="38" t="s">
        <v>916</v>
      </c>
      <c r="K128" s="38" t="s">
        <v>916</v>
      </c>
      <c r="L128" s="38" t="s">
        <v>916</v>
      </c>
      <c r="M128" s="38" t="s">
        <v>916</v>
      </c>
      <c r="N128" s="38" t="s">
        <v>916</v>
      </c>
      <c r="O128" s="38">
        <v>0.71465599999999996</v>
      </c>
      <c r="P128" s="38">
        <v>0.69431500000000002</v>
      </c>
      <c r="Q128" s="38">
        <v>0.104759</v>
      </c>
      <c r="R128" s="38">
        <v>2.321882</v>
      </c>
      <c r="S128" s="38">
        <v>10.128375999999999</v>
      </c>
      <c r="T128" s="38" t="s">
        <v>916</v>
      </c>
    </row>
    <row r="129" spans="1:20" ht="30" x14ac:dyDescent="0.35">
      <c r="A129" t="str">
        <f t="shared" si="4"/>
        <v>Korea</v>
      </c>
      <c r="B129" t="str">
        <f t="shared" si="3"/>
        <v>Principal</v>
      </c>
      <c r="C129" s="39"/>
      <c r="D129" s="40"/>
      <c r="E129" s="37" t="s">
        <v>911</v>
      </c>
      <c r="F129" s="37" t="s">
        <v>912</v>
      </c>
      <c r="G129" s="35" t="s">
        <v>906</v>
      </c>
      <c r="H129" s="41" t="s">
        <v>916</v>
      </c>
      <c r="I129" s="41" t="s">
        <v>916</v>
      </c>
      <c r="J129" s="41" t="s">
        <v>916</v>
      </c>
      <c r="K129" s="41" t="s">
        <v>916</v>
      </c>
      <c r="L129" s="41" t="s">
        <v>916</v>
      </c>
      <c r="M129" s="41" t="s">
        <v>916</v>
      </c>
      <c r="N129" s="41" t="s">
        <v>916</v>
      </c>
      <c r="O129" s="41">
        <v>0.88748700000000003</v>
      </c>
      <c r="P129" s="41">
        <v>0.75779300000000005</v>
      </c>
      <c r="Q129" s="41">
        <v>0.107848</v>
      </c>
      <c r="R129" s="41">
        <v>2.406879</v>
      </c>
      <c r="S129" s="41">
        <v>10.128375999999999</v>
      </c>
      <c r="T129" s="41" t="s">
        <v>916</v>
      </c>
    </row>
    <row r="130" spans="1:20" ht="20.100000000000001" x14ac:dyDescent="0.35">
      <c r="A130" t="str">
        <f t="shared" si="4"/>
        <v>Korea</v>
      </c>
      <c r="B130" t="str">
        <f t="shared" si="3"/>
        <v>Significant</v>
      </c>
      <c r="C130" s="39"/>
      <c r="D130" s="36" t="s">
        <v>913</v>
      </c>
      <c r="E130" s="37" t="s">
        <v>909</v>
      </c>
      <c r="F130" s="37" t="s">
        <v>910</v>
      </c>
      <c r="G130" s="35" t="s">
        <v>906</v>
      </c>
      <c r="H130" s="38" t="s">
        <v>916</v>
      </c>
      <c r="I130" s="38" t="s">
        <v>916</v>
      </c>
      <c r="J130" s="38" t="s">
        <v>916</v>
      </c>
      <c r="K130" s="38" t="s">
        <v>916</v>
      </c>
      <c r="L130" s="38" t="s">
        <v>916</v>
      </c>
      <c r="M130" s="38" t="s">
        <v>916</v>
      </c>
      <c r="N130" s="38" t="s">
        <v>916</v>
      </c>
      <c r="O130" s="38">
        <v>41.449195000000003</v>
      </c>
      <c r="P130" s="38">
        <v>3.3386969999999998</v>
      </c>
      <c r="Q130" s="38">
        <v>15.244458</v>
      </c>
      <c r="R130" s="38">
        <v>3.3755679999999999</v>
      </c>
      <c r="S130" s="38">
        <v>45.359015999999997</v>
      </c>
      <c r="T130" s="38" t="s">
        <v>916</v>
      </c>
    </row>
    <row r="131" spans="1:20" ht="30" x14ac:dyDescent="0.35">
      <c r="A131" t="str">
        <f t="shared" si="4"/>
        <v>Korea</v>
      </c>
      <c r="B131" t="str">
        <f t="shared" si="3"/>
        <v>Significant</v>
      </c>
      <c r="C131" s="39"/>
      <c r="D131" s="40"/>
      <c r="E131" s="37" t="s">
        <v>911</v>
      </c>
      <c r="F131" s="37" t="s">
        <v>912</v>
      </c>
      <c r="G131" s="35" t="s">
        <v>906</v>
      </c>
      <c r="H131" s="41" t="s">
        <v>916</v>
      </c>
      <c r="I131" s="41" t="s">
        <v>916</v>
      </c>
      <c r="J131" s="41" t="s">
        <v>916</v>
      </c>
      <c r="K131" s="41" t="s">
        <v>916</v>
      </c>
      <c r="L131" s="41" t="s">
        <v>916</v>
      </c>
      <c r="M131" s="41" t="s">
        <v>916</v>
      </c>
      <c r="N131" s="41" t="s">
        <v>916</v>
      </c>
      <c r="O131" s="41">
        <v>51.473188999999998</v>
      </c>
      <c r="P131" s="41">
        <v>3.643942</v>
      </c>
      <c r="Q131" s="41">
        <v>15.69403</v>
      </c>
      <c r="R131" s="41">
        <v>3.4991370000000002</v>
      </c>
      <c r="S131" s="41">
        <v>45.359015999999997</v>
      </c>
      <c r="T131" s="41" t="s">
        <v>916</v>
      </c>
    </row>
    <row r="132" spans="1:20" ht="20.100000000000001" customHeight="1" x14ac:dyDescent="0.35">
      <c r="A132" t="str">
        <f t="shared" si="4"/>
        <v>Korea</v>
      </c>
      <c r="B132" t="str">
        <f t="shared" si="3"/>
        <v>Screened, not targeted</v>
      </c>
      <c r="C132" s="39"/>
      <c r="D132" s="36" t="s">
        <v>914</v>
      </c>
      <c r="E132" s="37" t="s">
        <v>909</v>
      </c>
      <c r="F132" s="37" t="s">
        <v>910</v>
      </c>
      <c r="G132" s="35" t="s">
        <v>906</v>
      </c>
      <c r="H132" s="38" t="s">
        <v>916</v>
      </c>
      <c r="I132" s="38" t="s">
        <v>916</v>
      </c>
      <c r="J132" s="38" t="s">
        <v>916</v>
      </c>
      <c r="K132" s="38" t="s">
        <v>916</v>
      </c>
      <c r="L132" s="38" t="s">
        <v>916</v>
      </c>
      <c r="M132" s="38" t="s">
        <v>916</v>
      </c>
      <c r="N132" s="38" t="s">
        <v>916</v>
      </c>
      <c r="O132" s="38">
        <v>1407.242508</v>
      </c>
      <c r="P132" s="38">
        <v>1805.5522940000001</v>
      </c>
      <c r="Q132" s="38">
        <v>1608.276413</v>
      </c>
      <c r="R132" s="38">
        <v>1738.728202</v>
      </c>
      <c r="S132" s="38">
        <v>2182.4318579999999</v>
      </c>
      <c r="T132" s="38" t="s">
        <v>916</v>
      </c>
    </row>
    <row r="133" spans="1:20" ht="30" x14ac:dyDescent="0.35">
      <c r="A133" t="str">
        <f t="shared" si="4"/>
        <v>Korea</v>
      </c>
      <c r="B133" t="str">
        <f t="shared" si="3"/>
        <v>Screened, not targeted</v>
      </c>
      <c r="C133" s="39"/>
      <c r="D133" s="40"/>
      <c r="E133" s="37" t="s">
        <v>911</v>
      </c>
      <c r="F133" s="37" t="s">
        <v>912</v>
      </c>
      <c r="G133" s="35" t="s">
        <v>906</v>
      </c>
      <c r="H133" s="41" t="s">
        <v>916</v>
      </c>
      <c r="I133" s="41" t="s">
        <v>916</v>
      </c>
      <c r="J133" s="41" t="s">
        <v>916</v>
      </c>
      <c r="K133" s="41" t="s">
        <v>916</v>
      </c>
      <c r="L133" s="41" t="s">
        <v>916</v>
      </c>
      <c r="M133" s="41" t="s">
        <v>916</v>
      </c>
      <c r="N133" s="41" t="s">
        <v>916</v>
      </c>
      <c r="O133" s="41">
        <v>1747.5673999999999</v>
      </c>
      <c r="P133" s="41">
        <v>1970.6260400000001</v>
      </c>
      <c r="Q133" s="41">
        <v>1655.7060879999999</v>
      </c>
      <c r="R133" s="41">
        <v>1802.3774530000001</v>
      </c>
      <c r="S133" s="41">
        <v>2182.4318579999999</v>
      </c>
      <c r="T133" s="41" t="s">
        <v>916</v>
      </c>
    </row>
    <row r="134" spans="1:20" ht="20.100000000000001" x14ac:dyDescent="0.35">
      <c r="A134" t="str">
        <f t="shared" si="4"/>
        <v>Korea</v>
      </c>
      <c r="B134" t="str">
        <f t="shared" si="3"/>
        <v>Not screened</v>
      </c>
      <c r="C134" s="39"/>
      <c r="D134" s="36" t="s">
        <v>915</v>
      </c>
      <c r="E134" s="37" t="s">
        <v>909</v>
      </c>
      <c r="F134" s="37" t="s">
        <v>910</v>
      </c>
      <c r="G134" s="35" t="s">
        <v>906</v>
      </c>
      <c r="H134" s="38" t="s">
        <v>916</v>
      </c>
      <c r="I134" s="38" t="s">
        <v>916</v>
      </c>
      <c r="J134" s="38" t="s">
        <v>916</v>
      </c>
      <c r="K134" s="38" t="s">
        <v>916</v>
      </c>
      <c r="L134" s="38" t="s">
        <v>916</v>
      </c>
      <c r="M134" s="38" t="s">
        <v>916</v>
      </c>
      <c r="N134" s="38" t="s">
        <v>916</v>
      </c>
      <c r="O134" s="38" t="s">
        <v>916</v>
      </c>
      <c r="P134" s="38" t="s">
        <v>916</v>
      </c>
      <c r="Q134" s="38" t="s">
        <v>916</v>
      </c>
      <c r="R134" s="38">
        <v>8.5628849999999996</v>
      </c>
      <c r="S134" s="38">
        <v>0.28235700000000002</v>
      </c>
      <c r="T134" s="38" t="s">
        <v>916</v>
      </c>
    </row>
    <row r="135" spans="1:20" ht="30" x14ac:dyDescent="0.35">
      <c r="A135" t="str">
        <f t="shared" si="4"/>
        <v>Korea</v>
      </c>
      <c r="B135" t="str">
        <f t="shared" si="3"/>
        <v>Not screened</v>
      </c>
      <c r="C135" s="40"/>
      <c r="D135" s="40"/>
      <c r="E135" s="37" t="s">
        <v>911</v>
      </c>
      <c r="F135" s="37" t="s">
        <v>912</v>
      </c>
      <c r="G135" s="35" t="s">
        <v>906</v>
      </c>
      <c r="H135" s="41" t="s">
        <v>916</v>
      </c>
      <c r="I135" s="41" t="s">
        <v>916</v>
      </c>
      <c r="J135" s="41" t="s">
        <v>916</v>
      </c>
      <c r="K135" s="41" t="s">
        <v>916</v>
      </c>
      <c r="L135" s="41" t="s">
        <v>916</v>
      </c>
      <c r="M135" s="41" t="s">
        <v>916</v>
      </c>
      <c r="N135" s="41" t="s">
        <v>916</v>
      </c>
      <c r="O135" s="41" t="s">
        <v>916</v>
      </c>
      <c r="P135" s="41" t="s">
        <v>916</v>
      </c>
      <c r="Q135" s="41" t="s">
        <v>916</v>
      </c>
      <c r="R135" s="41">
        <v>8.8763430000000003</v>
      </c>
      <c r="S135" s="41">
        <v>0.28235700000000002</v>
      </c>
      <c r="T135" s="41" t="s">
        <v>916</v>
      </c>
    </row>
    <row r="136" spans="1:20" ht="20.100000000000001" x14ac:dyDescent="0.35">
      <c r="A136" t="str">
        <f t="shared" si="4"/>
        <v>Luxembourg</v>
      </c>
      <c r="B136" t="str">
        <f t="shared" si="3"/>
        <v>Principal</v>
      </c>
      <c r="C136" s="36" t="s">
        <v>144</v>
      </c>
      <c r="D136" s="36" t="s">
        <v>908</v>
      </c>
      <c r="E136" s="37" t="s">
        <v>909</v>
      </c>
      <c r="F136" s="37" t="s">
        <v>910</v>
      </c>
      <c r="G136" s="35" t="s">
        <v>906</v>
      </c>
      <c r="H136" s="38" t="s">
        <v>916</v>
      </c>
      <c r="I136" s="38" t="s">
        <v>916</v>
      </c>
      <c r="J136" s="38" t="s">
        <v>916</v>
      </c>
      <c r="K136" s="38" t="s">
        <v>916</v>
      </c>
      <c r="L136" s="38" t="s">
        <v>916</v>
      </c>
      <c r="M136" s="38" t="s">
        <v>916</v>
      </c>
      <c r="N136" s="38" t="s">
        <v>916</v>
      </c>
      <c r="O136" s="38" t="s">
        <v>916</v>
      </c>
      <c r="P136" s="38">
        <v>1.9353309999999999</v>
      </c>
      <c r="Q136" s="38">
        <v>2.8833999999999999E-2</v>
      </c>
      <c r="R136" s="38">
        <v>0.97767000000000004</v>
      </c>
      <c r="S136" s="38">
        <v>1.617823</v>
      </c>
      <c r="T136" s="38">
        <v>2.8066680000000002</v>
      </c>
    </row>
    <row r="137" spans="1:20" ht="30" x14ac:dyDescent="0.35">
      <c r="A137" t="str">
        <f t="shared" si="4"/>
        <v>Luxembourg</v>
      </c>
      <c r="B137" t="str">
        <f t="shared" si="3"/>
        <v>Principal</v>
      </c>
      <c r="C137" s="39"/>
      <c r="D137" s="40"/>
      <c r="E137" s="37" t="s">
        <v>911</v>
      </c>
      <c r="F137" s="37" t="s">
        <v>912</v>
      </c>
      <c r="G137" s="35" t="s">
        <v>906</v>
      </c>
      <c r="H137" s="41" t="s">
        <v>916</v>
      </c>
      <c r="I137" s="41" t="s">
        <v>916</v>
      </c>
      <c r="J137" s="41" t="s">
        <v>916</v>
      </c>
      <c r="K137" s="41" t="s">
        <v>916</v>
      </c>
      <c r="L137" s="41" t="s">
        <v>916</v>
      </c>
      <c r="M137" s="41" t="s">
        <v>916</v>
      </c>
      <c r="N137" s="41" t="s">
        <v>916</v>
      </c>
      <c r="O137" s="41" t="s">
        <v>916</v>
      </c>
      <c r="P137" s="41">
        <v>2.134935</v>
      </c>
      <c r="Q137" s="41">
        <v>2.8861999999999999E-2</v>
      </c>
      <c r="R137" s="41">
        <v>1.02321</v>
      </c>
      <c r="S137" s="41">
        <v>1.617823</v>
      </c>
      <c r="T137" s="41">
        <v>2.7913929999999998</v>
      </c>
    </row>
    <row r="138" spans="1:20" ht="20.100000000000001" x14ac:dyDescent="0.35">
      <c r="A138" t="str">
        <f t="shared" si="4"/>
        <v>Luxembourg</v>
      </c>
      <c r="B138" t="str">
        <f t="shared" ref="B138:B201" si="5">IF(D138="",D137,D138)</f>
        <v>Significant</v>
      </c>
      <c r="C138" s="39"/>
      <c r="D138" s="36" t="s">
        <v>913</v>
      </c>
      <c r="E138" s="37" t="s">
        <v>909</v>
      </c>
      <c r="F138" s="37" t="s">
        <v>910</v>
      </c>
      <c r="G138" s="35" t="s">
        <v>906</v>
      </c>
      <c r="H138" s="38" t="s">
        <v>916</v>
      </c>
      <c r="I138" s="38" t="s">
        <v>916</v>
      </c>
      <c r="J138" s="38" t="s">
        <v>916</v>
      </c>
      <c r="K138" s="38" t="s">
        <v>916</v>
      </c>
      <c r="L138" s="38" t="s">
        <v>916</v>
      </c>
      <c r="M138" s="38" t="s">
        <v>916</v>
      </c>
      <c r="N138" s="38" t="s">
        <v>916</v>
      </c>
      <c r="O138" s="38" t="s">
        <v>916</v>
      </c>
      <c r="P138" s="38">
        <v>1.406809</v>
      </c>
      <c r="Q138" s="38" t="s">
        <v>916</v>
      </c>
      <c r="R138" s="38">
        <v>11.330966</v>
      </c>
      <c r="S138" s="38">
        <v>10.2775</v>
      </c>
      <c r="T138" s="38">
        <v>12.238135</v>
      </c>
    </row>
    <row r="139" spans="1:20" ht="30" x14ac:dyDescent="0.35">
      <c r="A139" t="str">
        <f t="shared" si="4"/>
        <v>Luxembourg</v>
      </c>
      <c r="B139" t="str">
        <f t="shared" si="5"/>
        <v>Significant</v>
      </c>
      <c r="C139" s="39"/>
      <c r="D139" s="40"/>
      <c r="E139" s="37" t="s">
        <v>911</v>
      </c>
      <c r="F139" s="37" t="s">
        <v>912</v>
      </c>
      <c r="G139" s="35" t="s">
        <v>906</v>
      </c>
      <c r="H139" s="41" t="s">
        <v>916</v>
      </c>
      <c r="I139" s="41" t="s">
        <v>916</v>
      </c>
      <c r="J139" s="41" t="s">
        <v>916</v>
      </c>
      <c r="K139" s="41" t="s">
        <v>916</v>
      </c>
      <c r="L139" s="41" t="s">
        <v>916</v>
      </c>
      <c r="M139" s="41" t="s">
        <v>916</v>
      </c>
      <c r="N139" s="41" t="s">
        <v>916</v>
      </c>
      <c r="O139" s="41" t="s">
        <v>916</v>
      </c>
      <c r="P139" s="41">
        <v>1.551904</v>
      </c>
      <c r="Q139" s="41" t="s">
        <v>916</v>
      </c>
      <c r="R139" s="41">
        <v>11.858775</v>
      </c>
      <c r="S139" s="41">
        <v>10.2775</v>
      </c>
      <c r="T139" s="41">
        <v>12.171530000000001</v>
      </c>
    </row>
    <row r="140" spans="1:20" ht="20.100000000000001" customHeight="1" x14ac:dyDescent="0.35">
      <c r="A140" t="str">
        <f t="shared" si="4"/>
        <v>Luxembourg</v>
      </c>
      <c r="B140" t="str">
        <f t="shared" si="5"/>
        <v>Screened, not targeted</v>
      </c>
      <c r="C140" s="39"/>
      <c r="D140" s="36" t="s">
        <v>914</v>
      </c>
      <c r="E140" s="37" t="s">
        <v>909</v>
      </c>
      <c r="F140" s="37" t="s">
        <v>910</v>
      </c>
      <c r="G140" s="35" t="s">
        <v>906</v>
      </c>
      <c r="H140" s="38" t="s">
        <v>916</v>
      </c>
      <c r="I140" s="38" t="s">
        <v>916</v>
      </c>
      <c r="J140" s="38" t="s">
        <v>916</v>
      </c>
      <c r="K140" s="38" t="s">
        <v>916</v>
      </c>
      <c r="L140" s="38" t="s">
        <v>916</v>
      </c>
      <c r="M140" s="38" t="s">
        <v>916</v>
      </c>
      <c r="N140" s="38" t="s">
        <v>916</v>
      </c>
      <c r="O140" s="38" t="s">
        <v>916</v>
      </c>
      <c r="P140" s="38">
        <v>134.95339100000001</v>
      </c>
      <c r="Q140" s="38" t="s">
        <v>916</v>
      </c>
      <c r="R140" s="38">
        <v>103.714236</v>
      </c>
      <c r="S140" s="38">
        <v>290.16220800000002</v>
      </c>
      <c r="T140" s="38">
        <v>289.49911500000002</v>
      </c>
    </row>
    <row r="141" spans="1:20" ht="30" x14ac:dyDescent="0.35">
      <c r="A141" t="str">
        <f t="shared" si="4"/>
        <v>Luxembourg</v>
      </c>
      <c r="B141" t="str">
        <f t="shared" si="5"/>
        <v>Screened, not targeted</v>
      </c>
      <c r="C141" s="39"/>
      <c r="D141" s="40"/>
      <c r="E141" s="37" t="s">
        <v>911</v>
      </c>
      <c r="F141" s="37" t="s">
        <v>912</v>
      </c>
      <c r="G141" s="35" t="s">
        <v>906</v>
      </c>
      <c r="H141" s="41" t="s">
        <v>916</v>
      </c>
      <c r="I141" s="41" t="s">
        <v>916</v>
      </c>
      <c r="J141" s="41" t="s">
        <v>916</v>
      </c>
      <c r="K141" s="41" t="s">
        <v>916</v>
      </c>
      <c r="L141" s="41" t="s">
        <v>916</v>
      </c>
      <c r="M141" s="41" t="s">
        <v>916</v>
      </c>
      <c r="N141" s="41" t="s">
        <v>916</v>
      </c>
      <c r="O141" s="41" t="s">
        <v>916</v>
      </c>
      <c r="P141" s="41">
        <v>148.872038</v>
      </c>
      <c r="Q141" s="41" t="s">
        <v>916</v>
      </c>
      <c r="R141" s="41">
        <v>108.54532399999999</v>
      </c>
      <c r="S141" s="41">
        <v>290.16220800000002</v>
      </c>
      <c r="T141" s="41">
        <v>287.92353600000001</v>
      </c>
    </row>
    <row r="142" spans="1:20" ht="20.100000000000001" x14ac:dyDescent="0.35">
      <c r="A142" t="str">
        <f t="shared" si="4"/>
        <v>Luxembourg</v>
      </c>
      <c r="B142" t="str">
        <f t="shared" si="5"/>
        <v>Not screened</v>
      </c>
      <c r="C142" s="39"/>
      <c r="D142" s="36" t="s">
        <v>915</v>
      </c>
      <c r="E142" s="37" t="s">
        <v>909</v>
      </c>
      <c r="F142" s="37" t="s">
        <v>910</v>
      </c>
      <c r="G142" s="35" t="s">
        <v>906</v>
      </c>
      <c r="H142" s="38" t="s">
        <v>916</v>
      </c>
      <c r="I142" s="38" t="s">
        <v>916</v>
      </c>
      <c r="J142" s="38" t="s">
        <v>916</v>
      </c>
      <c r="K142" s="38" t="s">
        <v>916</v>
      </c>
      <c r="L142" s="38" t="s">
        <v>916</v>
      </c>
      <c r="M142" s="38" t="s">
        <v>916</v>
      </c>
      <c r="N142" s="38" t="s">
        <v>916</v>
      </c>
      <c r="O142" s="38">
        <v>265.30349999999999</v>
      </c>
      <c r="P142" s="38">
        <v>162.242437</v>
      </c>
      <c r="Q142" s="38">
        <v>282.89452</v>
      </c>
      <c r="R142" s="38">
        <v>163.47460000000001</v>
      </c>
      <c r="S142" s="38" t="s">
        <v>916</v>
      </c>
      <c r="T142" s="38">
        <v>-4.1139679999999998</v>
      </c>
    </row>
    <row r="143" spans="1:20" ht="30" x14ac:dyDescent="0.35">
      <c r="A143" t="str">
        <f t="shared" si="4"/>
        <v>Luxembourg</v>
      </c>
      <c r="B143" t="str">
        <f t="shared" si="5"/>
        <v>Not screened</v>
      </c>
      <c r="C143" s="40"/>
      <c r="D143" s="40"/>
      <c r="E143" s="37" t="s">
        <v>911</v>
      </c>
      <c r="F143" s="37" t="s">
        <v>912</v>
      </c>
      <c r="G143" s="35" t="s">
        <v>906</v>
      </c>
      <c r="H143" s="41" t="s">
        <v>916</v>
      </c>
      <c r="I143" s="41" t="s">
        <v>916</v>
      </c>
      <c r="J143" s="41" t="s">
        <v>916</v>
      </c>
      <c r="K143" s="41" t="s">
        <v>916</v>
      </c>
      <c r="L143" s="41" t="s">
        <v>916</v>
      </c>
      <c r="M143" s="41" t="s">
        <v>916</v>
      </c>
      <c r="N143" s="41" t="s">
        <v>916</v>
      </c>
      <c r="O143" s="41">
        <v>288.85265099999998</v>
      </c>
      <c r="P143" s="41">
        <v>178.975596</v>
      </c>
      <c r="Q143" s="41">
        <v>283.16343999999998</v>
      </c>
      <c r="R143" s="41">
        <v>171.08935700000001</v>
      </c>
      <c r="S143" s="41" t="s">
        <v>916</v>
      </c>
      <c r="T143" s="41">
        <v>-4.0915780000000002</v>
      </c>
    </row>
    <row r="144" spans="1:20" ht="20.100000000000001" x14ac:dyDescent="0.35">
      <c r="A144" t="str">
        <f t="shared" si="4"/>
        <v>Netherlands</v>
      </c>
      <c r="B144" t="str">
        <f t="shared" si="5"/>
        <v>Principal</v>
      </c>
      <c r="C144" s="36" t="s">
        <v>7</v>
      </c>
      <c r="D144" s="36" t="s">
        <v>908</v>
      </c>
      <c r="E144" s="37" t="s">
        <v>909</v>
      </c>
      <c r="F144" s="37" t="s">
        <v>910</v>
      </c>
      <c r="G144" s="35" t="s">
        <v>906</v>
      </c>
      <c r="H144" s="38" t="s">
        <v>916</v>
      </c>
      <c r="I144" s="38" t="s">
        <v>916</v>
      </c>
      <c r="J144" s="38" t="s">
        <v>916</v>
      </c>
      <c r="K144" s="38" t="s">
        <v>916</v>
      </c>
      <c r="L144" s="38" t="s">
        <v>916</v>
      </c>
      <c r="M144" s="38" t="s">
        <v>916</v>
      </c>
      <c r="N144" s="38" t="s">
        <v>916</v>
      </c>
      <c r="O144" s="38" t="s">
        <v>916</v>
      </c>
      <c r="P144" s="38">
        <v>12.815296</v>
      </c>
      <c r="Q144" s="38">
        <v>12.414600999999999</v>
      </c>
      <c r="R144" s="38">
        <v>79.394142000000002</v>
      </c>
      <c r="S144" s="38">
        <v>3.5254159999999999</v>
      </c>
      <c r="T144" s="38">
        <v>0.217111</v>
      </c>
    </row>
    <row r="145" spans="1:20" ht="30" x14ac:dyDescent="0.35">
      <c r="A145" t="str">
        <f t="shared" si="4"/>
        <v>Netherlands</v>
      </c>
      <c r="B145" t="str">
        <f t="shared" si="5"/>
        <v>Principal</v>
      </c>
      <c r="C145" s="39"/>
      <c r="D145" s="40"/>
      <c r="E145" s="37" t="s">
        <v>911</v>
      </c>
      <c r="F145" s="37" t="s">
        <v>912</v>
      </c>
      <c r="G145" s="35" t="s">
        <v>906</v>
      </c>
      <c r="H145" s="41" t="s">
        <v>916</v>
      </c>
      <c r="I145" s="41" t="s">
        <v>916</v>
      </c>
      <c r="J145" s="41" t="s">
        <v>916</v>
      </c>
      <c r="K145" s="41" t="s">
        <v>916</v>
      </c>
      <c r="L145" s="41" t="s">
        <v>916</v>
      </c>
      <c r="M145" s="41" t="s">
        <v>916</v>
      </c>
      <c r="N145" s="41" t="s">
        <v>916</v>
      </c>
      <c r="O145" s="41" t="s">
        <v>916</v>
      </c>
      <c r="P145" s="41">
        <v>13.167071999999999</v>
      </c>
      <c r="Q145" s="41">
        <v>12.138415</v>
      </c>
      <c r="R145" s="41">
        <v>82.897925000000001</v>
      </c>
      <c r="S145" s="41">
        <v>3.5254159999999999</v>
      </c>
      <c r="T145" s="41">
        <v>0.21515699999999999</v>
      </c>
    </row>
    <row r="146" spans="1:20" ht="20.100000000000001" x14ac:dyDescent="0.35">
      <c r="A146" t="str">
        <f t="shared" si="4"/>
        <v>Netherlands</v>
      </c>
      <c r="B146" t="str">
        <f t="shared" si="5"/>
        <v>Significant</v>
      </c>
      <c r="C146" s="39"/>
      <c r="D146" s="36" t="s">
        <v>913</v>
      </c>
      <c r="E146" s="37" t="s">
        <v>909</v>
      </c>
      <c r="F146" s="37" t="s">
        <v>910</v>
      </c>
      <c r="G146" s="35" t="s">
        <v>906</v>
      </c>
      <c r="H146" s="38" t="s">
        <v>916</v>
      </c>
      <c r="I146" s="38" t="s">
        <v>916</v>
      </c>
      <c r="J146" s="38" t="s">
        <v>916</v>
      </c>
      <c r="K146" s="38" t="s">
        <v>916</v>
      </c>
      <c r="L146" s="38" t="s">
        <v>916</v>
      </c>
      <c r="M146" s="38" t="s">
        <v>916</v>
      </c>
      <c r="N146" s="38" t="s">
        <v>916</v>
      </c>
      <c r="O146" s="38" t="s">
        <v>916</v>
      </c>
      <c r="P146" s="38">
        <v>86.362993000000003</v>
      </c>
      <c r="Q146" s="38">
        <v>103.615308</v>
      </c>
      <c r="R146" s="38">
        <v>58.918889999999998</v>
      </c>
      <c r="S146" s="38">
        <v>295.802593</v>
      </c>
      <c r="T146" s="38">
        <v>10.384824</v>
      </c>
    </row>
    <row r="147" spans="1:20" ht="30" x14ac:dyDescent="0.35">
      <c r="A147" t="str">
        <f t="shared" ref="A147:A210" si="6">IF(C147="",A146,C147)</f>
        <v>Netherlands</v>
      </c>
      <c r="B147" t="str">
        <f t="shared" si="5"/>
        <v>Significant</v>
      </c>
      <c r="C147" s="39"/>
      <c r="D147" s="40"/>
      <c r="E147" s="37" t="s">
        <v>911</v>
      </c>
      <c r="F147" s="37" t="s">
        <v>912</v>
      </c>
      <c r="G147" s="35" t="s">
        <v>906</v>
      </c>
      <c r="H147" s="41" t="s">
        <v>916</v>
      </c>
      <c r="I147" s="41" t="s">
        <v>916</v>
      </c>
      <c r="J147" s="41" t="s">
        <v>916</v>
      </c>
      <c r="K147" s="41" t="s">
        <v>916</v>
      </c>
      <c r="L147" s="41" t="s">
        <v>916</v>
      </c>
      <c r="M147" s="41" t="s">
        <v>916</v>
      </c>
      <c r="N147" s="41" t="s">
        <v>916</v>
      </c>
      <c r="O147" s="41" t="s">
        <v>916</v>
      </c>
      <c r="P147" s="41">
        <v>88.733618000000007</v>
      </c>
      <c r="Q147" s="41">
        <v>101.31017900000001</v>
      </c>
      <c r="R147" s="41">
        <v>61.519069000000002</v>
      </c>
      <c r="S147" s="41">
        <v>295.802593</v>
      </c>
      <c r="T147" s="41">
        <v>10.291315000000001</v>
      </c>
    </row>
    <row r="148" spans="1:20" ht="20.100000000000001" customHeight="1" x14ac:dyDescent="0.35">
      <c r="A148" t="str">
        <f t="shared" si="6"/>
        <v>Netherlands</v>
      </c>
      <c r="B148" t="str">
        <f t="shared" si="5"/>
        <v>Screened, not targeted</v>
      </c>
      <c r="C148" s="39"/>
      <c r="D148" s="36" t="s">
        <v>914</v>
      </c>
      <c r="E148" s="37" t="s">
        <v>909</v>
      </c>
      <c r="F148" s="37" t="s">
        <v>910</v>
      </c>
      <c r="G148" s="35" t="s">
        <v>906</v>
      </c>
      <c r="H148" s="38" t="s">
        <v>916</v>
      </c>
      <c r="I148" s="38" t="s">
        <v>916</v>
      </c>
      <c r="J148" s="38" t="s">
        <v>916</v>
      </c>
      <c r="K148" s="38" t="s">
        <v>916</v>
      </c>
      <c r="L148" s="38" t="s">
        <v>916</v>
      </c>
      <c r="M148" s="38" t="s">
        <v>916</v>
      </c>
      <c r="N148" s="38" t="s">
        <v>916</v>
      </c>
      <c r="O148" s="38" t="s">
        <v>916</v>
      </c>
      <c r="P148" s="38">
        <v>6474.4753449999998</v>
      </c>
      <c r="Q148" s="38">
        <v>3910.1280240000001</v>
      </c>
      <c r="R148" s="38">
        <v>4738.1336819999997</v>
      </c>
      <c r="S148" s="38">
        <v>3018.821062</v>
      </c>
      <c r="T148" s="38">
        <v>3952.3515000000002</v>
      </c>
    </row>
    <row r="149" spans="1:20" ht="30" x14ac:dyDescent="0.35">
      <c r="A149" t="str">
        <f t="shared" si="6"/>
        <v>Netherlands</v>
      </c>
      <c r="B149" t="str">
        <f t="shared" si="5"/>
        <v>Screened, not targeted</v>
      </c>
      <c r="C149" s="39"/>
      <c r="D149" s="40"/>
      <c r="E149" s="37" t="s">
        <v>911</v>
      </c>
      <c r="F149" s="37" t="s">
        <v>912</v>
      </c>
      <c r="G149" s="35" t="s">
        <v>906</v>
      </c>
      <c r="H149" s="41" t="s">
        <v>916</v>
      </c>
      <c r="I149" s="41" t="s">
        <v>916</v>
      </c>
      <c r="J149" s="41" t="s">
        <v>916</v>
      </c>
      <c r="K149" s="41" t="s">
        <v>916</v>
      </c>
      <c r="L149" s="41" t="s">
        <v>916</v>
      </c>
      <c r="M149" s="41" t="s">
        <v>916</v>
      </c>
      <c r="N149" s="41" t="s">
        <v>916</v>
      </c>
      <c r="O149" s="41" t="s">
        <v>916</v>
      </c>
      <c r="P149" s="41">
        <v>6652.1967649999997</v>
      </c>
      <c r="Q149" s="41">
        <v>3823.139408</v>
      </c>
      <c r="R149" s="41">
        <v>4947.2345729999997</v>
      </c>
      <c r="S149" s="41">
        <v>3018.821062</v>
      </c>
      <c r="T149" s="41">
        <v>3916.7628909999999</v>
      </c>
    </row>
    <row r="150" spans="1:20" ht="20.100000000000001" x14ac:dyDescent="0.35">
      <c r="A150" t="str">
        <f t="shared" si="6"/>
        <v>Netherlands</v>
      </c>
      <c r="B150" t="str">
        <f t="shared" si="5"/>
        <v>Not screened</v>
      </c>
      <c r="C150" s="39"/>
      <c r="D150" s="36" t="s">
        <v>915</v>
      </c>
      <c r="E150" s="37" t="s">
        <v>909</v>
      </c>
      <c r="F150" s="37" t="s">
        <v>910</v>
      </c>
      <c r="G150" s="35" t="s">
        <v>906</v>
      </c>
      <c r="H150" s="38" t="s">
        <v>916</v>
      </c>
      <c r="I150" s="38" t="s">
        <v>916</v>
      </c>
      <c r="J150" s="38" t="s">
        <v>916</v>
      </c>
      <c r="K150" s="38" t="s">
        <v>916</v>
      </c>
      <c r="L150" s="38" t="s">
        <v>916</v>
      </c>
      <c r="M150" s="38" t="s">
        <v>916</v>
      </c>
      <c r="N150" s="38" t="s">
        <v>916</v>
      </c>
      <c r="O150" s="38">
        <v>5291.7521299999999</v>
      </c>
      <c r="P150" s="38">
        <v>-501.83584100000002</v>
      </c>
      <c r="Q150" s="38" t="s">
        <v>916</v>
      </c>
      <c r="R150" s="38" t="s">
        <v>916</v>
      </c>
      <c r="S150" s="38" t="s">
        <v>916</v>
      </c>
      <c r="T150" s="38" t="s">
        <v>916</v>
      </c>
    </row>
    <row r="151" spans="1:20" ht="30" x14ac:dyDescent="0.35">
      <c r="A151" t="str">
        <f t="shared" si="6"/>
        <v>Netherlands</v>
      </c>
      <c r="B151" t="str">
        <f t="shared" si="5"/>
        <v>Not screened</v>
      </c>
      <c r="C151" s="40"/>
      <c r="D151" s="40"/>
      <c r="E151" s="37" t="s">
        <v>911</v>
      </c>
      <c r="F151" s="37" t="s">
        <v>912</v>
      </c>
      <c r="G151" s="35" t="s">
        <v>906</v>
      </c>
      <c r="H151" s="41" t="s">
        <v>916</v>
      </c>
      <c r="I151" s="41" t="s">
        <v>916</v>
      </c>
      <c r="J151" s="41" t="s">
        <v>916</v>
      </c>
      <c r="K151" s="41" t="s">
        <v>916</v>
      </c>
      <c r="L151" s="41" t="s">
        <v>916</v>
      </c>
      <c r="M151" s="41" t="s">
        <v>916</v>
      </c>
      <c r="N151" s="41" t="s">
        <v>916</v>
      </c>
      <c r="O151" s="41">
        <v>5234.0881280000003</v>
      </c>
      <c r="P151" s="41">
        <v>-515.61100799999997</v>
      </c>
      <c r="Q151" s="41" t="s">
        <v>916</v>
      </c>
      <c r="R151" s="41" t="s">
        <v>916</v>
      </c>
      <c r="S151" s="41" t="s">
        <v>916</v>
      </c>
      <c r="T151" s="41" t="s">
        <v>916</v>
      </c>
    </row>
    <row r="152" spans="1:20" ht="20.100000000000001" x14ac:dyDescent="0.35">
      <c r="A152" t="str">
        <f t="shared" si="6"/>
        <v>New Zealand</v>
      </c>
      <c r="B152" t="str">
        <f t="shared" si="5"/>
        <v>Principal</v>
      </c>
      <c r="C152" s="36" t="s">
        <v>167</v>
      </c>
      <c r="D152" s="36" t="s">
        <v>908</v>
      </c>
      <c r="E152" s="37" t="s">
        <v>909</v>
      </c>
      <c r="F152" s="37" t="s">
        <v>910</v>
      </c>
      <c r="G152" s="35" t="s">
        <v>906</v>
      </c>
      <c r="H152" s="38" t="s">
        <v>916</v>
      </c>
      <c r="I152" s="38" t="s">
        <v>916</v>
      </c>
      <c r="J152" s="38" t="s">
        <v>916</v>
      </c>
      <c r="K152" s="38" t="s">
        <v>916</v>
      </c>
      <c r="L152" s="38" t="s">
        <v>916</v>
      </c>
      <c r="M152" s="38" t="s">
        <v>916</v>
      </c>
      <c r="N152" s="38" t="s">
        <v>916</v>
      </c>
      <c r="O152" s="38">
        <v>0.20233899999999999</v>
      </c>
      <c r="P152" s="38">
        <v>0.60028899999999996</v>
      </c>
      <c r="Q152" s="38">
        <v>0.84301300000000001</v>
      </c>
      <c r="R152" s="38">
        <v>0.51954800000000001</v>
      </c>
      <c r="S152" s="38">
        <v>3.5193889999999999</v>
      </c>
      <c r="T152" s="38" t="s">
        <v>916</v>
      </c>
    </row>
    <row r="153" spans="1:20" ht="30" x14ac:dyDescent="0.35">
      <c r="A153" t="str">
        <f t="shared" si="6"/>
        <v>New Zealand</v>
      </c>
      <c r="B153" t="str">
        <f t="shared" si="5"/>
        <v>Principal</v>
      </c>
      <c r="C153" s="39"/>
      <c r="D153" s="40"/>
      <c r="E153" s="37" t="s">
        <v>911</v>
      </c>
      <c r="F153" s="37" t="s">
        <v>912</v>
      </c>
      <c r="G153" s="35" t="s">
        <v>906</v>
      </c>
      <c r="H153" s="41" t="s">
        <v>916</v>
      </c>
      <c r="I153" s="41" t="s">
        <v>916</v>
      </c>
      <c r="J153" s="41" t="s">
        <v>916</v>
      </c>
      <c r="K153" s="41" t="s">
        <v>916</v>
      </c>
      <c r="L153" s="41" t="s">
        <v>916</v>
      </c>
      <c r="M153" s="41" t="s">
        <v>916</v>
      </c>
      <c r="N153" s="41" t="s">
        <v>916</v>
      </c>
      <c r="O153" s="41">
        <v>0.28654499999999999</v>
      </c>
      <c r="P153" s="41">
        <v>0.71738900000000005</v>
      </c>
      <c r="Q153" s="41">
        <v>0.89280199999999998</v>
      </c>
      <c r="R153" s="41">
        <v>0.53998400000000002</v>
      </c>
      <c r="S153" s="41">
        <v>3.5193889999999999</v>
      </c>
      <c r="T153" s="41" t="s">
        <v>916</v>
      </c>
    </row>
    <row r="154" spans="1:20" ht="20.100000000000001" x14ac:dyDescent="0.35">
      <c r="A154" t="str">
        <f t="shared" si="6"/>
        <v>New Zealand</v>
      </c>
      <c r="B154" t="str">
        <f t="shared" si="5"/>
        <v>Significant</v>
      </c>
      <c r="C154" s="39"/>
      <c r="D154" s="36" t="s">
        <v>913</v>
      </c>
      <c r="E154" s="37" t="s">
        <v>909</v>
      </c>
      <c r="F154" s="37" t="s">
        <v>910</v>
      </c>
      <c r="G154" s="35" t="s">
        <v>906</v>
      </c>
      <c r="H154" s="38" t="s">
        <v>916</v>
      </c>
      <c r="I154" s="38" t="s">
        <v>916</v>
      </c>
      <c r="J154" s="38" t="s">
        <v>916</v>
      </c>
      <c r="K154" s="38" t="s">
        <v>916</v>
      </c>
      <c r="L154" s="38" t="s">
        <v>916</v>
      </c>
      <c r="M154" s="38" t="s">
        <v>916</v>
      </c>
      <c r="N154" s="38" t="s">
        <v>916</v>
      </c>
      <c r="O154" s="38">
        <v>2.8114859999999999</v>
      </c>
      <c r="P154" s="38">
        <v>10.711728000000001</v>
      </c>
      <c r="Q154" s="38">
        <v>13.822945000000001</v>
      </c>
      <c r="R154" s="38">
        <v>3.9860570000000002</v>
      </c>
      <c r="S154" s="38">
        <v>7.997941</v>
      </c>
      <c r="T154" s="38" t="s">
        <v>916</v>
      </c>
    </row>
    <row r="155" spans="1:20" ht="30" x14ac:dyDescent="0.35">
      <c r="A155" t="str">
        <f t="shared" si="6"/>
        <v>New Zealand</v>
      </c>
      <c r="B155" t="str">
        <f t="shared" si="5"/>
        <v>Significant</v>
      </c>
      <c r="C155" s="39"/>
      <c r="D155" s="40"/>
      <c r="E155" s="37" t="s">
        <v>911</v>
      </c>
      <c r="F155" s="37" t="s">
        <v>912</v>
      </c>
      <c r="G155" s="35" t="s">
        <v>906</v>
      </c>
      <c r="H155" s="41" t="s">
        <v>916</v>
      </c>
      <c r="I155" s="41" t="s">
        <v>916</v>
      </c>
      <c r="J155" s="41" t="s">
        <v>916</v>
      </c>
      <c r="K155" s="41" t="s">
        <v>916</v>
      </c>
      <c r="L155" s="41" t="s">
        <v>916</v>
      </c>
      <c r="M155" s="41" t="s">
        <v>916</v>
      </c>
      <c r="N155" s="41" t="s">
        <v>916</v>
      </c>
      <c r="O155" s="41">
        <v>3.9815160000000001</v>
      </c>
      <c r="P155" s="41">
        <v>12.801271</v>
      </c>
      <c r="Q155" s="41">
        <v>14.639352000000001</v>
      </c>
      <c r="R155" s="41">
        <v>4.1428459999999996</v>
      </c>
      <c r="S155" s="41">
        <v>7.997941</v>
      </c>
      <c r="T155" s="41" t="s">
        <v>916</v>
      </c>
    </row>
    <row r="156" spans="1:20" ht="20.100000000000001" customHeight="1" x14ac:dyDescent="0.35">
      <c r="A156" t="str">
        <f t="shared" si="6"/>
        <v>New Zealand</v>
      </c>
      <c r="B156" t="str">
        <f t="shared" si="5"/>
        <v>Screened, not targeted</v>
      </c>
      <c r="C156" s="39"/>
      <c r="D156" s="36" t="s">
        <v>914</v>
      </c>
      <c r="E156" s="37" t="s">
        <v>909</v>
      </c>
      <c r="F156" s="37" t="s">
        <v>910</v>
      </c>
      <c r="G156" s="35" t="s">
        <v>906</v>
      </c>
      <c r="H156" s="38" t="s">
        <v>916</v>
      </c>
      <c r="I156" s="38" t="s">
        <v>916</v>
      </c>
      <c r="J156" s="38" t="s">
        <v>916</v>
      </c>
      <c r="K156" s="38" t="s">
        <v>916</v>
      </c>
      <c r="L156" s="38" t="s">
        <v>916</v>
      </c>
      <c r="M156" s="38" t="s">
        <v>916</v>
      </c>
      <c r="N156" s="38" t="s">
        <v>916</v>
      </c>
      <c r="O156" s="38">
        <v>262.843525</v>
      </c>
      <c r="P156" s="38">
        <v>277.84819800000002</v>
      </c>
      <c r="Q156" s="38">
        <v>477.58456899999999</v>
      </c>
      <c r="R156" s="38">
        <v>318.811397</v>
      </c>
      <c r="S156" s="38">
        <v>355.99679600000002</v>
      </c>
      <c r="T156" s="38" t="s">
        <v>916</v>
      </c>
    </row>
    <row r="157" spans="1:20" ht="30" x14ac:dyDescent="0.35">
      <c r="A157" t="str">
        <f t="shared" si="6"/>
        <v>New Zealand</v>
      </c>
      <c r="B157" t="str">
        <f t="shared" si="5"/>
        <v>Screened, not targeted</v>
      </c>
      <c r="C157" s="39"/>
      <c r="D157" s="40"/>
      <c r="E157" s="37" t="s">
        <v>911</v>
      </c>
      <c r="F157" s="37" t="s">
        <v>912</v>
      </c>
      <c r="G157" s="35" t="s">
        <v>906</v>
      </c>
      <c r="H157" s="41" t="s">
        <v>916</v>
      </c>
      <c r="I157" s="41" t="s">
        <v>916</v>
      </c>
      <c r="J157" s="41" t="s">
        <v>916</v>
      </c>
      <c r="K157" s="41" t="s">
        <v>916</v>
      </c>
      <c r="L157" s="41" t="s">
        <v>916</v>
      </c>
      <c r="M157" s="41" t="s">
        <v>916</v>
      </c>
      <c r="N157" s="41" t="s">
        <v>916</v>
      </c>
      <c r="O157" s="41">
        <v>372.22871400000002</v>
      </c>
      <c r="P157" s="41">
        <v>332.04813999999999</v>
      </c>
      <c r="Q157" s="41">
        <v>505.79145899999997</v>
      </c>
      <c r="R157" s="41">
        <v>331.35155900000001</v>
      </c>
      <c r="S157" s="41">
        <v>355.99679600000002</v>
      </c>
      <c r="T157" s="41" t="s">
        <v>916</v>
      </c>
    </row>
    <row r="158" spans="1:20" ht="20.100000000000001" x14ac:dyDescent="0.35">
      <c r="A158" t="str">
        <f t="shared" si="6"/>
        <v>New Zealand</v>
      </c>
      <c r="B158" t="str">
        <f t="shared" si="5"/>
        <v>Not screened</v>
      </c>
      <c r="C158" s="39"/>
      <c r="D158" s="36" t="s">
        <v>915</v>
      </c>
      <c r="E158" s="37" t="s">
        <v>909</v>
      </c>
      <c r="F158" s="37" t="s">
        <v>910</v>
      </c>
      <c r="G158" s="35" t="s">
        <v>906</v>
      </c>
      <c r="H158" s="38" t="s">
        <v>916</v>
      </c>
      <c r="I158" s="38" t="s">
        <v>916</v>
      </c>
      <c r="J158" s="38" t="s">
        <v>916</v>
      </c>
      <c r="K158" s="38" t="s">
        <v>916</v>
      </c>
      <c r="L158" s="38" t="s">
        <v>916</v>
      </c>
      <c r="M158" s="38" t="s">
        <v>916</v>
      </c>
      <c r="N158" s="38" t="s">
        <v>916</v>
      </c>
      <c r="O158" s="38" t="s">
        <v>916</v>
      </c>
      <c r="P158" s="38">
        <v>0.216201</v>
      </c>
      <c r="Q158" s="38">
        <v>0.249747</v>
      </c>
      <c r="R158" s="38" t="s">
        <v>916</v>
      </c>
      <c r="S158" s="38" t="s">
        <v>916</v>
      </c>
      <c r="T158" s="38" t="s">
        <v>916</v>
      </c>
    </row>
    <row r="159" spans="1:20" ht="30" x14ac:dyDescent="0.35">
      <c r="A159" t="str">
        <f t="shared" si="6"/>
        <v>New Zealand</v>
      </c>
      <c r="B159" t="str">
        <f t="shared" si="5"/>
        <v>Not screened</v>
      </c>
      <c r="C159" s="40"/>
      <c r="D159" s="40"/>
      <c r="E159" s="37" t="s">
        <v>911</v>
      </c>
      <c r="F159" s="37" t="s">
        <v>912</v>
      </c>
      <c r="G159" s="35" t="s">
        <v>906</v>
      </c>
      <c r="H159" s="41" t="s">
        <v>916</v>
      </c>
      <c r="I159" s="41" t="s">
        <v>916</v>
      </c>
      <c r="J159" s="41" t="s">
        <v>916</v>
      </c>
      <c r="K159" s="41" t="s">
        <v>916</v>
      </c>
      <c r="L159" s="41" t="s">
        <v>916</v>
      </c>
      <c r="M159" s="41" t="s">
        <v>916</v>
      </c>
      <c r="N159" s="41" t="s">
        <v>916</v>
      </c>
      <c r="O159" s="41" t="s">
        <v>916</v>
      </c>
      <c r="P159" s="41">
        <v>0.25837500000000002</v>
      </c>
      <c r="Q159" s="41">
        <v>0.26449800000000001</v>
      </c>
      <c r="R159" s="41" t="s">
        <v>916</v>
      </c>
      <c r="S159" s="41" t="s">
        <v>916</v>
      </c>
      <c r="T159" s="41" t="s">
        <v>916</v>
      </c>
    </row>
    <row r="160" spans="1:20" ht="20.100000000000001" x14ac:dyDescent="0.35">
      <c r="A160" t="str">
        <f t="shared" si="6"/>
        <v>Norway</v>
      </c>
      <c r="B160" t="str">
        <f t="shared" si="5"/>
        <v>Principal</v>
      </c>
      <c r="C160" s="36" t="s">
        <v>172</v>
      </c>
      <c r="D160" s="36" t="s">
        <v>908</v>
      </c>
      <c r="E160" s="37" t="s">
        <v>909</v>
      </c>
      <c r="F160" s="37" t="s">
        <v>910</v>
      </c>
      <c r="G160" s="35" t="s">
        <v>906</v>
      </c>
      <c r="H160" s="38" t="s">
        <v>916</v>
      </c>
      <c r="I160" s="38" t="s">
        <v>916</v>
      </c>
      <c r="J160" s="38" t="s">
        <v>916</v>
      </c>
      <c r="K160" s="38" t="s">
        <v>916</v>
      </c>
      <c r="L160" s="38" t="s">
        <v>916</v>
      </c>
      <c r="M160" s="38" t="s">
        <v>916</v>
      </c>
      <c r="N160" s="38" t="s">
        <v>916</v>
      </c>
      <c r="O160" s="38">
        <v>30.156528000000002</v>
      </c>
      <c r="P160" s="38">
        <v>225.11441500000001</v>
      </c>
      <c r="Q160" s="38">
        <v>239.35379</v>
      </c>
      <c r="R160" s="38">
        <v>32.443410999999998</v>
      </c>
      <c r="S160" s="38">
        <v>106.762056</v>
      </c>
      <c r="T160" s="38" t="s">
        <v>916</v>
      </c>
    </row>
    <row r="161" spans="1:20" ht="30" x14ac:dyDescent="0.35">
      <c r="A161" t="str">
        <f t="shared" si="6"/>
        <v>Norway</v>
      </c>
      <c r="B161" t="str">
        <f t="shared" si="5"/>
        <v>Principal</v>
      </c>
      <c r="C161" s="39"/>
      <c r="D161" s="40"/>
      <c r="E161" s="37" t="s">
        <v>911</v>
      </c>
      <c r="F161" s="37" t="s">
        <v>912</v>
      </c>
      <c r="G161" s="35" t="s">
        <v>906</v>
      </c>
      <c r="H161" s="41" t="s">
        <v>916</v>
      </c>
      <c r="I161" s="41" t="s">
        <v>916</v>
      </c>
      <c r="J161" s="41" t="s">
        <v>916</v>
      </c>
      <c r="K161" s="41" t="s">
        <v>916</v>
      </c>
      <c r="L161" s="41" t="s">
        <v>916</v>
      </c>
      <c r="M161" s="41" t="s">
        <v>916</v>
      </c>
      <c r="N161" s="41" t="s">
        <v>916</v>
      </c>
      <c r="O161" s="41">
        <v>38.601765999999998</v>
      </c>
      <c r="P161" s="41">
        <v>261.13765699999999</v>
      </c>
      <c r="Q161" s="41">
        <v>241.229456</v>
      </c>
      <c r="R161" s="41">
        <v>33.000539000000003</v>
      </c>
      <c r="S161" s="41">
        <v>106.762056</v>
      </c>
      <c r="T161" s="41" t="s">
        <v>916</v>
      </c>
    </row>
    <row r="162" spans="1:20" ht="20.100000000000001" x14ac:dyDescent="0.35">
      <c r="A162" t="str">
        <f t="shared" si="6"/>
        <v>Norway</v>
      </c>
      <c r="B162" t="str">
        <f t="shared" si="5"/>
        <v>Significant</v>
      </c>
      <c r="C162" s="39"/>
      <c r="D162" s="36" t="s">
        <v>913</v>
      </c>
      <c r="E162" s="37" t="s">
        <v>909</v>
      </c>
      <c r="F162" s="37" t="s">
        <v>910</v>
      </c>
      <c r="G162" s="35" t="s">
        <v>906</v>
      </c>
      <c r="H162" s="38" t="s">
        <v>916</v>
      </c>
      <c r="I162" s="38" t="s">
        <v>916</v>
      </c>
      <c r="J162" s="38" t="s">
        <v>916</v>
      </c>
      <c r="K162" s="38" t="s">
        <v>916</v>
      </c>
      <c r="L162" s="38" t="s">
        <v>916</v>
      </c>
      <c r="M162" s="38" t="s">
        <v>916</v>
      </c>
      <c r="N162" s="38" t="s">
        <v>916</v>
      </c>
      <c r="O162" s="38">
        <v>196.38502700000001</v>
      </c>
      <c r="P162" s="38">
        <v>358.937973</v>
      </c>
      <c r="Q162" s="38">
        <v>97.989131999999998</v>
      </c>
      <c r="R162" s="38">
        <v>463.401636</v>
      </c>
      <c r="S162" s="38">
        <v>415.10398099999998</v>
      </c>
      <c r="T162" s="38" t="s">
        <v>916</v>
      </c>
    </row>
    <row r="163" spans="1:20" ht="30" x14ac:dyDescent="0.35">
      <c r="A163" t="str">
        <f t="shared" si="6"/>
        <v>Norway</v>
      </c>
      <c r="B163" t="str">
        <f t="shared" si="5"/>
        <v>Significant</v>
      </c>
      <c r="C163" s="39"/>
      <c r="D163" s="40"/>
      <c r="E163" s="37" t="s">
        <v>911</v>
      </c>
      <c r="F163" s="37" t="s">
        <v>912</v>
      </c>
      <c r="G163" s="35" t="s">
        <v>906</v>
      </c>
      <c r="H163" s="41" t="s">
        <v>916</v>
      </c>
      <c r="I163" s="41" t="s">
        <v>916</v>
      </c>
      <c r="J163" s="41" t="s">
        <v>916</v>
      </c>
      <c r="K163" s="41" t="s">
        <v>916</v>
      </c>
      <c r="L163" s="41" t="s">
        <v>916</v>
      </c>
      <c r="M163" s="41" t="s">
        <v>916</v>
      </c>
      <c r="N163" s="41" t="s">
        <v>916</v>
      </c>
      <c r="O163" s="41">
        <v>251.38199800000001</v>
      </c>
      <c r="P163" s="41">
        <v>416.375923</v>
      </c>
      <c r="Q163" s="41">
        <v>98.757012000000003</v>
      </c>
      <c r="R163" s="41">
        <v>471.35933199999999</v>
      </c>
      <c r="S163" s="41">
        <v>415.10398099999998</v>
      </c>
      <c r="T163" s="41" t="s">
        <v>916</v>
      </c>
    </row>
    <row r="164" spans="1:20" ht="20.100000000000001" customHeight="1" x14ac:dyDescent="0.35">
      <c r="A164" t="str">
        <f t="shared" si="6"/>
        <v>Norway</v>
      </c>
      <c r="B164" t="str">
        <f t="shared" si="5"/>
        <v>Screened, not targeted</v>
      </c>
      <c r="C164" s="39"/>
      <c r="D164" s="36" t="s">
        <v>914</v>
      </c>
      <c r="E164" s="37" t="s">
        <v>909</v>
      </c>
      <c r="F164" s="37" t="s">
        <v>910</v>
      </c>
      <c r="G164" s="35" t="s">
        <v>906</v>
      </c>
      <c r="H164" s="38" t="s">
        <v>916</v>
      </c>
      <c r="I164" s="38" t="s">
        <v>916</v>
      </c>
      <c r="J164" s="38" t="s">
        <v>916</v>
      </c>
      <c r="K164" s="38" t="s">
        <v>916</v>
      </c>
      <c r="L164" s="38" t="s">
        <v>916</v>
      </c>
      <c r="M164" s="38" t="s">
        <v>916</v>
      </c>
      <c r="N164" s="38" t="s">
        <v>916</v>
      </c>
      <c r="O164" s="38">
        <v>3693.744314</v>
      </c>
      <c r="P164" s="38">
        <v>3220.6982170000001</v>
      </c>
      <c r="Q164" s="38">
        <v>3410.5821580000002</v>
      </c>
      <c r="R164" s="38">
        <v>3044.3670670000001</v>
      </c>
      <c r="S164" s="38">
        <v>4099.3767159999998</v>
      </c>
      <c r="T164" s="38" t="s">
        <v>916</v>
      </c>
    </row>
    <row r="165" spans="1:20" ht="30" x14ac:dyDescent="0.35">
      <c r="A165" t="str">
        <f t="shared" si="6"/>
        <v>Norway</v>
      </c>
      <c r="B165" t="str">
        <f t="shared" si="5"/>
        <v>Screened, not targeted</v>
      </c>
      <c r="C165" s="39"/>
      <c r="D165" s="40"/>
      <c r="E165" s="37" t="s">
        <v>911</v>
      </c>
      <c r="F165" s="37" t="s">
        <v>912</v>
      </c>
      <c r="G165" s="35" t="s">
        <v>906</v>
      </c>
      <c r="H165" s="41" t="s">
        <v>916</v>
      </c>
      <c r="I165" s="41" t="s">
        <v>916</v>
      </c>
      <c r="J165" s="41" t="s">
        <v>916</v>
      </c>
      <c r="K165" s="41" t="s">
        <v>916</v>
      </c>
      <c r="L165" s="41" t="s">
        <v>916</v>
      </c>
      <c r="M165" s="41" t="s">
        <v>916</v>
      </c>
      <c r="N165" s="41" t="s">
        <v>916</v>
      </c>
      <c r="O165" s="41">
        <v>4728.165086</v>
      </c>
      <c r="P165" s="41">
        <v>3736.0805529999998</v>
      </c>
      <c r="Q165" s="41">
        <v>3437.3087540000001</v>
      </c>
      <c r="R165" s="41">
        <v>3096.6459840000002</v>
      </c>
      <c r="S165" s="41">
        <v>4099.3767159999998</v>
      </c>
      <c r="T165" s="41" t="s">
        <v>916</v>
      </c>
    </row>
    <row r="166" spans="1:20" ht="20.100000000000001" x14ac:dyDescent="0.35">
      <c r="A166" t="str">
        <f t="shared" si="6"/>
        <v>Norway</v>
      </c>
      <c r="B166" t="str">
        <f t="shared" si="5"/>
        <v>Not screened</v>
      </c>
      <c r="C166" s="39"/>
      <c r="D166" s="36" t="s">
        <v>915</v>
      </c>
      <c r="E166" s="37" t="s">
        <v>909</v>
      </c>
      <c r="F166" s="37" t="s">
        <v>910</v>
      </c>
      <c r="G166" s="35" t="s">
        <v>906</v>
      </c>
      <c r="H166" s="38" t="s">
        <v>916</v>
      </c>
      <c r="I166" s="38" t="s">
        <v>916</v>
      </c>
      <c r="J166" s="38" t="s">
        <v>916</v>
      </c>
      <c r="K166" s="38" t="s">
        <v>916</v>
      </c>
      <c r="L166" s="38" t="s">
        <v>916</v>
      </c>
      <c r="M166" s="38" t="s">
        <v>916</v>
      </c>
      <c r="N166" s="38" t="s">
        <v>916</v>
      </c>
      <c r="O166" s="38" t="s">
        <v>916</v>
      </c>
      <c r="P166" s="38" t="s">
        <v>916</v>
      </c>
      <c r="Q166" s="38">
        <v>-8.0856910000000006</v>
      </c>
      <c r="R166" s="38">
        <v>-15.995115999999999</v>
      </c>
      <c r="S166" s="38">
        <v>-6.1425640000000001</v>
      </c>
      <c r="T166" s="38" t="s">
        <v>916</v>
      </c>
    </row>
    <row r="167" spans="1:20" ht="30" x14ac:dyDescent="0.35">
      <c r="A167" t="str">
        <f t="shared" si="6"/>
        <v>Norway</v>
      </c>
      <c r="B167" t="str">
        <f t="shared" si="5"/>
        <v>Not screened</v>
      </c>
      <c r="C167" s="40"/>
      <c r="D167" s="40"/>
      <c r="E167" s="37" t="s">
        <v>911</v>
      </c>
      <c r="F167" s="37" t="s">
        <v>912</v>
      </c>
      <c r="G167" s="35" t="s">
        <v>906</v>
      </c>
      <c r="H167" s="41" t="s">
        <v>916</v>
      </c>
      <c r="I167" s="41" t="s">
        <v>916</v>
      </c>
      <c r="J167" s="41" t="s">
        <v>916</v>
      </c>
      <c r="K167" s="41" t="s">
        <v>916</v>
      </c>
      <c r="L167" s="41" t="s">
        <v>916</v>
      </c>
      <c r="M167" s="41" t="s">
        <v>916</v>
      </c>
      <c r="N167" s="41" t="s">
        <v>916</v>
      </c>
      <c r="O167" s="41" t="s">
        <v>916</v>
      </c>
      <c r="P167" s="41" t="s">
        <v>916</v>
      </c>
      <c r="Q167" s="41">
        <v>-8.1490530000000003</v>
      </c>
      <c r="R167" s="41">
        <v>-16.26979</v>
      </c>
      <c r="S167" s="41">
        <v>-6.1425640000000001</v>
      </c>
      <c r="T167" s="41" t="s">
        <v>916</v>
      </c>
    </row>
    <row r="168" spans="1:20" ht="20.100000000000001" x14ac:dyDescent="0.35">
      <c r="A168" t="str">
        <f t="shared" si="6"/>
        <v>Poland</v>
      </c>
      <c r="B168" t="str">
        <f t="shared" si="5"/>
        <v>Principal</v>
      </c>
      <c r="C168" s="36" t="s">
        <v>181</v>
      </c>
      <c r="D168" s="36" t="s">
        <v>908</v>
      </c>
      <c r="E168" s="37" t="s">
        <v>909</v>
      </c>
      <c r="F168" s="37" t="s">
        <v>910</v>
      </c>
      <c r="G168" s="35" t="s">
        <v>906</v>
      </c>
      <c r="H168" s="38" t="s">
        <v>916</v>
      </c>
      <c r="I168" s="38" t="s">
        <v>916</v>
      </c>
      <c r="J168" s="38" t="s">
        <v>916</v>
      </c>
      <c r="K168" s="38" t="s">
        <v>916</v>
      </c>
      <c r="L168" s="38" t="s">
        <v>916</v>
      </c>
      <c r="M168" s="38" t="s">
        <v>916</v>
      </c>
      <c r="N168" s="38" t="s">
        <v>916</v>
      </c>
      <c r="O168" s="38" t="s">
        <v>916</v>
      </c>
      <c r="P168" s="38" t="s">
        <v>916</v>
      </c>
      <c r="Q168" s="38" t="s">
        <v>916</v>
      </c>
      <c r="R168" s="38" t="s">
        <v>916</v>
      </c>
      <c r="S168" s="38">
        <v>4.3290819999999997</v>
      </c>
      <c r="T168" s="38" t="s">
        <v>916</v>
      </c>
    </row>
    <row r="169" spans="1:20" ht="30" x14ac:dyDescent="0.35">
      <c r="A169" t="str">
        <f t="shared" si="6"/>
        <v>Poland</v>
      </c>
      <c r="B169" t="str">
        <f t="shared" si="5"/>
        <v>Principal</v>
      </c>
      <c r="C169" s="39"/>
      <c r="D169" s="40"/>
      <c r="E169" s="37" t="s">
        <v>911</v>
      </c>
      <c r="F169" s="37" t="s">
        <v>912</v>
      </c>
      <c r="G169" s="35" t="s">
        <v>906</v>
      </c>
      <c r="H169" s="41" t="s">
        <v>916</v>
      </c>
      <c r="I169" s="41" t="s">
        <v>916</v>
      </c>
      <c r="J169" s="41" t="s">
        <v>916</v>
      </c>
      <c r="K169" s="41" t="s">
        <v>916</v>
      </c>
      <c r="L169" s="41" t="s">
        <v>916</v>
      </c>
      <c r="M169" s="41" t="s">
        <v>916</v>
      </c>
      <c r="N169" s="41" t="s">
        <v>916</v>
      </c>
      <c r="O169" s="41" t="s">
        <v>916</v>
      </c>
      <c r="P169" s="41" t="s">
        <v>916</v>
      </c>
      <c r="Q169" s="41" t="s">
        <v>916</v>
      </c>
      <c r="R169" s="41" t="s">
        <v>916</v>
      </c>
      <c r="S169" s="41">
        <v>4.3290819999999997</v>
      </c>
      <c r="T169" s="41" t="s">
        <v>916</v>
      </c>
    </row>
    <row r="170" spans="1:20" ht="20.100000000000001" x14ac:dyDescent="0.35">
      <c r="A170" t="str">
        <f t="shared" si="6"/>
        <v>Poland</v>
      </c>
      <c r="B170" t="str">
        <f t="shared" si="5"/>
        <v>Significant</v>
      </c>
      <c r="C170" s="39"/>
      <c r="D170" s="36" t="s">
        <v>913</v>
      </c>
      <c r="E170" s="37" t="s">
        <v>909</v>
      </c>
      <c r="F170" s="37" t="s">
        <v>910</v>
      </c>
      <c r="G170" s="35" t="s">
        <v>906</v>
      </c>
      <c r="H170" s="38" t="s">
        <v>916</v>
      </c>
      <c r="I170" s="38" t="s">
        <v>916</v>
      </c>
      <c r="J170" s="38" t="s">
        <v>916</v>
      </c>
      <c r="K170" s="38" t="s">
        <v>916</v>
      </c>
      <c r="L170" s="38" t="s">
        <v>916</v>
      </c>
      <c r="M170" s="38" t="s">
        <v>916</v>
      </c>
      <c r="N170" s="38" t="s">
        <v>916</v>
      </c>
      <c r="O170" s="38" t="s">
        <v>916</v>
      </c>
      <c r="P170" s="38" t="s">
        <v>916</v>
      </c>
      <c r="Q170" s="38" t="s">
        <v>916</v>
      </c>
      <c r="R170" s="38" t="s">
        <v>916</v>
      </c>
      <c r="S170" s="38">
        <v>1.082155</v>
      </c>
      <c r="T170" s="38" t="s">
        <v>916</v>
      </c>
    </row>
    <row r="171" spans="1:20" ht="30" x14ac:dyDescent="0.35">
      <c r="A171" t="str">
        <f t="shared" si="6"/>
        <v>Poland</v>
      </c>
      <c r="B171" t="str">
        <f t="shared" si="5"/>
        <v>Significant</v>
      </c>
      <c r="C171" s="39"/>
      <c r="D171" s="40"/>
      <c r="E171" s="37" t="s">
        <v>911</v>
      </c>
      <c r="F171" s="37" t="s">
        <v>912</v>
      </c>
      <c r="G171" s="35" t="s">
        <v>906</v>
      </c>
      <c r="H171" s="41" t="s">
        <v>916</v>
      </c>
      <c r="I171" s="41" t="s">
        <v>916</v>
      </c>
      <c r="J171" s="41" t="s">
        <v>916</v>
      </c>
      <c r="K171" s="41" t="s">
        <v>916</v>
      </c>
      <c r="L171" s="41" t="s">
        <v>916</v>
      </c>
      <c r="M171" s="41" t="s">
        <v>916</v>
      </c>
      <c r="N171" s="41" t="s">
        <v>916</v>
      </c>
      <c r="O171" s="41" t="s">
        <v>916</v>
      </c>
      <c r="P171" s="41" t="s">
        <v>916</v>
      </c>
      <c r="Q171" s="41" t="s">
        <v>916</v>
      </c>
      <c r="R171" s="41" t="s">
        <v>916</v>
      </c>
      <c r="S171" s="41">
        <v>1.082155</v>
      </c>
      <c r="T171" s="41" t="s">
        <v>916</v>
      </c>
    </row>
    <row r="172" spans="1:20" ht="20.100000000000001" customHeight="1" x14ac:dyDescent="0.35">
      <c r="A172" t="str">
        <f t="shared" si="6"/>
        <v>Poland</v>
      </c>
      <c r="B172" t="str">
        <f t="shared" si="5"/>
        <v>Screened, not targeted</v>
      </c>
      <c r="C172" s="39"/>
      <c r="D172" s="36" t="s">
        <v>914</v>
      </c>
      <c r="E172" s="37" t="s">
        <v>909</v>
      </c>
      <c r="F172" s="37" t="s">
        <v>910</v>
      </c>
      <c r="G172" s="35" t="s">
        <v>906</v>
      </c>
      <c r="H172" s="38" t="s">
        <v>916</v>
      </c>
      <c r="I172" s="38" t="s">
        <v>916</v>
      </c>
      <c r="J172" s="38" t="s">
        <v>916</v>
      </c>
      <c r="K172" s="38" t="s">
        <v>916</v>
      </c>
      <c r="L172" s="38" t="s">
        <v>916</v>
      </c>
      <c r="M172" s="38" t="s">
        <v>916</v>
      </c>
      <c r="N172" s="38" t="s">
        <v>916</v>
      </c>
      <c r="O172" s="38" t="s">
        <v>916</v>
      </c>
      <c r="P172" s="38" t="s">
        <v>916</v>
      </c>
      <c r="Q172" s="38" t="s">
        <v>916</v>
      </c>
      <c r="R172" s="38" t="s">
        <v>916</v>
      </c>
      <c r="S172" s="38">
        <v>70.834145000000007</v>
      </c>
      <c r="T172" s="38" t="s">
        <v>916</v>
      </c>
    </row>
    <row r="173" spans="1:20" ht="30" x14ac:dyDescent="0.35">
      <c r="A173" t="str">
        <f t="shared" si="6"/>
        <v>Poland</v>
      </c>
      <c r="B173" t="str">
        <f t="shared" si="5"/>
        <v>Screened, not targeted</v>
      </c>
      <c r="C173" s="39"/>
      <c r="D173" s="40"/>
      <c r="E173" s="37" t="s">
        <v>911</v>
      </c>
      <c r="F173" s="37" t="s">
        <v>912</v>
      </c>
      <c r="G173" s="35" t="s">
        <v>906</v>
      </c>
      <c r="H173" s="41" t="s">
        <v>916</v>
      </c>
      <c r="I173" s="41" t="s">
        <v>916</v>
      </c>
      <c r="J173" s="41" t="s">
        <v>916</v>
      </c>
      <c r="K173" s="41" t="s">
        <v>916</v>
      </c>
      <c r="L173" s="41" t="s">
        <v>916</v>
      </c>
      <c r="M173" s="41" t="s">
        <v>916</v>
      </c>
      <c r="N173" s="41" t="s">
        <v>916</v>
      </c>
      <c r="O173" s="41" t="s">
        <v>916</v>
      </c>
      <c r="P173" s="41" t="s">
        <v>916</v>
      </c>
      <c r="Q173" s="41" t="s">
        <v>916</v>
      </c>
      <c r="R173" s="41" t="s">
        <v>916</v>
      </c>
      <c r="S173" s="41">
        <v>70.834145000000007</v>
      </c>
      <c r="T173" s="41" t="s">
        <v>916</v>
      </c>
    </row>
    <row r="174" spans="1:20" ht="20.100000000000001" x14ac:dyDescent="0.35">
      <c r="A174" t="str">
        <f t="shared" si="6"/>
        <v>Poland</v>
      </c>
      <c r="B174" t="str">
        <f t="shared" si="5"/>
        <v>Not screened</v>
      </c>
      <c r="C174" s="39"/>
      <c r="D174" s="36" t="s">
        <v>915</v>
      </c>
      <c r="E174" s="37" t="s">
        <v>909</v>
      </c>
      <c r="F174" s="37" t="s">
        <v>910</v>
      </c>
      <c r="G174" s="35" t="s">
        <v>906</v>
      </c>
      <c r="H174" s="38" t="s">
        <v>916</v>
      </c>
      <c r="I174" s="38" t="s">
        <v>916</v>
      </c>
      <c r="J174" s="38" t="s">
        <v>916</v>
      </c>
      <c r="K174" s="38" t="s">
        <v>916</v>
      </c>
      <c r="L174" s="38" t="s">
        <v>916</v>
      </c>
      <c r="M174" s="38" t="s">
        <v>916</v>
      </c>
      <c r="N174" s="38" t="s">
        <v>916</v>
      </c>
      <c r="O174" s="38" t="s">
        <v>916</v>
      </c>
      <c r="P174" s="38" t="s">
        <v>916</v>
      </c>
      <c r="Q174" s="38" t="s">
        <v>916</v>
      </c>
      <c r="R174" s="38" t="s">
        <v>916</v>
      </c>
      <c r="S174" s="38" t="s">
        <v>916</v>
      </c>
      <c r="T174" s="38" t="s">
        <v>916</v>
      </c>
    </row>
    <row r="175" spans="1:20" ht="30" x14ac:dyDescent="0.35">
      <c r="A175" t="str">
        <f t="shared" si="6"/>
        <v>Poland</v>
      </c>
      <c r="B175" t="str">
        <f t="shared" si="5"/>
        <v>Not screened</v>
      </c>
      <c r="C175" s="40"/>
      <c r="D175" s="40"/>
      <c r="E175" s="37" t="s">
        <v>911</v>
      </c>
      <c r="F175" s="37" t="s">
        <v>912</v>
      </c>
      <c r="G175" s="35" t="s">
        <v>906</v>
      </c>
      <c r="H175" s="41" t="s">
        <v>916</v>
      </c>
      <c r="I175" s="41" t="s">
        <v>916</v>
      </c>
      <c r="J175" s="41" t="s">
        <v>916</v>
      </c>
      <c r="K175" s="41" t="s">
        <v>916</v>
      </c>
      <c r="L175" s="41" t="s">
        <v>916</v>
      </c>
      <c r="M175" s="41" t="s">
        <v>916</v>
      </c>
      <c r="N175" s="41" t="s">
        <v>916</v>
      </c>
      <c r="O175" s="41" t="s">
        <v>916</v>
      </c>
      <c r="P175" s="41" t="s">
        <v>916</v>
      </c>
      <c r="Q175" s="41" t="s">
        <v>916</v>
      </c>
      <c r="R175" s="41" t="s">
        <v>916</v>
      </c>
      <c r="S175" s="41" t="s">
        <v>916</v>
      </c>
      <c r="T175" s="41" t="s">
        <v>916</v>
      </c>
    </row>
    <row r="176" spans="1:20" ht="20.100000000000001" x14ac:dyDescent="0.35">
      <c r="A176" t="str">
        <f t="shared" si="6"/>
        <v>Portugal</v>
      </c>
      <c r="B176" t="str">
        <f t="shared" si="5"/>
        <v>Principal</v>
      </c>
      <c r="C176" s="36" t="s">
        <v>182</v>
      </c>
      <c r="D176" s="36" t="s">
        <v>908</v>
      </c>
      <c r="E176" s="37" t="s">
        <v>909</v>
      </c>
      <c r="F176" s="37" t="s">
        <v>910</v>
      </c>
      <c r="G176" s="35" t="s">
        <v>906</v>
      </c>
      <c r="H176" s="38" t="s">
        <v>916</v>
      </c>
      <c r="I176" s="38" t="s">
        <v>916</v>
      </c>
      <c r="J176" s="38" t="s">
        <v>916</v>
      </c>
      <c r="K176" s="38" t="s">
        <v>916</v>
      </c>
      <c r="L176" s="38" t="s">
        <v>916</v>
      </c>
      <c r="M176" s="38" t="s">
        <v>916</v>
      </c>
      <c r="N176" s="38" t="s">
        <v>916</v>
      </c>
      <c r="O176" s="38">
        <v>1.0540400000000001</v>
      </c>
      <c r="P176" s="38">
        <v>0.55533500000000002</v>
      </c>
      <c r="Q176" s="38">
        <v>0.42825400000000002</v>
      </c>
      <c r="R176" s="38">
        <v>0.21208199999999999</v>
      </c>
      <c r="S176" s="38">
        <v>0.143988</v>
      </c>
      <c r="T176" s="38" t="s">
        <v>916</v>
      </c>
    </row>
    <row r="177" spans="1:20" ht="30" x14ac:dyDescent="0.35">
      <c r="A177" t="str">
        <f t="shared" si="6"/>
        <v>Portugal</v>
      </c>
      <c r="B177" t="str">
        <f t="shared" si="5"/>
        <v>Principal</v>
      </c>
      <c r="C177" s="39"/>
      <c r="D177" s="40"/>
      <c r="E177" s="37" t="s">
        <v>911</v>
      </c>
      <c r="F177" s="37" t="s">
        <v>912</v>
      </c>
      <c r="G177" s="35" t="s">
        <v>906</v>
      </c>
      <c r="H177" s="41" t="s">
        <v>916</v>
      </c>
      <c r="I177" s="41" t="s">
        <v>916</v>
      </c>
      <c r="J177" s="41" t="s">
        <v>916</v>
      </c>
      <c r="K177" s="41" t="s">
        <v>916</v>
      </c>
      <c r="L177" s="41" t="s">
        <v>916</v>
      </c>
      <c r="M177" s="41" t="s">
        <v>916</v>
      </c>
      <c r="N177" s="41" t="s">
        <v>916</v>
      </c>
      <c r="O177" s="41">
        <v>1.028125</v>
      </c>
      <c r="P177" s="41">
        <v>0.56554199999999999</v>
      </c>
      <c r="Q177" s="41">
        <v>0.41669299999999998</v>
      </c>
      <c r="R177" s="41">
        <v>0.22412399999999999</v>
      </c>
      <c r="S177" s="41">
        <v>0.143988</v>
      </c>
      <c r="T177" s="41" t="s">
        <v>916</v>
      </c>
    </row>
    <row r="178" spans="1:20" ht="20.100000000000001" x14ac:dyDescent="0.35">
      <c r="A178" t="str">
        <f t="shared" si="6"/>
        <v>Portugal</v>
      </c>
      <c r="B178" t="str">
        <f t="shared" si="5"/>
        <v>Significant</v>
      </c>
      <c r="C178" s="39"/>
      <c r="D178" s="36" t="s">
        <v>913</v>
      </c>
      <c r="E178" s="37" t="s">
        <v>909</v>
      </c>
      <c r="F178" s="37" t="s">
        <v>910</v>
      </c>
      <c r="G178" s="35" t="s">
        <v>906</v>
      </c>
      <c r="H178" s="38" t="s">
        <v>916</v>
      </c>
      <c r="I178" s="38" t="s">
        <v>916</v>
      </c>
      <c r="J178" s="38" t="s">
        <v>916</v>
      </c>
      <c r="K178" s="38" t="s">
        <v>916</v>
      </c>
      <c r="L178" s="38" t="s">
        <v>916</v>
      </c>
      <c r="M178" s="38" t="s">
        <v>916</v>
      </c>
      <c r="N178" s="38" t="s">
        <v>916</v>
      </c>
      <c r="O178" s="38">
        <v>2.8935170000000001</v>
      </c>
      <c r="P178" s="38">
        <v>3.7204000000000002</v>
      </c>
      <c r="Q178" s="38">
        <v>4.1560059999999996</v>
      </c>
      <c r="R178" s="38">
        <v>0.52570700000000004</v>
      </c>
      <c r="S178" s="38">
        <v>1.187346</v>
      </c>
      <c r="T178" s="38" t="s">
        <v>916</v>
      </c>
    </row>
    <row r="179" spans="1:20" ht="30" x14ac:dyDescent="0.35">
      <c r="A179" t="str">
        <f t="shared" si="6"/>
        <v>Portugal</v>
      </c>
      <c r="B179" t="str">
        <f t="shared" si="5"/>
        <v>Significant</v>
      </c>
      <c r="C179" s="39"/>
      <c r="D179" s="40"/>
      <c r="E179" s="37" t="s">
        <v>911</v>
      </c>
      <c r="F179" s="37" t="s">
        <v>912</v>
      </c>
      <c r="G179" s="35" t="s">
        <v>906</v>
      </c>
      <c r="H179" s="41" t="s">
        <v>916</v>
      </c>
      <c r="I179" s="41" t="s">
        <v>916</v>
      </c>
      <c r="J179" s="41" t="s">
        <v>916</v>
      </c>
      <c r="K179" s="41" t="s">
        <v>916</v>
      </c>
      <c r="L179" s="41" t="s">
        <v>916</v>
      </c>
      <c r="M179" s="41" t="s">
        <v>916</v>
      </c>
      <c r="N179" s="41" t="s">
        <v>916</v>
      </c>
      <c r="O179" s="41">
        <v>2.822381</v>
      </c>
      <c r="P179" s="41">
        <v>3.7887810000000002</v>
      </c>
      <c r="Q179" s="41">
        <v>4.0438000000000001</v>
      </c>
      <c r="R179" s="41">
        <v>0.55555500000000002</v>
      </c>
      <c r="S179" s="41">
        <v>1.187346</v>
      </c>
      <c r="T179" s="41" t="s">
        <v>916</v>
      </c>
    </row>
    <row r="180" spans="1:20" ht="20.100000000000001" customHeight="1" x14ac:dyDescent="0.35">
      <c r="A180" t="str">
        <f t="shared" si="6"/>
        <v>Portugal</v>
      </c>
      <c r="B180" t="str">
        <f t="shared" si="5"/>
        <v>Screened, not targeted</v>
      </c>
      <c r="C180" s="39"/>
      <c r="D180" s="36" t="s">
        <v>914</v>
      </c>
      <c r="E180" s="37" t="s">
        <v>909</v>
      </c>
      <c r="F180" s="37" t="s">
        <v>910</v>
      </c>
      <c r="G180" s="35" t="s">
        <v>906</v>
      </c>
      <c r="H180" s="38" t="s">
        <v>916</v>
      </c>
      <c r="I180" s="38" t="s">
        <v>916</v>
      </c>
      <c r="J180" s="38" t="s">
        <v>916</v>
      </c>
      <c r="K180" s="38" t="s">
        <v>916</v>
      </c>
      <c r="L180" s="38" t="s">
        <v>916</v>
      </c>
      <c r="M180" s="38" t="s">
        <v>916</v>
      </c>
      <c r="N180" s="38" t="s">
        <v>916</v>
      </c>
      <c r="O180" s="38">
        <v>328.72608300000002</v>
      </c>
      <c r="P180" s="38">
        <v>336.615678</v>
      </c>
      <c r="Q180" s="38">
        <v>439.352057</v>
      </c>
      <c r="R180" s="38">
        <v>372.71207500000003</v>
      </c>
      <c r="S180" s="38">
        <v>286.59753499999999</v>
      </c>
      <c r="T180" s="38" t="s">
        <v>916</v>
      </c>
    </row>
    <row r="181" spans="1:20" ht="30" x14ac:dyDescent="0.35">
      <c r="A181" t="str">
        <f t="shared" si="6"/>
        <v>Portugal</v>
      </c>
      <c r="B181" t="str">
        <f t="shared" si="5"/>
        <v>Screened, not targeted</v>
      </c>
      <c r="C181" s="39"/>
      <c r="D181" s="40"/>
      <c r="E181" s="37" t="s">
        <v>911</v>
      </c>
      <c r="F181" s="37" t="s">
        <v>912</v>
      </c>
      <c r="G181" s="35" t="s">
        <v>906</v>
      </c>
      <c r="H181" s="41" t="s">
        <v>916</v>
      </c>
      <c r="I181" s="41" t="s">
        <v>916</v>
      </c>
      <c r="J181" s="41" t="s">
        <v>916</v>
      </c>
      <c r="K181" s="41" t="s">
        <v>916</v>
      </c>
      <c r="L181" s="41" t="s">
        <v>916</v>
      </c>
      <c r="M181" s="41" t="s">
        <v>916</v>
      </c>
      <c r="N181" s="41" t="s">
        <v>916</v>
      </c>
      <c r="O181" s="41">
        <v>320.64437600000002</v>
      </c>
      <c r="P181" s="41">
        <v>342.80269500000003</v>
      </c>
      <c r="Q181" s="41">
        <v>427.49025399999999</v>
      </c>
      <c r="R181" s="41">
        <v>393.87426299999998</v>
      </c>
      <c r="S181" s="41">
        <v>286.59753499999999</v>
      </c>
      <c r="T181" s="41" t="s">
        <v>916</v>
      </c>
    </row>
    <row r="182" spans="1:20" ht="20.100000000000001" x14ac:dyDescent="0.35">
      <c r="A182" t="str">
        <f t="shared" si="6"/>
        <v>Portugal</v>
      </c>
      <c r="B182" t="str">
        <f t="shared" si="5"/>
        <v>Not screened</v>
      </c>
      <c r="C182" s="39"/>
      <c r="D182" s="36" t="s">
        <v>915</v>
      </c>
      <c r="E182" s="37" t="s">
        <v>909</v>
      </c>
      <c r="F182" s="37" t="s">
        <v>910</v>
      </c>
      <c r="G182" s="35" t="s">
        <v>906</v>
      </c>
      <c r="H182" s="38" t="s">
        <v>916</v>
      </c>
      <c r="I182" s="38" t="s">
        <v>916</v>
      </c>
      <c r="J182" s="38" t="s">
        <v>916</v>
      </c>
      <c r="K182" s="38" t="s">
        <v>916</v>
      </c>
      <c r="L182" s="38" t="s">
        <v>916</v>
      </c>
      <c r="M182" s="38" t="s">
        <v>916</v>
      </c>
      <c r="N182" s="38" t="s">
        <v>916</v>
      </c>
      <c r="O182" s="38">
        <v>18.729652999999999</v>
      </c>
      <c r="P182" s="38">
        <v>54.802152999999997</v>
      </c>
      <c r="Q182" s="38">
        <v>35.577030999999998</v>
      </c>
      <c r="R182" s="38">
        <v>28.19023</v>
      </c>
      <c r="S182" s="38">
        <v>30.162082999999999</v>
      </c>
      <c r="T182" s="38" t="s">
        <v>916</v>
      </c>
    </row>
    <row r="183" spans="1:20" ht="30" x14ac:dyDescent="0.35">
      <c r="A183" t="str">
        <f t="shared" si="6"/>
        <v>Portugal</v>
      </c>
      <c r="B183" t="str">
        <f t="shared" si="5"/>
        <v>Not screened</v>
      </c>
      <c r="C183" s="40"/>
      <c r="D183" s="40"/>
      <c r="E183" s="37" t="s">
        <v>911</v>
      </c>
      <c r="F183" s="37" t="s">
        <v>912</v>
      </c>
      <c r="G183" s="35" t="s">
        <v>906</v>
      </c>
      <c r="H183" s="41" t="s">
        <v>916</v>
      </c>
      <c r="I183" s="41" t="s">
        <v>916</v>
      </c>
      <c r="J183" s="41" t="s">
        <v>916</v>
      </c>
      <c r="K183" s="41" t="s">
        <v>916</v>
      </c>
      <c r="L183" s="41" t="s">
        <v>916</v>
      </c>
      <c r="M183" s="41" t="s">
        <v>916</v>
      </c>
      <c r="N183" s="41" t="s">
        <v>916</v>
      </c>
      <c r="O183" s="41">
        <v>18.269186999999999</v>
      </c>
      <c r="P183" s="41">
        <v>55.809418000000001</v>
      </c>
      <c r="Q183" s="41">
        <v>34.616506000000001</v>
      </c>
      <c r="R183" s="41">
        <v>29.790842000000001</v>
      </c>
      <c r="S183" s="41">
        <v>30.162082999999999</v>
      </c>
      <c r="T183" s="41" t="s">
        <v>916</v>
      </c>
    </row>
    <row r="184" spans="1:20" ht="20.100000000000001" x14ac:dyDescent="0.35">
      <c r="A184" t="str">
        <f t="shared" si="6"/>
        <v>Slovak Republic</v>
      </c>
      <c r="B184" t="str">
        <f t="shared" si="5"/>
        <v>Principal</v>
      </c>
      <c r="C184" s="36" t="s">
        <v>753</v>
      </c>
      <c r="D184" s="36" t="s">
        <v>908</v>
      </c>
      <c r="E184" s="37" t="s">
        <v>909</v>
      </c>
      <c r="F184" s="37" t="s">
        <v>910</v>
      </c>
      <c r="G184" s="35" t="s">
        <v>906</v>
      </c>
      <c r="H184" s="38" t="s">
        <v>916</v>
      </c>
      <c r="I184" s="38" t="s">
        <v>916</v>
      </c>
      <c r="J184" s="38" t="s">
        <v>916</v>
      </c>
      <c r="K184" s="38" t="s">
        <v>916</v>
      </c>
      <c r="L184" s="38" t="s">
        <v>916</v>
      </c>
      <c r="M184" s="38" t="s">
        <v>916</v>
      </c>
      <c r="N184" s="38" t="s">
        <v>916</v>
      </c>
      <c r="O184" s="38" t="s">
        <v>916</v>
      </c>
      <c r="P184" s="38" t="s">
        <v>916</v>
      </c>
      <c r="Q184" s="38" t="s">
        <v>916</v>
      </c>
      <c r="R184" s="38" t="s">
        <v>916</v>
      </c>
      <c r="S184" s="38" t="s">
        <v>916</v>
      </c>
      <c r="T184" s="38" t="s">
        <v>916</v>
      </c>
    </row>
    <row r="185" spans="1:20" ht="30" x14ac:dyDescent="0.35">
      <c r="A185" t="str">
        <f t="shared" si="6"/>
        <v>Slovak Republic</v>
      </c>
      <c r="B185" t="str">
        <f t="shared" si="5"/>
        <v>Principal</v>
      </c>
      <c r="C185" s="39"/>
      <c r="D185" s="40"/>
      <c r="E185" s="37" t="s">
        <v>911</v>
      </c>
      <c r="F185" s="37" t="s">
        <v>912</v>
      </c>
      <c r="G185" s="35" t="s">
        <v>906</v>
      </c>
      <c r="H185" s="41" t="s">
        <v>916</v>
      </c>
      <c r="I185" s="41" t="s">
        <v>916</v>
      </c>
      <c r="J185" s="41" t="s">
        <v>916</v>
      </c>
      <c r="K185" s="41" t="s">
        <v>916</v>
      </c>
      <c r="L185" s="41" t="s">
        <v>916</v>
      </c>
      <c r="M185" s="41" t="s">
        <v>916</v>
      </c>
      <c r="N185" s="41" t="s">
        <v>916</v>
      </c>
      <c r="O185" s="41" t="s">
        <v>916</v>
      </c>
      <c r="P185" s="41" t="s">
        <v>916</v>
      </c>
      <c r="Q185" s="41" t="s">
        <v>916</v>
      </c>
      <c r="R185" s="41" t="s">
        <v>916</v>
      </c>
      <c r="S185" s="41" t="s">
        <v>916</v>
      </c>
      <c r="T185" s="41" t="s">
        <v>916</v>
      </c>
    </row>
    <row r="186" spans="1:20" ht="20.100000000000001" x14ac:dyDescent="0.35">
      <c r="A186" t="str">
        <f t="shared" si="6"/>
        <v>Slovak Republic</v>
      </c>
      <c r="B186" t="str">
        <f t="shared" si="5"/>
        <v>Significant</v>
      </c>
      <c r="C186" s="39"/>
      <c r="D186" s="36" t="s">
        <v>913</v>
      </c>
      <c r="E186" s="37" t="s">
        <v>909</v>
      </c>
      <c r="F186" s="37" t="s">
        <v>910</v>
      </c>
      <c r="G186" s="35" t="s">
        <v>906</v>
      </c>
      <c r="H186" s="38" t="s">
        <v>916</v>
      </c>
      <c r="I186" s="38" t="s">
        <v>916</v>
      </c>
      <c r="J186" s="38" t="s">
        <v>916</v>
      </c>
      <c r="K186" s="38" t="s">
        <v>916</v>
      </c>
      <c r="L186" s="38" t="s">
        <v>916</v>
      </c>
      <c r="M186" s="38" t="s">
        <v>916</v>
      </c>
      <c r="N186" s="38" t="s">
        <v>916</v>
      </c>
      <c r="O186" s="38" t="s">
        <v>916</v>
      </c>
      <c r="P186" s="38" t="s">
        <v>916</v>
      </c>
      <c r="Q186" s="38" t="s">
        <v>916</v>
      </c>
      <c r="R186" s="38" t="s">
        <v>916</v>
      </c>
      <c r="S186" s="38">
        <v>0.48419000000000001</v>
      </c>
      <c r="T186" s="38" t="s">
        <v>916</v>
      </c>
    </row>
    <row r="187" spans="1:20" ht="30" x14ac:dyDescent="0.35">
      <c r="A187" t="str">
        <f t="shared" si="6"/>
        <v>Slovak Republic</v>
      </c>
      <c r="B187" t="str">
        <f t="shared" si="5"/>
        <v>Significant</v>
      </c>
      <c r="C187" s="39"/>
      <c r="D187" s="40"/>
      <c r="E187" s="37" t="s">
        <v>911</v>
      </c>
      <c r="F187" s="37" t="s">
        <v>912</v>
      </c>
      <c r="G187" s="35" t="s">
        <v>906</v>
      </c>
      <c r="H187" s="41" t="s">
        <v>916</v>
      </c>
      <c r="I187" s="41" t="s">
        <v>916</v>
      </c>
      <c r="J187" s="41" t="s">
        <v>916</v>
      </c>
      <c r="K187" s="41" t="s">
        <v>916</v>
      </c>
      <c r="L187" s="41" t="s">
        <v>916</v>
      </c>
      <c r="M187" s="41" t="s">
        <v>916</v>
      </c>
      <c r="N187" s="41" t="s">
        <v>916</v>
      </c>
      <c r="O187" s="41" t="s">
        <v>916</v>
      </c>
      <c r="P187" s="41" t="s">
        <v>916</v>
      </c>
      <c r="Q187" s="41" t="s">
        <v>916</v>
      </c>
      <c r="R187" s="41" t="s">
        <v>916</v>
      </c>
      <c r="S187" s="41">
        <v>0.48419000000000001</v>
      </c>
      <c r="T187" s="41" t="s">
        <v>916</v>
      </c>
    </row>
    <row r="188" spans="1:20" ht="20.100000000000001" customHeight="1" x14ac:dyDescent="0.35">
      <c r="A188" t="str">
        <f t="shared" si="6"/>
        <v>Slovak Republic</v>
      </c>
      <c r="B188" t="str">
        <f t="shared" si="5"/>
        <v>Screened, not targeted</v>
      </c>
      <c r="C188" s="39"/>
      <c r="D188" s="36" t="s">
        <v>914</v>
      </c>
      <c r="E188" s="37" t="s">
        <v>909</v>
      </c>
      <c r="F188" s="37" t="s">
        <v>910</v>
      </c>
      <c r="G188" s="35" t="s">
        <v>906</v>
      </c>
      <c r="H188" s="38" t="s">
        <v>916</v>
      </c>
      <c r="I188" s="38" t="s">
        <v>916</v>
      </c>
      <c r="J188" s="38" t="s">
        <v>916</v>
      </c>
      <c r="K188" s="38" t="s">
        <v>916</v>
      </c>
      <c r="L188" s="38" t="s">
        <v>916</v>
      </c>
      <c r="M188" s="38" t="s">
        <v>916</v>
      </c>
      <c r="N188" s="38" t="s">
        <v>916</v>
      </c>
      <c r="O188" s="38" t="s">
        <v>916</v>
      </c>
      <c r="P188" s="38" t="s">
        <v>916</v>
      </c>
      <c r="Q188" s="38" t="s">
        <v>916</v>
      </c>
      <c r="R188" s="38" t="s">
        <v>916</v>
      </c>
      <c r="S188" s="38">
        <v>13.52338</v>
      </c>
      <c r="T188" s="38" t="s">
        <v>916</v>
      </c>
    </row>
    <row r="189" spans="1:20" ht="30" x14ac:dyDescent="0.35">
      <c r="A189" t="str">
        <f t="shared" si="6"/>
        <v>Slovak Republic</v>
      </c>
      <c r="B189" t="str">
        <f t="shared" si="5"/>
        <v>Screened, not targeted</v>
      </c>
      <c r="C189" s="39"/>
      <c r="D189" s="40"/>
      <c r="E189" s="37" t="s">
        <v>911</v>
      </c>
      <c r="F189" s="37" t="s">
        <v>912</v>
      </c>
      <c r="G189" s="35" t="s">
        <v>906</v>
      </c>
      <c r="H189" s="41" t="s">
        <v>916</v>
      </c>
      <c r="I189" s="41" t="s">
        <v>916</v>
      </c>
      <c r="J189" s="41" t="s">
        <v>916</v>
      </c>
      <c r="K189" s="41" t="s">
        <v>916</v>
      </c>
      <c r="L189" s="41" t="s">
        <v>916</v>
      </c>
      <c r="M189" s="41" t="s">
        <v>916</v>
      </c>
      <c r="N189" s="41" t="s">
        <v>916</v>
      </c>
      <c r="O189" s="41" t="s">
        <v>916</v>
      </c>
      <c r="P189" s="41" t="s">
        <v>916</v>
      </c>
      <c r="Q189" s="41" t="s">
        <v>916</v>
      </c>
      <c r="R189" s="41" t="s">
        <v>916</v>
      </c>
      <c r="S189" s="41">
        <v>13.52338</v>
      </c>
      <c r="T189" s="41" t="s">
        <v>916</v>
      </c>
    </row>
    <row r="190" spans="1:20" ht="20.100000000000001" x14ac:dyDescent="0.35">
      <c r="A190" t="str">
        <f t="shared" si="6"/>
        <v>Slovak Republic</v>
      </c>
      <c r="B190" t="str">
        <f t="shared" si="5"/>
        <v>Not screened</v>
      </c>
      <c r="C190" s="39"/>
      <c r="D190" s="36" t="s">
        <v>915</v>
      </c>
      <c r="E190" s="37" t="s">
        <v>909</v>
      </c>
      <c r="F190" s="37" t="s">
        <v>910</v>
      </c>
      <c r="G190" s="35" t="s">
        <v>906</v>
      </c>
      <c r="H190" s="38" t="s">
        <v>916</v>
      </c>
      <c r="I190" s="38" t="s">
        <v>916</v>
      </c>
      <c r="J190" s="38" t="s">
        <v>916</v>
      </c>
      <c r="K190" s="38" t="s">
        <v>916</v>
      </c>
      <c r="L190" s="38" t="s">
        <v>916</v>
      </c>
      <c r="M190" s="38" t="s">
        <v>916</v>
      </c>
      <c r="N190" s="38" t="s">
        <v>916</v>
      </c>
      <c r="O190" s="38" t="s">
        <v>916</v>
      </c>
      <c r="P190" s="38" t="s">
        <v>916</v>
      </c>
      <c r="Q190" s="38" t="s">
        <v>916</v>
      </c>
      <c r="R190" s="38" t="s">
        <v>916</v>
      </c>
      <c r="S190" s="38">
        <v>0.15371000000000001</v>
      </c>
      <c r="T190" s="38" t="s">
        <v>916</v>
      </c>
    </row>
    <row r="191" spans="1:20" ht="30" x14ac:dyDescent="0.35">
      <c r="A191" t="str">
        <f t="shared" si="6"/>
        <v>Slovak Republic</v>
      </c>
      <c r="B191" t="str">
        <f t="shared" si="5"/>
        <v>Not screened</v>
      </c>
      <c r="C191" s="40"/>
      <c r="D191" s="40"/>
      <c r="E191" s="37" t="s">
        <v>911</v>
      </c>
      <c r="F191" s="37" t="s">
        <v>912</v>
      </c>
      <c r="G191" s="35" t="s">
        <v>906</v>
      </c>
      <c r="H191" s="41" t="s">
        <v>916</v>
      </c>
      <c r="I191" s="41" t="s">
        <v>916</v>
      </c>
      <c r="J191" s="41" t="s">
        <v>916</v>
      </c>
      <c r="K191" s="41" t="s">
        <v>916</v>
      </c>
      <c r="L191" s="41" t="s">
        <v>916</v>
      </c>
      <c r="M191" s="41" t="s">
        <v>916</v>
      </c>
      <c r="N191" s="41" t="s">
        <v>916</v>
      </c>
      <c r="O191" s="41" t="s">
        <v>916</v>
      </c>
      <c r="P191" s="41" t="s">
        <v>916</v>
      </c>
      <c r="Q191" s="41" t="s">
        <v>916</v>
      </c>
      <c r="R191" s="41" t="s">
        <v>916</v>
      </c>
      <c r="S191" s="41">
        <v>0.15371000000000001</v>
      </c>
      <c r="T191" s="41" t="s">
        <v>916</v>
      </c>
    </row>
    <row r="192" spans="1:20" ht="20.100000000000001" x14ac:dyDescent="0.35">
      <c r="A192" t="str">
        <f t="shared" si="6"/>
        <v>Slovenia</v>
      </c>
      <c r="B192" t="str">
        <f t="shared" si="5"/>
        <v>Principal</v>
      </c>
      <c r="C192" s="36" t="s">
        <v>200</v>
      </c>
      <c r="D192" s="36" t="s">
        <v>908</v>
      </c>
      <c r="E192" s="37" t="s">
        <v>909</v>
      </c>
      <c r="F192" s="37" t="s">
        <v>910</v>
      </c>
      <c r="G192" s="35" t="s">
        <v>906</v>
      </c>
      <c r="H192" s="38" t="s">
        <v>916</v>
      </c>
      <c r="I192" s="38" t="s">
        <v>916</v>
      </c>
      <c r="J192" s="38" t="s">
        <v>916</v>
      </c>
      <c r="K192" s="38" t="s">
        <v>916</v>
      </c>
      <c r="L192" s="38" t="s">
        <v>916</v>
      </c>
      <c r="M192" s="38" t="s">
        <v>916</v>
      </c>
      <c r="N192" s="38" t="s">
        <v>916</v>
      </c>
      <c r="O192" s="38" t="s">
        <v>916</v>
      </c>
      <c r="P192" s="38" t="s">
        <v>916</v>
      </c>
      <c r="Q192" s="38">
        <v>1.3184E-2</v>
      </c>
      <c r="R192" s="38">
        <v>1.3313999999999999E-2</v>
      </c>
      <c r="S192" s="38" t="s">
        <v>916</v>
      </c>
      <c r="T192" s="38" t="s">
        <v>916</v>
      </c>
    </row>
    <row r="193" spans="1:20" ht="30" x14ac:dyDescent="0.35">
      <c r="A193" t="str">
        <f t="shared" si="6"/>
        <v>Slovenia</v>
      </c>
      <c r="B193" t="str">
        <f t="shared" si="5"/>
        <v>Principal</v>
      </c>
      <c r="C193" s="39"/>
      <c r="D193" s="40"/>
      <c r="E193" s="37" t="s">
        <v>911</v>
      </c>
      <c r="F193" s="37" t="s">
        <v>912</v>
      </c>
      <c r="G193" s="35" t="s">
        <v>906</v>
      </c>
      <c r="H193" s="41" t="s">
        <v>916</v>
      </c>
      <c r="I193" s="41" t="s">
        <v>916</v>
      </c>
      <c r="J193" s="41" t="s">
        <v>916</v>
      </c>
      <c r="K193" s="41" t="s">
        <v>916</v>
      </c>
      <c r="L193" s="41" t="s">
        <v>916</v>
      </c>
      <c r="M193" s="41" t="s">
        <v>916</v>
      </c>
      <c r="N193" s="41" t="s">
        <v>916</v>
      </c>
      <c r="O193" s="41" t="s">
        <v>916</v>
      </c>
      <c r="P193" s="41" t="s">
        <v>916</v>
      </c>
      <c r="Q193" s="41">
        <v>1.2800000000000001E-2</v>
      </c>
      <c r="R193" s="41">
        <v>1.3945000000000001E-2</v>
      </c>
      <c r="S193" s="41" t="s">
        <v>916</v>
      </c>
      <c r="T193" s="41" t="s">
        <v>916</v>
      </c>
    </row>
    <row r="194" spans="1:20" ht="20.100000000000001" x14ac:dyDescent="0.35">
      <c r="A194" t="str">
        <f t="shared" si="6"/>
        <v>Slovenia</v>
      </c>
      <c r="B194" t="str">
        <f t="shared" si="5"/>
        <v>Significant</v>
      </c>
      <c r="C194" s="39"/>
      <c r="D194" s="36" t="s">
        <v>913</v>
      </c>
      <c r="E194" s="37" t="s">
        <v>909</v>
      </c>
      <c r="F194" s="37" t="s">
        <v>910</v>
      </c>
      <c r="G194" s="35" t="s">
        <v>906</v>
      </c>
      <c r="H194" s="38" t="s">
        <v>916</v>
      </c>
      <c r="I194" s="38" t="s">
        <v>916</v>
      </c>
      <c r="J194" s="38" t="s">
        <v>916</v>
      </c>
      <c r="K194" s="38" t="s">
        <v>916</v>
      </c>
      <c r="L194" s="38" t="s">
        <v>916</v>
      </c>
      <c r="M194" s="38" t="s">
        <v>916</v>
      </c>
      <c r="N194" s="38" t="s">
        <v>916</v>
      </c>
      <c r="O194" s="38" t="s">
        <v>916</v>
      </c>
      <c r="P194" s="38" t="s">
        <v>916</v>
      </c>
      <c r="Q194" s="38" t="s">
        <v>916</v>
      </c>
      <c r="R194" s="38" t="s">
        <v>916</v>
      </c>
      <c r="S194" s="38" t="s">
        <v>916</v>
      </c>
      <c r="T194" s="38" t="s">
        <v>916</v>
      </c>
    </row>
    <row r="195" spans="1:20" ht="30" x14ac:dyDescent="0.35">
      <c r="A195" t="str">
        <f t="shared" si="6"/>
        <v>Slovenia</v>
      </c>
      <c r="B195" t="str">
        <f t="shared" si="5"/>
        <v>Significant</v>
      </c>
      <c r="C195" s="39"/>
      <c r="D195" s="40"/>
      <c r="E195" s="37" t="s">
        <v>911</v>
      </c>
      <c r="F195" s="37" t="s">
        <v>912</v>
      </c>
      <c r="G195" s="35" t="s">
        <v>906</v>
      </c>
      <c r="H195" s="41" t="s">
        <v>916</v>
      </c>
      <c r="I195" s="41" t="s">
        <v>916</v>
      </c>
      <c r="J195" s="41" t="s">
        <v>916</v>
      </c>
      <c r="K195" s="41" t="s">
        <v>916</v>
      </c>
      <c r="L195" s="41" t="s">
        <v>916</v>
      </c>
      <c r="M195" s="41" t="s">
        <v>916</v>
      </c>
      <c r="N195" s="41" t="s">
        <v>916</v>
      </c>
      <c r="O195" s="41" t="s">
        <v>916</v>
      </c>
      <c r="P195" s="41" t="s">
        <v>916</v>
      </c>
      <c r="Q195" s="41" t="s">
        <v>916</v>
      </c>
      <c r="R195" s="41" t="s">
        <v>916</v>
      </c>
      <c r="S195" s="41" t="s">
        <v>916</v>
      </c>
      <c r="T195" s="41" t="s">
        <v>916</v>
      </c>
    </row>
    <row r="196" spans="1:20" ht="20.100000000000001" customHeight="1" x14ac:dyDescent="0.25">
      <c r="A196" t="str">
        <f t="shared" si="6"/>
        <v>Slovenia</v>
      </c>
      <c r="B196" t="str">
        <f t="shared" si="5"/>
        <v>Screened, not targeted</v>
      </c>
      <c r="C196" s="39"/>
      <c r="D196" s="36" t="s">
        <v>914</v>
      </c>
      <c r="E196" s="37" t="s">
        <v>909</v>
      </c>
      <c r="F196" s="37" t="s">
        <v>910</v>
      </c>
      <c r="G196" s="35" t="s">
        <v>906</v>
      </c>
      <c r="H196" s="38" t="s">
        <v>916</v>
      </c>
      <c r="I196" s="38" t="s">
        <v>916</v>
      </c>
      <c r="J196" s="38" t="s">
        <v>916</v>
      </c>
      <c r="K196" s="38" t="s">
        <v>916</v>
      </c>
      <c r="L196" s="38" t="s">
        <v>916</v>
      </c>
      <c r="M196" s="38" t="s">
        <v>916</v>
      </c>
      <c r="N196" s="38" t="s">
        <v>916</v>
      </c>
      <c r="O196" s="38" t="s">
        <v>916</v>
      </c>
      <c r="P196" s="38">
        <v>15.073198</v>
      </c>
      <c r="Q196" s="38">
        <v>15.152594000000001</v>
      </c>
      <c r="R196" s="38">
        <v>14.307396000000001</v>
      </c>
      <c r="S196" s="38">
        <v>11.319316000000001</v>
      </c>
      <c r="T196" s="38" t="s">
        <v>916</v>
      </c>
    </row>
    <row r="197" spans="1:20" ht="42" x14ac:dyDescent="0.25">
      <c r="A197" t="str">
        <f t="shared" si="6"/>
        <v>Slovenia</v>
      </c>
      <c r="B197" t="str">
        <f t="shared" si="5"/>
        <v>Screened, not targeted</v>
      </c>
      <c r="C197" s="39"/>
      <c r="D197" s="40"/>
      <c r="E197" s="37" t="s">
        <v>911</v>
      </c>
      <c r="F197" s="37" t="s">
        <v>912</v>
      </c>
      <c r="G197" s="35" t="s">
        <v>906</v>
      </c>
      <c r="H197" s="41" t="s">
        <v>916</v>
      </c>
      <c r="I197" s="41" t="s">
        <v>916</v>
      </c>
      <c r="J197" s="41" t="s">
        <v>916</v>
      </c>
      <c r="K197" s="41" t="s">
        <v>916</v>
      </c>
      <c r="L197" s="41" t="s">
        <v>916</v>
      </c>
      <c r="M197" s="41" t="s">
        <v>916</v>
      </c>
      <c r="N197" s="41" t="s">
        <v>916</v>
      </c>
      <c r="O197" s="41" t="s">
        <v>916</v>
      </c>
      <c r="P197" s="41">
        <v>15.549989999999999</v>
      </c>
      <c r="Q197" s="41">
        <v>14.711035000000001</v>
      </c>
      <c r="R197" s="41">
        <v>14.985939999999999</v>
      </c>
      <c r="S197" s="41">
        <v>11.319316000000001</v>
      </c>
      <c r="T197" s="41" t="s">
        <v>916</v>
      </c>
    </row>
    <row r="198" spans="1:20" ht="31.5" x14ac:dyDescent="0.25">
      <c r="A198" t="str">
        <f t="shared" si="6"/>
        <v>Slovenia</v>
      </c>
      <c r="B198" t="str">
        <f t="shared" si="5"/>
        <v>Not screened</v>
      </c>
      <c r="C198" s="39"/>
      <c r="D198" s="36" t="s">
        <v>915</v>
      </c>
      <c r="E198" s="37" t="s">
        <v>909</v>
      </c>
      <c r="F198" s="37" t="s">
        <v>910</v>
      </c>
      <c r="G198" s="35" t="s">
        <v>906</v>
      </c>
      <c r="H198" s="38" t="s">
        <v>916</v>
      </c>
      <c r="I198" s="38" t="s">
        <v>916</v>
      </c>
      <c r="J198" s="38" t="s">
        <v>916</v>
      </c>
      <c r="K198" s="38" t="s">
        <v>916</v>
      </c>
      <c r="L198" s="38" t="s">
        <v>916</v>
      </c>
      <c r="M198" s="38" t="s">
        <v>916</v>
      </c>
      <c r="N198" s="38" t="s">
        <v>916</v>
      </c>
      <c r="O198" s="38" t="s">
        <v>916</v>
      </c>
      <c r="P198" s="38">
        <v>8.9462580000000003</v>
      </c>
      <c r="Q198" s="38">
        <v>4.5879810000000001</v>
      </c>
      <c r="R198" s="38">
        <v>6.3221369999999997</v>
      </c>
      <c r="S198" s="38">
        <v>9.0953759999999999</v>
      </c>
      <c r="T198" s="38" t="s">
        <v>916</v>
      </c>
    </row>
    <row r="199" spans="1:20" ht="42" x14ac:dyDescent="0.25">
      <c r="A199" t="str">
        <f t="shared" si="6"/>
        <v>Slovenia</v>
      </c>
      <c r="B199" t="str">
        <f t="shared" si="5"/>
        <v>Not screened</v>
      </c>
      <c r="C199" s="40"/>
      <c r="D199" s="40"/>
      <c r="E199" s="37" t="s">
        <v>911</v>
      </c>
      <c r="F199" s="37" t="s">
        <v>912</v>
      </c>
      <c r="G199" s="35" t="s">
        <v>906</v>
      </c>
      <c r="H199" s="41" t="s">
        <v>916</v>
      </c>
      <c r="I199" s="41" t="s">
        <v>916</v>
      </c>
      <c r="J199" s="41" t="s">
        <v>916</v>
      </c>
      <c r="K199" s="41" t="s">
        <v>916</v>
      </c>
      <c r="L199" s="41" t="s">
        <v>916</v>
      </c>
      <c r="M199" s="41" t="s">
        <v>916</v>
      </c>
      <c r="N199" s="41" t="s">
        <v>916</v>
      </c>
      <c r="O199" s="41" t="s">
        <v>916</v>
      </c>
      <c r="P199" s="41">
        <v>9.2292450000000006</v>
      </c>
      <c r="Q199" s="41">
        <v>4.4542820000000001</v>
      </c>
      <c r="R199" s="41">
        <v>6.6219700000000001</v>
      </c>
      <c r="S199" s="41">
        <v>9.0953759999999999</v>
      </c>
      <c r="T199" s="41" t="s">
        <v>916</v>
      </c>
    </row>
    <row r="200" spans="1:20" ht="31.5" x14ac:dyDescent="0.25">
      <c r="A200" t="str">
        <f t="shared" si="6"/>
        <v>Spain</v>
      </c>
      <c r="B200" t="str">
        <f t="shared" si="5"/>
        <v>Principal</v>
      </c>
      <c r="C200" s="36" t="s">
        <v>204</v>
      </c>
      <c r="D200" s="36" t="s">
        <v>908</v>
      </c>
      <c r="E200" s="37" t="s">
        <v>909</v>
      </c>
      <c r="F200" s="37" t="s">
        <v>910</v>
      </c>
      <c r="G200" s="35" t="s">
        <v>906</v>
      </c>
      <c r="H200" s="38" t="s">
        <v>916</v>
      </c>
      <c r="I200" s="38" t="s">
        <v>916</v>
      </c>
      <c r="J200" s="38" t="s">
        <v>916</v>
      </c>
      <c r="K200" s="38" t="s">
        <v>916</v>
      </c>
      <c r="L200" s="38" t="s">
        <v>916</v>
      </c>
      <c r="M200" s="38" t="s">
        <v>916</v>
      </c>
      <c r="N200" s="38" t="s">
        <v>916</v>
      </c>
      <c r="O200" s="38">
        <v>29.992327</v>
      </c>
      <c r="P200" s="38">
        <v>51.507514</v>
      </c>
      <c r="Q200" s="38">
        <v>15.918094</v>
      </c>
      <c r="R200" s="38">
        <v>4.2372420000000002</v>
      </c>
      <c r="S200" s="38">
        <v>1.7301040000000001</v>
      </c>
      <c r="T200" s="38" t="s">
        <v>916</v>
      </c>
    </row>
    <row r="201" spans="1:20" ht="42" x14ac:dyDescent="0.25">
      <c r="A201" t="str">
        <f t="shared" si="6"/>
        <v>Spain</v>
      </c>
      <c r="B201" t="str">
        <f t="shared" si="5"/>
        <v>Principal</v>
      </c>
      <c r="C201" s="39"/>
      <c r="D201" s="40"/>
      <c r="E201" s="37" t="s">
        <v>911</v>
      </c>
      <c r="F201" s="37" t="s">
        <v>912</v>
      </c>
      <c r="G201" s="35" t="s">
        <v>906</v>
      </c>
      <c r="H201" s="41" t="s">
        <v>916</v>
      </c>
      <c r="I201" s="41" t="s">
        <v>916</v>
      </c>
      <c r="J201" s="41" t="s">
        <v>916</v>
      </c>
      <c r="K201" s="41" t="s">
        <v>916</v>
      </c>
      <c r="L201" s="41" t="s">
        <v>916</v>
      </c>
      <c r="M201" s="41" t="s">
        <v>916</v>
      </c>
      <c r="N201" s="41" t="s">
        <v>916</v>
      </c>
      <c r="O201" s="41">
        <v>28.938473999999999</v>
      </c>
      <c r="P201" s="41">
        <v>52.146912999999998</v>
      </c>
      <c r="Q201" s="41">
        <v>15.336198</v>
      </c>
      <c r="R201" s="41">
        <v>4.4073029999999997</v>
      </c>
      <c r="S201" s="41">
        <v>1.7301040000000001</v>
      </c>
      <c r="T201" s="41" t="s">
        <v>916</v>
      </c>
    </row>
    <row r="202" spans="1:20" ht="31.5" x14ac:dyDescent="0.25">
      <c r="A202" t="str">
        <f t="shared" si="6"/>
        <v>Spain</v>
      </c>
      <c r="B202" t="str">
        <f t="shared" ref="B202:B247" si="7">IF(D202="",D201,D202)</f>
        <v>Significant</v>
      </c>
      <c r="C202" s="39"/>
      <c r="D202" s="36" t="s">
        <v>913</v>
      </c>
      <c r="E202" s="37" t="s">
        <v>909</v>
      </c>
      <c r="F202" s="37" t="s">
        <v>910</v>
      </c>
      <c r="G202" s="35" t="s">
        <v>906</v>
      </c>
      <c r="H202" s="38" t="s">
        <v>916</v>
      </c>
      <c r="I202" s="38" t="s">
        <v>916</v>
      </c>
      <c r="J202" s="38" t="s">
        <v>916</v>
      </c>
      <c r="K202" s="38" t="s">
        <v>916</v>
      </c>
      <c r="L202" s="38" t="s">
        <v>916</v>
      </c>
      <c r="M202" s="38" t="s">
        <v>916</v>
      </c>
      <c r="N202" s="38" t="s">
        <v>916</v>
      </c>
      <c r="O202" s="38">
        <v>268.66497399999997</v>
      </c>
      <c r="P202" s="38">
        <v>251.61702199999999</v>
      </c>
      <c r="Q202" s="38">
        <v>82.294523999999996</v>
      </c>
      <c r="R202" s="38">
        <v>10.727050999999999</v>
      </c>
      <c r="S202" s="38">
        <v>48.725938999999997</v>
      </c>
      <c r="T202" s="38" t="s">
        <v>916</v>
      </c>
    </row>
    <row r="203" spans="1:20" ht="42" x14ac:dyDescent="0.25">
      <c r="A203" t="str">
        <f t="shared" si="6"/>
        <v>Spain</v>
      </c>
      <c r="B203" t="str">
        <f t="shared" si="7"/>
        <v>Significant</v>
      </c>
      <c r="C203" s="39"/>
      <c r="D203" s="40"/>
      <c r="E203" s="37" t="s">
        <v>911</v>
      </c>
      <c r="F203" s="37" t="s">
        <v>912</v>
      </c>
      <c r="G203" s="35" t="s">
        <v>906</v>
      </c>
      <c r="H203" s="41" t="s">
        <v>916</v>
      </c>
      <c r="I203" s="41" t="s">
        <v>916</v>
      </c>
      <c r="J203" s="41" t="s">
        <v>916</v>
      </c>
      <c r="K203" s="41" t="s">
        <v>916</v>
      </c>
      <c r="L203" s="41" t="s">
        <v>916</v>
      </c>
      <c r="M203" s="41" t="s">
        <v>916</v>
      </c>
      <c r="N203" s="41" t="s">
        <v>916</v>
      </c>
      <c r="O203" s="41">
        <v>259.22476699999999</v>
      </c>
      <c r="P203" s="41">
        <v>254.740509</v>
      </c>
      <c r="Q203" s="41">
        <v>79.286197999999999</v>
      </c>
      <c r="R203" s="41">
        <v>11.157584999999999</v>
      </c>
      <c r="S203" s="41">
        <v>48.725938999999997</v>
      </c>
      <c r="T203" s="41" t="s">
        <v>916</v>
      </c>
    </row>
    <row r="204" spans="1:20" ht="20.100000000000001" customHeight="1" x14ac:dyDescent="0.25">
      <c r="A204" t="str">
        <f t="shared" si="6"/>
        <v>Spain</v>
      </c>
      <c r="B204" t="str">
        <f t="shared" si="7"/>
        <v>Screened, not targeted</v>
      </c>
      <c r="C204" s="39"/>
      <c r="D204" s="36" t="s">
        <v>914</v>
      </c>
      <c r="E204" s="37" t="s">
        <v>909</v>
      </c>
      <c r="F204" s="37" t="s">
        <v>910</v>
      </c>
      <c r="G204" s="35" t="s">
        <v>906</v>
      </c>
      <c r="H204" s="38" t="s">
        <v>916</v>
      </c>
      <c r="I204" s="38" t="s">
        <v>916</v>
      </c>
      <c r="J204" s="38" t="s">
        <v>916</v>
      </c>
      <c r="K204" s="38" t="s">
        <v>916</v>
      </c>
      <c r="L204" s="38" t="s">
        <v>916</v>
      </c>
      <c r="M204" s="38" t="s">
        <v>916</v>
      </c>
      <c r="N204" s="38" t="s">
        <v>916</v>
      </c>
      <c r="O204" s="38">
        <v>3836.1504920000002</v>
      </c>
      <c r="P204" s="38">
        <v>4388.4854059999998</v>
      </c>
      <c r="Q204" s="38">
        <v>2273.1740730000001</v>
      </c>
      <c r="R204" s="38">
        <v>931.257746</v>
      </c>
      <c r="S204" s="38">
        <v>416.53439300000002</v>
      </c>
      <c r="T204" s="38" t="s">
        <v>916</v>
      </c>
    </row>
    <row r="205" spans="1:20" ht="42" x14ac:dyDescent="0.25">
      <c r="A205" t="str">
        <f t="shared" si="6"/>
        <v>Spain</v>
      </c>
      <c r="B205" t="str">
        <f t="shared" si="7"/>
        <v>Screened, not targeted</v>
      </c>
      <c r="C205" s="39"/>
      <c r="D205" s="40"/>
      <c r="E205" s="37" t="s">
        <v>911</v>
      </c>
      <c r="F205" s="37" t="s">
        <v>912</v>
      </c>
      <c r="G205" s="35" t="s">
        <v>906</v>
      </c>
      <c r="H205" s="41" t="s">
        <v>916</v>
      </c>
      <c r="I205" s="41" t="s">
        <v>916</v>
      </c>
      <c r="J205" s="41" t="s">
        <v>916</v>
      </c>
      <c r="K205" s="41" t="s">
        <v>916</v>
      </c>
      <c r="L205" s="41" t="s">
        <v>916</v>
      </c>
      <c r="M205" s="41" t="s">
        <v>916</v>
      </c>
      <c r="N205" s="41" t="s">
        <v>916</v>
      </c>
      <c r="O205" s="41">
        <v>3701.3579159999999</v>
      </c>
      <c r="P205" s="41">
        <v>4442.9627229999996</v>
      </c>
      <c r="Q205" s="41">
        <v>2190.076857</v>
      </c>
      <c r="R205" s="41">
        <v>968.63381400000003</v>
      </c>
      <c r="S205" s="41">
        <v>416.53439300000002</v>
      </c>
      <c r="T205" s="41" t="s">
        <v>916</v>
      </c>
    </row>
    <row r="206" spans="1:20" ht="31.5" x14ac:dyDescent="0.25">
      <c r="A206" t="str">
        <f t="shared" si="6"/>
        <v>Spain</v>
      </c>
      <c r="B206" t="str">
        <f t="shared" si="7"/>
        <v>Not screened</v>
      </c>
      <c r="C206" s="39"/>
      <c r="D206" s="36" t="s">
        <v>915</v>
      </c>
      <c r="E206" s="37" t="s">
        <v>909</v>
      </c>
      <c r="F206" s="37" t="s">
        <v>910</v>
      </c>
      <c r="G206" s="35" t="s">
        <v>906</v>
      </c>
      <c r="H206" s="38" t="s">
        <v>916</v>
      </c>
      <c r="I206" s="38" t="s">
        <v>916</v>
      </c>
      <c r="J206" s="38" t="s">
        <v>916</v>
      </c>
      <c r="K206" s="38" t="s">
        <v>916</v>
      </c>
      <c r="L206" s="38" t="s">
        <v>916</v>
      </c>
      <c r="M206" s="38" t="s">
        <v>916</v>
      </c>
      <c r="N206" s="38" t="s">
        <v>916</v>
      </c>
      <c r="O206" s="38">
        <v>239.791777</v>
      </c>
      <c r="P206" s="38">
        <v>23.373097000000001</v>
      </c>
      <c r="Q206" s="38">
        <v>276.09279900000001</v>
      </c>
      <c r="R206" s="38">
        <v>194.85368099999999</v>
      </c>
      <c r="S206" s="38">
        <v>481.41928200000001</v>
      </c>
      <c r="T206" s="38" t="s">
        <v>916</v>
      </c>
    </row>
    <row r="207" spans="1:20" ht="42" x14ac:dyDescent="0.25">
      <c r="A207" t="str">
        <f t="shared" si="6"/>
        <v>Spain</v>
      </c>
      <c r="B207" t="str">
        <f t="shared" si="7"/>
        <v>Not screened</v>
      </c>
      <c r="C207" s="40"/>
      <c r="D207" s="40"/>
      <c r="E207" s="37" t="s">
        <v>911</v>
      </c>
      <c r="F207" s="37" t="s">
        <v>912</v>
      </c>
      <c r="G207" s="35" t="s">
        <v>906</v>
      </c>
      <c r="H207" s="41" t="s">
        <v>916</v>
      </c>
      <c r="I207" s="41" t="s">
        <v>916</v>
      </c>
      <c r="J207" s="41" t="s">
        <v>916</v>
      </c>
      <c r="K207" s="41" t="s">
        <v>916</v>
      </c>
      <c r="L207" s="41" t="s">
        <v>916</v>
      </c>
      <c r="M207" s="41" t="s">
        <v>916</v>
      </c>
      <c r="N207" s="41" t="s">
        <v>916</v>
      </c>
      <c r="O207" s="41">
        <v>231.36611099999999</v>
      </c>
      <c r="P207" s="41">
        <v>23.663242</v>
      </c>
      <c r="Q207" s="41">
        <v>266.000069</v>
      </c>
      <c r="R207" s="41">
        <v>202.67413999999999</v>
      </c>
      <c r="S207" s="41">
        <v>481.41928200000001</v>
      </c>
      <c r="T207" s="41" t="s">
        <v>916</v>
      </c>
    </row>
    <row r="208" spans="1:20" ht="31.5" x14ac:dyDescent="0.25">
      <c r="A208" t="str">
        <f t="shared" si="6"/>
        <v>Sweden</v>
      </c>
      <c r="B208" t="str">
        <f t="shared" si="7"/>
        <v>Principal</v>
      </c>
      <c r="C208" s="36" t="s">
        <v>209</v>
      </c>
      <c r="D208" s="36" t="s">
        <v>908</v>
      </c>
      <c r="E208" s="37" t="s">
        <v>909</v>
      </c>
      <c r="F208" s="37" t="s">
        <v>910</v>
      </c>
      <c r="G208" s="35" t="s">
        <v>906</v>
      </c>
      <c r="H208" s="38" t="s">
        <v>916</v>
      </c>
      <c r="I208" s="38" t="s">
        <v>916</v>
      </c>
      <c r="J208" s="38" t="s">
        <v>916</v>
      </c>
      <c r="K208" s="38" t="s">
        <v>916</v>
      </c>
      <c r="L208" s="38" t="s">
        <v>916</v>
      </c>
      <c r="M208" s="38" t="s">
        <v>916</v>
      </c>
      <c r="N208" s="38" t="s">
        <v>916</v>
      </c>
      <c r="O208" s="38">
        <v>0.32100899999999999</v>
      </c>
      <c r="P208" s="38">
        <v>5.695055</v>
      </c>
      <c r="Q208" s="38">
        <v>43.153191999999997</v>
      </c>
      <c r="R208" s="38">
        <v>77.369585999999998</v>
      </c>
      <c r="S208" s="38">
        <v>45.137872999999999</v>
      </c>
      <c r="T208" s="38" t="s">
        <v>916</v>
      </c>
    </row>
    <row r="209" spans="1:20" ht="42" x14ac:dyDescent="0.25">
      <c r="A209" t="str">
        <f t="shared" si="6"/>
        <v>Sweden</v>
      </c>
      <c r="B209" t="str">
        <f t="shared" si="7"/>
        <v>Principal</v>
      </c>
      <c r="C209" s="39"/>
      <c r="D209" s="40"/>
      <c r="E209" s="37" t="s">
        <v>911</v>
      </c>
      <c r="F209" s="37" t="s">
        <v>912</v>
      </c>
      <c r="G209" s="35" t="s">
        <v>906</v>
      </c>
      <c r="H209" s="41" t="s">
        <v>916</v>
      </c>
      <c r="I209" s="41" t="s">
        <v>916</v>
      </c>
      <c r="J209" s="41" t="s">
        <v>916</v>
      </c>
      <c r="K209" s="41" t="s">
        <v>916</v>
      </c>
      <c r="L209" s="41" t="s">
        <v>916</v>
      </c>
      <c r="M209" s="41" t="s">
        <v>916</v>
      </c>
      <c r="N209" s="41" t="s">
        <v>916</v>
      </c>
      <c r="O209" s="41">
        <v>0.39224100000000001</v>
      </c>
      <c r="P209" s="41">
        <v>6.4989759999999999</v>
      </c>
      <c r="Q209" s="41">
        <v>43.871614000000001</v>
      </c>
      <c r="R209" s="41">
        <v>81.219206999999997</v>
      </c>
      <c r="S209" s="41">
        <v>45.137872999999999</v>
      </c>
      <c r="T209" s="41" t="s">
        <v>916</v>
      </c>
    </row>
    <row r="210" spans="1:20" ht="31.5" x14ac:dyDescent="0.25">
      <c r="A210" t="str">
        <f t="shared" si="6"/>
        <v>Sweden</v>
      </c>
      <c r="B210" t="str">
        <f t="shared" si="7"/>
        <v>Significant</v>
      </c>
      <c r="C210" s="39"/>
      <c r="D210" s="36" t="s">
        <v>913</v>
      </c>
      <c r="E210" s="37" t="s">
        <v>909</v>
      </c>
      <c r="F210" s="37" t="s">
        <v>910</v>
      </c>
      <c r="G210" s="35" t="s">
        <v>906</v>
      </c>
      <c r="H210" s="38" t="s">
        <v>916</v>
      </c>
      <c r="I210" s="38" t="s">
        <v>916</v>
      </c>
      <c r="J210" s="38" t="s">
        <v>916</v>
      </c>
      <c r="K210" s="38" t="s">
        <v>916</v>
      </c>
      <c r="L210" s="38" t="s">
        <v>916</v>
      </c>
      <c r="M210" s="38" t="s">
        <v>916</v>
      </c>
      <c r="N210" s="38" t="s">
        <v>916</v>
      </c>
      <c r="O210" s="38">
        <v>6.1890409999999996</v>
      </c>
      <c r="P210" s="38">
        <v>192.81127900000001</v>
      </c>
      <c r="Q210" s="38">
        <v>150.98009500000001</v>
      </c>
      <c r="R210" s="38">
        <v>197.730572</v>
      </c>
      <c r="S210" s="38">
        <v>402.28894700000001</v>
      </c>
      <c r="T210" s="38" t="s">
        <v>916</v>
      </c>
    </row>
    <row r="211" spans="1:20" ht="42" x14ac:dyDescent="0.25">
      <c r="A211" t="str">
        <f t="shared" ref="A211:A247" si="8">IF(C211="",A210,C211)</f>
        <v>Sweden</v>
      </c>
      <c r="B211" t="str">
        <f t="shared" si="7"/>
        <v>Significant</v>
      </c>
      <c r="C211" s="39"/>
      <c r="D211" s="40"/>
      <c r="E211" s="37" t="s">
        <v>911</v>
      </c>
      <c r="F211" s="37" t="s">
        <v>912</v>
      </c>
      <c r="G211" s="35" t="s">
        <v>906</v>
      </c>
      <c r="H211" s="41" t="s">
        <v>916</v>
      </c>
      <c r="I211" s="41" t="s">
        <v>916</v>
      </c>
      <c r="J211" s="41" t="s">
        <v>916</v>
      </c>
      <c r="K211" s="41" t="s">
        <v>916</v>
      </c>
      <c r="L211" s="41" t="s">
        <v>916</v>
      </c>
      <c r="M211" s="41" t="s">
        <v>916</v>
      </c>
      <c r="N211" s="41" t="s">
        <v>916</v>
      </c>
      <c r="O211" s="41">
        <v>7.5624079999999996</v>
      </c>
      <c r="P211" s="41">
        <v>220.028749</v>
      </c>
      <c r="Q211" s="41">
        <v>153.49363199999999</v>
      </c>
      <c r="R211" s="41">
        <v>207.56891100000001</v>
      </c>
      <c r="S211" s="41">
        <v>402.28894700000001</v>
      </c>
      <c r="T211" s="41" t="s">
        <v>916</v>
      </c>
    </row>
    <row r="212" spans="1:20" ht="20.100000000000001" customHeight="1" x14ac:dyDescent="0.25">
      <c r="A212" t="str">
        <f t="shared" si="8"/>
        <v>Sweden</v>
      </c>
      <c r="B212" t="str">
        <f t="shared" si="7"/>
        <v>Screened, not targeted</v>
      </c>
      <c r="C212" s="39"/>
      <c r="D212" s="36" t="s">
        <v>914</v>
      </c>
      <c r="E212" s="37" t="s">
        <v>909</v>
      </c>
      <c r="F212" s="37" t="s">
        <v>910</v>
      </c>
      <c r="G212" s="35" t="s">
        <v>906</v>
      </c>
      <c r="H212" s="38" t="s">
        <v>916</v>
      </c>
      <c r="I212" s="38" t="s">
        <v>916</v>
      </c>
      <c r="J212" s="38" t="s">
        <v>916</v>
      </c>
      <c r="K212" s="38" t="s">
        <v>916</v>
      </c>
      <c r="L212" s="38" t="s">
        <v>916</v>
      </c>
      <c r="M212" s="38" t="s">
        <v>916</v>
      </c>
      <c r="N212" s="38" t="s">
        <v>916</v>
      </c>
      <c r="O212" s="38">
        <v>3132.1188739999998</v>
      </c>
      <c r="P212" s="38">
        <v>2206.6245370000001</v>
      </c>
      <c r="Q212" s="38">
        <v>2721.2455</v>
      </c>
      <c r="R212" s="38">
        <v>1921.187968</v>
      </c>
      <c r="S212" s="38">
        <v>3432.6131820000001</v>
      </c>
      <c r="T212" s="38" t="s">
        <v>916</v>
      </c>
    </row>
    <row r="213" spans="1:20" ht="42" x14ac:dyDescent="0.25">
      <c r="A213" t="str">
        <f t="shared" si="8"/>
        <v>Sweden</v>
      </c>
      <c r="B213" t="str">
        <f t="shared" si="7"/>
        <v>Screened, not targeted</v>
      </c>
      <c r="C213" s="39"/>
      <c r="D213" s="40"/>
      <c r="E213" s="37" t="s">
        <v>911</v>
      </c>
      <c r="F213" s="37" t="s">
        <v>912</v>
      </c>
      <c r="G213" s="35" t="s">
        <v>906</v>
      </c>
      <c r="H213" s="41" t="s">
        <v>916</v>
      </c>
      <c r="I213" s="41" t="s">
        <v>916</v>
      </c>
      <c r="J213" s="41" t="s">
        <v>916</v>
      </c>
      <c r="K213" s="41" t="s">
        <v>916</v>
      </c>
      <c r="L213" s="41" t="s">
        <v>916</v>
      </c>
      <c r="M213" s="41" t="s">
        <v>916</v>
      </c>
      <c r="N213" s="41" t="s">
        <v>916</v>
      </c>
      <c r="O213" s="41">
        <v>3827.1453390000001</v>
      </c>
      <c r="P213" s="41">
        <v>2518.1142369999998</v>
      </c>
      <c r="Q213" s="41">
        <v>2766.5491870000001</v>
      </c>
      <c r="R213" s="41">
        <v>2016.7791609999999</v>
      </c>
      <c r="S213" s="41">
        <v>3432.6131820000001</v>
      </c>
      <c r="T213" s="41" t="s">
        <v>916</v>
      </c>
    </row>
    <row r="214" spans="1:20" ht="31.5" x14ac:dyDescent="0.25">
      <c r="A214" t="str">
        <f t="shared" si="8"/>
        <v>Sweden</v>
      </c>
      <c r="B214" t="str">
        <f t="shared" si="7"/>
        <v>Not screened</v>
      </c>
      <c r="C214" s="39"/>
      <c r="D214" s="36" t="s">
        <v>915</v>
      </c>
      <c r="E214" s="37" t="s">
        <v>909</v>
      </c>
      <c r="F214" s="37" t="s">
        <v>910</v>
      </c>
      <c r="G214" s="35" t="s">
        <v>906</v>
      </c>
      <c r="H214" s="38" t="s">
        <v>916</v>
      </c>
      <c r="I214" s="38" t="s">
        <v>916</v>
      </c>
      <c r="J214" s="38" t="s">
        <v>916</v>
      </c>
      <c r="K214" s="38" t="s">
        <v>916</v>
      </c>
      <c r="L214" s="38" t="s">
        <v>916</v>
      </c>
      <c r="M214" s="38" t="s">
        <v>916</v>
      </c>
      <c r="N214" s="38" t="s">
        <v>916</v>
      </c>
      <c r="O214" s="38">
        <v>146.562951</v>
      </c>
      <c r="P214" s="38">
        <v>630.33845399999996</v>
      </c>
      <c r="Q214" s="38">
        <v>277.48436500000003</v>
      </c>
      <c r="R214" s="38">
        <v>963.24347799999998</v>
      </c>
      <c r="S214" s="38">
        <v>37.658045000000001</v>
      </c>
      <c r="T214" s="38" t="s">
        <v>916</v>
      </c>
    </row>
    <row r="215" spans="1:20" ht="42" x14ac:dyDescent="0.25">
      <c r="A215" t="str">
        <f t="shared" si="8"/>
        <v>Sweden</v>
      </c>
      <c r="B215" t="str">
        <f t="shared" si="7"/>
        <v>Not screened</v>
      </c>
      <c r="C215" s="40"/>
      <c r="D215" s="40"/>
      <c r="E215" s="37" t="s">
        <v>911</v>
      </c>
      <c r="F215" s="37" t="s">
        <v>912</v>
      </c>
      <c r="G215" s="35" t="s">
        <v>906</v>
      </c>
      <c r="H215" s="41" t="s">
        <v>916</v>
      </c>
      <c r="I215" s="41" t="s">
        <v>916</v>
      </c>
      <c r="J215" s="41" t="s">
        <v>916</v>
      </c>
      <c r="K215" s="41" t="s">
        <v>916</v>
      </c>
      <c r="L215" s="41" t="s">
        <v>916</v>
      </c>
      <c r="M215" s="41" t="s">
        <v>916</v>
      </c>
      <c r="N215" s="41" t="s">
        <v>916</v>
      </c>
      <c r="O215" s="41">
        <v>179.08570499999999</v>
      </c>
      <c r="P215" s="41">
        <v>719.31776600000001</v>
      </c>
      <c r="Q215" s="41">
        <v>282.10396400000002</v>
      </c>
      <c r="R215" s="41">
        <v>1011.1709059999999</v>
      </c>
      <c r="S215" s="41">
        <v>37.658045000000001</v>
      </c>
      <c r="T215" s="41" t="s">
        <v>916</v>
      </c>
    </row>
    <row r="216" spans="1:20" ht="31.5" x14ac:dyDescent="0.25">
      <c r="A216" t="str">
        <f t="shared" si="8"/>
        <v>Switzerland</v>
      </c>
      <c r="B216" t="str">
        <f t="shared" si="7"/>
        <v>Principal</v>
      </c>
      <c r="C216" s="36" t="s">
        <v>210</v>
      </c>
      <c r="D216" s="36" t="s">
        <v>908</v>
      </c>
      <c r="E216" s="37" t="s">
        <v>909</v>
      </c>
      <c r="F216" s="37" t="s">
        <v>910</v>
      </c>
      <c r="G216" s="35" t="s">
        <v>906</v>
      </c>
      <c r="H216" s="38" t="s">
        <v>916</v>
      </c>
      <c r="I216" s="38" t="s">
        <v>916</v>
      </c>
      <c r="J216" s="38" t="s">
        <v>916</v>
      </c>
      <c r="K216" s="38" t="s">
        <v>916</v>
      </c>
      <c r="L216" s="38" t="s">
        <v>916</v>
      </c>
      <c r="M216" s="38" t="s">
        <v>916</v>
      </c>
      <c r="N216" s="38" t="s">
        <v>916</v>
      </c>
      <c r="O216" s="38">
        <v>22.368988999999999</v>
      </c>
      <c r="P216" s="38">
        <v>18.878661999999998</v>
      </c>
      <c r="Q216" s="38">
        <v>12.367228000000001</v>
      </c>
      <c r="R216" s="38">
        <v>22.781268000000001</v>
      </c>
      <c r="S216" s="38">
        <v>70.702804999999998</v>
      </c>
      <c r="T216" s="38" t="s">
        <v>916</v>
      </c>
    </row>
    <row r="217" spans="1:20" ht="42" x14ac:dyDescent="0.25">
      <c r="A217" t="str">
        <f t="shared" si="8"/>
        <v>Switzerland</v>
      </c>
      <c r="B217" t="str">
        <f t="shared" si="7"/>
        <v>Principal</v>
      </c>
      <c r="C217" s="39"/>
      <c r="D217" s="40"/>
      <c r="E217" s="37" t="s">
        <v>911</v>
      </c>
      <c r="F217" s="37" t="s">
        <v>912</v>
      </c>
      <c r="G217" s="35" t="s">
        <v>906</v>
      </c>
      <c r="H217" s="41" t="s">
        <v>916</v>
      </c>
      <c r="I217" s="41" t="s">
        <v>916</v>
      </c>
      <c r="J217" s="41" t="s">
        <v>916</v>
      </c>
      <c r="K217" s="41" t="s">
        <v>916</v>
      </c>
      <c r="L217" s="41" t="s">
        <v>916</v>
      </c>
      <c r="M217" s="41" t="s">
        <v>916</v>
      </c>
      <c r="N217" s="41" t="s">
        <v>916</v>
      </c>
      <c r="O217" s="41">
        <v>26.213189</v>
      </c>
      <c r="P217" s="41">
        <v>21.218274999999998</v>
      </c>
      <c r="Q217" s="41">
        <v>11.803361000000001</v>
      </c>
      <c r="R217" s="41">
        <v>22.998239000000002</v>
      </c>
      <c r="S217" s="41">
        <v>70.702804999999998</v>
      </c>
      <c r="T217" s="41" t="s">
        <v>916</v>
      </c>
    </row>
    <row r="218" spans="1:20" ht="31.5" x14ac:dyDescent="0.25">
      <c r="A218" t="str">
        <f t="shared" si="8"/>
        <v>Switzerland</v>
      </c>
      <c r="B218" t="str">
        <f t="shared" si="7"/>
        <v>Significant</v>
      </c>
      <c r="C218" s="39"/>
      <c r="D218" s="36" t="s">
        <v>913</v>
      </c>
      <c r="E218" s="37" t="s">
        <v>909</v>
      </c>
      <c r="F218" s="37" t="s">
        <v>910</v>
      </c>
      <c r="G218" s="35" t="s">
        <v>906</v>
      </c>
      <c r="H218" s="38" t="s">
        <v>916</v>
      </c>
      <c r="I218" s="38" t="s">
        <v>916</v>
      </c>
      <c r="J218" s="38" t="s">
        <v>916</v>
      </c>
      <c r="K218" s="38" t="s">
        <v>916</v>
      </c>
      <c r="L218" s="38" t="s">
        <v>916</v>
      </c>
      <c r="M218" s="38" t="s">
        <v>916</v>
      </c>
      <c r="N218" s="38" t="s">
        <v>916</v>
      </c>
      <c r="O218" s="38">
        <v>16.872420000000002</v>
      </c>
      <c r="P218" s="38">
        <v>35.965632999999997</v>
      </c>
      <c r="Q218" s="38">
        <v>133.74517499999999</v>
      </c>
      <c r="R218" s="38">
        <v>64.735780000000005</v>
      </c>
      <c r="S218" s="38">
        <v>87.496790000000004</v>
      </c>
      <c r="T218" s="38" t="s">
        <v>916</v>
      </c>
    </row>
    <row r="219" spans="1:20" ht="42" x14ac:dyDescent="0.25">
      <c r="A219" t="str">
        <f t="shared" si="8"/>
        <v>Switzerland</v>
      </c>
      <c r="B219" t="str">
        <f t="shared" si="7"/>
        <v>Significant</v>
      </c>
      <c r="C219" s="39"/>
      <c r="D219" s="40"/>
      <c r="E219" s="37" t="s">
        <v>911</v>
      </c>
      <c r="F219" s="37" t="s">
        <v>912</v>
      </c>
      <c r="G219" s="35" t="s">
        <v>906</v>
      </c>
      <c r="H219" s="41" t="s">
        <v>916</v>
      </c>
      <c r="I219" s="41" t="s">
        <v>916</v>
      </c>
      <c r="J219" s="41" t="s">
        <v>916</v>
      </c>
      <c r="K219" s="41" t="s">
        <v>916</v>
      </c>
      <c r="L219" s="41" t="s">
        <v>916</v>
      </c>
      <c r="M219" s="41" t="s">
        <v>916</v>
      </c>
      <c r="N219" s="41" t="s">
        <v>916</v>
      </c>
      <c r="O219" s="41">
        <v>19.772010000000002</v>
      </c>
      <c r="P219" s="41">
        <v>40.422812</v>
      </c>
      <c r="Q219" s="41">
        <v>127.647229</v>
      </c>
      <c r="R219" s="41">
        <v>65.352328</v>
      </c>
      <c r="S219" s="41">
        <v>87.496790000000004</v>
      </c>
      <c r="T219" s="41" t="s">
        <v>916</v>
      </c>
    </row>
    <row r="220" spans="1:20" ht="20.100000000000001" customHeight="1" x14ac:dyDescent="0.25">
      <c r="A220" t="str">
        <f t="shared" si="8"/>
        <v>Switzerland</v>
      </c>
      <c r="B220" t="str">
        <f t="shared" si="7"/>
        <v>Screened, not targeted</v>
      </c>
      <c r="C220" s="39"/>
      <c r="D220" s="36" t="s">
        <v>914</v>
      </c>
      <c r="E220" s="37" t="s">
        <v>909</v>
      </c>
      <c r="F220" s="37" t="s">
        <v>910</v>
      </c>
      <c r="G220" s="35" t="s">
        <v>906</v>
      </c>
      <c r="H220" s="38" t="s">
        <v>916</v>
      </c>
      <c r="I220" s="38" t="s">
        <v>916</v>
      </c>
      <c r="J220" s="38" t="s">
        <v>916</v>
      </c>
      <c r="K220" s="38" t="s">
        <v>916</v>
      </c>
      <c r="L220" s="38" t="s">
        <v>916</v>
      </c>
      <c r="M220" s="38" t="s">
        <v>916</v>
      </c>
      <c r="N220" s="38" t="s">
        <v>916</v>
      </c>
      <c r="O220" s="38">
        <v>1687.351253</v>
      </c>
      <c r="P220" s="38">
        <v>1853.6632669999999</v>
      </c>
      <c r="Q220" s="38">
        <v>2573.8146839999999</v>
      </c>
      <c r="R220" s="38">
        <v>2465.2034290000001</v>
      </c>
      <c r="S220" s="38">
        <v>3586.9709579999999</v>
      </c>
      <c r="T220" s="38" t="s">
        <v>916</v>
      </c>
    </row>
    <row r="221" spans="1:20" ht="42" x14ac:dyDescent="0.25">
      <c r="A221" t="str">
        <f t="shared" si="8"/>
        <v>Switzerland</v>
      </c>
      <c r="B221" t="str">
        <f t="shared" si="7"/>
        <v>Screened, not targeted</v>
      </c>
      <c r="C221" s="39"/>
      <c r="D221" s="40"/>
      <c r="E221" s="37" t="s">
        <v>911</v>
      </c>
      <c r="F221" s="37" t="s">
        <v>912</v>
      </c>
      <c r="G221" s="35" t="s">
        <v>906</v>
      </c>
      <c r="H221" s="41" t="s">
        <v>916</v>
      </c>
      <c r="I221" s="41" t="s">
        <v>916</v>
      </c>
      <c r="J221" s="41" t="s">
        <v>916</v>
      </c>
      <c r="K221" s="41" t="s">
        <v>916</v>
      </c>
      <c r="L221" s="41" t="s">
        <v>916</v>
      </c>
      <c r="M221" s="41" t="s">
        <v>916</v>
      </c>
      <c r="N221" s="41" t="s">
        <v>916</v>
      </c>
      <c r="O221" s="41">
        <v>1977.3293679999999</v>
      </c>
      <c r="P221" s="41">
        <v>2083.3857119999998</v>
      </c>
      <c r="Q221" s="41">
        <v>2456.4648200000001</v>
      </c>
      <c r="R221" s="41">
        <v>2488.682108</v>
      </c>
      <c r="S221" s="41">
        <v>3586.9709579999999</v>
      </c>
      <c r="T221" s="41" t="s">
        <v>916</v>
      </c>
    </row>
    <row r="222" spans="1:20" ht="31.5" x14ac:dyDescent="0.25">
      <c r="A222" t="str">
        <f t="shared" si="8"/>
        <v>Switzerland</v>
      </c>
      <c r="B222" t="str">
        <f t="shared" si="7"/>
        <v>Not screened</v>
      </c>
      <c r="C222" s="39"/>
      <c r="D222" s="36" t="s">
        <v>915</v>
      </c>
      <c r="E222" s="37" t="s">
        <v>909</v>
      </c>
      <c r="F222" s="37" t="s">
        <v>910</v>
      </c>
      <c r="G222" s="35" t="s">
        <v>906</v>
      </c>
      <c r="H222" s="38" t="s">
        <v>916</v>
      </c>
      <c r="I222" s="38" t="s">
        <v>916</v>
      </c>
      <c r="J222" s="38" t="s">
        <v>916</v>
      </c>
      <c r="K222" s="38" t="s">
        <v>916</v>
      </c>
      <c r="L222" s="38" t="s">
        <v>916</v>
      </c>
      <c r="M222" s="38" t="s">
        <v>916</v>
      </c>
      <c r="N222" s="38" t="s">
        <v>916</v>
      </c>
      <c r="O222" s="38" t="s">
        <v>916</v>
      </c>
      <c r="P222" s="38" t="s">
        <v>916</v>
      </c>
      <c r="Q222" s="38" t="s">
        <v>916</v>
      </c>
      <c r="R222" s="38" t="s">
        <v>916</v>
      </c>
      <c r="S222" s="38" t="s">
        <v>916</v>
      </c>
      <c r="T222" s="38" t="s">
        <v>916</v>
      </c>
    </row>
    <row r="223" spans="1:20" ht="42" x14ac:dyDescent="0.25">
      <c r="A223" t="str">
        <f t="shared" si="8"/>
        <v>Switzerland</v>
      </c>
      <c r="B223" t="str">
        <f t="shared" si="7"/>
        <v>Not screened</v>
      </c>
      <c r="C223" s="40"/>
      <c r="D223" s="40"/>
      <c r="E223" s="37" t="s">
        <v>911</v>
      </c>
      <c r="F223" s="37" t="s">
        <v>912</v>
      </c>
      <c r="G223" s="35" t="s">
        <v>906</v>
      </c>
      <c r="H223" s="41" t="s">
        <v>916</v>
      </c>
      <c r="I223" s="41" t="s">
        <v>916</v>
      </c>
      <c r="J223" s="41" t="s">
        <v>916</v>
      </c>
      <c r="K223" s="41" t="s">
        <v>916</v>
      </c>
      <c r="L223" s="41" t="s">
        <v>916</v>
      </c>
      <c r="M223" s="41" t="s">
        <v>916</v>
      </c>
      <c r="N223" s="41" t="s">
        <v>916</v>
      </c>
      <c r="O223" s="41" t="s">
        <v>916</v>
      </c>
      <c r="P223" s="41" t="s">
        <v>916</v>
      </c>
      <c r="Q223" s="41" t="s">
        <v>916</v>
      </c>
      <c r="R223" s="41" t="s">
        <v>916</v>
      </c>
      <c r="S223" s="41" t="s">
        <v>916</v>
      </c>
      <c r="T223" s="41" t="s">
        <v>916</v>
      </c>
    </row>
    <row r="224" spans="1:20" ht="31.5" x14ac:dyDescent="0.25">
      <c r="A224" t="str">
        <f t="shared" si="8"/>
        <v>United Kingdom</v>
      </c>
      <c r="B224" t="str">
        <f t="shared" si="7"/>
        <v>Principal</v>
      </c>
      <c r="C224" s="36" t="s">
        <v>848</v>
      </c>
      <c r="D224" s="36" t="s">
        <v>908</v>
      </c>
      <c r="E224" s="37" t="s">
        <v>909</v>
      </c>
      <c r="F224" s="37" t="s">
        <v>910</v>
      </c>
      <c r="G224" s="35" t="s">
        <v>906</v>
      </c>
      <c r="H224" s="38" t="s">
        <v>916</v>
      </c>
      <c r="I224" s="38" t="s">
        <v>916</v>
      </c>
      <c r="J224" s="38" t="s">
        <v>916</v>
      </c>
      <c r="K224" s="38" t="s">
        <v>916</v>
      </c>
      <c r="L224" s="38" t="s">
        <v>916</v>
      </c>
      <c r="M224" s="38" t="s">
        <v>916</v>
      </c>
      <c r="N224" s="38" t="s">
        <v>916</v>
      </c>
      <c r="O224" s="38">
        <v>49.130333999999998</v>
      </c>
      <c r="P224" s="38">
        <v>41.880701999999999</v>
      </c>
      <c r="Q224" s="38">
        <v>65.218618000000006</v>
      </c>
      <c r="R224" s="38">
        <v>48.957768999999999</v>
      </c>
      <c r="S224" s="38">
        <v>20.519442999999999</v>
      </c>
      <c r="T224" s="38" t="s">
        <v>916</v>
      </c>
    </row>
    <row r="225" spans="1:20" ht="42" x14ac:dyDescent="0.25">
      <c r="A225" t="str">
        <f t="shared" si="8"/>
        <v>United Kingdom</v>
      </c>
      <c r="B225" t="str">
        <f t="shared" si="7"/>
        <v>Principal</v>
      </c>
      <c r="C225" s="39"/>
      <c r="D225" s="40"/>
      <c r="E225" s="37" t="s">
        <v>911</v>
      </c>
      <c r="F225" s="37" t="s">
        <v>912</v>
      </c>
      <c r="G225" s="35" t="s">
        <v>906</v>
      </c>
      <c r="H225" s="41" t="s">
        <v>916</v>
      </c>
      <c r="I225" s="41" t="s">
        <v>916</v>
      </c>
      <c r="J225" s="41" t="s">
        <v>916</v>
      </c>
      <c r="K225" s="41" t="s">
        <v>916</v>
      </c>
      <c r="L225" s="41" t="s">
        <v>916</v>
      </c>
      <c r="M225" s="41" t="s">
        <v>916</v>
      </c>
      <c r="N225" s="41" t="s">
        <v>916</v>
      </c>
      <c r="O225" s="41">
        <v>53.581054999999999</v>
      </c>
      <c r="P225" s="41">
        <v>44.779899</v>
      </c>
      <c r="Q225" s="41">
        <v>65.770184999999998</v>
      </c>
      <c r="R225" s="41">
        <v>49.114635999999997</v>
      </c>
      <c r="S225" s="41">
        <v>20.519442999999999</v>
      </c>
      <c r="T225" s="41" t="s">
        <v>916</v>
      </c>
    </row>
    <row r="226" spans="1:20" ht="31.5" x14ac:dyDescent="0.25">
      <c r="A226" t="str">
        <f t="shared" si="8"/>
        <v>United Kingdom</v>
      </c>
      <c r="B226" t="str">
        <f t="shared" si="7"/>
        <v>Significant</v>
      </c>
      <c r="C226" s="39"/>
      <c r="D226" s="36" t="s">
        <v>913</v>
      </c>
      <c r="E226" s="37" t="s">
        <v>909</v>
      </c>
      <c r="F226" s="37" t="s">
        <v>910</v>
      </c>
      <c r="G226" s="35" t="s">
        <v>906</v>
      </c>
      <c r="H226" s="38" t="s">
        <v>916</v>
      </c>
      <c r="I226" s="38" t="s">
        <v>916</v>
      </c>
      <c r="J226" s="38" t="s">
        <v>916</v>
      </c>
      <c r="K226" s="38" t="s">
        <v>916</v>
      </c>
      <c r="L226" s="38" t="s">
        <v>916</v>
      </c>
      <c r="M226" s="38" t="s">
        <v>916</v>
      </c>
      <c r="N226" s="38" t="s">
        <v>916</v>
      </c>
      <c r="O226" s="38">
        <v>14.277039</v>
      </c>
      <c r="P226" s="38">
        <v>136.33266699999999</v>
      </c>
      <c r="Q226" s="38">
        <v>24.572302000000001</v>
      </c>
      <c r="R226" s="38">
        <v>22.304486000000001</v>
      </c>
      <c r="S226" s="38">
        <v>213.440315</v>
      </c>
      <c r="T226" s="38" t="s">
        <v>916</v>
      </c>
    </row>
    <row r="227" spans="1:20" ht="42" x14ac:dyDescent="0.25">
      <c r="A227" t="str">
        <f t="shared" si="8"/>
        <v>United Kingdom</v>
      </c>
      <c r="B227" t="str">
        <f t="shared" si="7"/>
        <v>Significant</v>
      </c>
      <c r="C227" s="39"/>
      <c r="D227" s="40"/>
      <c r="E227" s="37" t="s">
        <v>911</v>
      </c>
      <c r="F227" s="37" t="s">
        <v>912</v>
      </c>
      <c r="G227" s="35" t="s">
        <v>906</v>
      </c>
      <c r="H227" s="41" t="s">
        <v>916</v>
      </c>
      <c r="I227" s="41" t="s">
        <v>916</v>
      </c>
      <c r="J227" s="41" t="s">
        <v>916</v>
      </c>
      <c r="K227" s="41" t="s">
        <v>916</v>
      </c>
      <c r="L227" s="41" t="s">
        <v>916</v>
      </c>
      <c r="M227" s="41" t="s">
        <v>916</v>
      </c>
      <c r="N227" s="41" t="s">
        <v>916</v>
      </c>
      <c r="O227" s="41">
        <v>15.570397</v>
      </c>
      <c r="P227" s="41">
        <v>145.77031600000001</v>
      </c>
      <c r="Q227" s="41">
        <v>24.780114000000001</v>
      </c>
      <c r="R227" s="41">
        <v>22.375952000000002</v>
      </c>
      <c r="S227" s="41">
        <v>213.440315</v>
      </c>
      <c r="T227" s="41" t="s">
        <v>916</v>
      </c>
    </row>
    <row r="228" spans="1:20" ht="20.100000000000001" customHeight="1" x14ac:dyDescent="0.25">
      <c r="A228" t="str">
        <f t="shared" si="8"/>
        <v>United Kingdom</v>
      </c>
      <c r="B228" t="str">
        <f t="shared" si="7"/>
        <v>Screened, not targeted</v>
      </c>
      <c r="C228" s="39"/>
      <c r="D228" s="36" t="s">
        <v>914</v>
      </c>
      <c r="E228" s="37" t="s">
        <v>909</v>
      </c>
      <c r="F228" s="37" t="s">
        <v>910</v>
      </c>
      <c r="G228" s="35" t="s">
        <v>906</v>
      </c>
      <c r="H228" s="38" t="s">
        <v>916</v>
      </c>
      <c r="I228" s="38" t="s">
        <v>916</v>
      </c>
      <c r="J228" s="38" t="s">
        <v>916</v>
      </c>
      <c r="K228" s="38" t="s">
        <v>916</v>
      </c>
      <c r="L228" s="38" t="s">
        <v>916</v>
      </c>
      <c r="M228" s="38" t="s">
        <v>916</v>
      </c>
      <c r="N228" s="38" t="s">
        <v>916</v>
      </c>
      <c r="O228" s="38">
        <v>10773.078275</v>
      </c>
      <c r="P228" s="38">
        <v>4923.5708169999998</v>
      </c>
      <c r="Q228" s="38">
        <v>3852.0104649999998</v>
      </c>
      <c r="R228" s="38">
        <v>78.976781000000003</v>
      </c>
      <c r="S228" s="38">
        <v>6057.5857800000003</v>
      </c>
      <c r="T228" s="38" t="s">
        <v>916</v>
      </c>
    </row>
    <row r="229" spans="1:20" ht="42" x14ac:dyDescent="0.25">
      <c r="A229" t="str">
        <f t="shared" si="8"/>
        <v>United Kingdom</v>
      </c>
      <c r="B229" t="str">
        <f t="shared" si="7"/>
        <v>Screened, not targeted</v>
      </c>
      <c r="C229" s="39"/>
      <c r="D229" s="40"/>
      <c r="E229" s="37" t="s">
        <v>911</v>
      </c>
      <c r="F229" s="37" t="s">
        <v>912</v>
      </c>
      <c r="G229" s="35" t="s">
        <v>906</v>
      </c>
      <c r="H229" s="41" t="s">
        <v>916</v>
      </c>
      <c r="I229" s="41" t="s">
        <v>916</v>
      </c>
      <c r="J229" s="41" t="s">
        <v>916</v>
      </c>
      <c r="K229" s="41" t="s">
        <v>916</v>
      </c>
      <c r="L229" s="41" t="s">
        <v>916</v>
      </c>
      <c r="M229" s="41" t="s">
        <v>916</v>
      </c>
      <c r="N229" s="41" t="s">
        <v>916</v>
      </c>
      <c r="O229" s="41">
        <v>11749.012188000001</v>
      </c>
      <c r="P229" s="41">
        <v>5264.4056989999999</v>
      </c>
      <c r="Q229" s="41">
        <v>3884.5875390000001</v>
      </c>
      <c r="R229" s="41">
        <v>79.229831000000004</v>
      </c>
      <c r="S229" s="41">
        <v>6057.5857800000003</v>
      </c>
      <c r="T229" s="41" t="s">
        <v>916</v>
      </c>
    </row>
    <row r="230" spans="1:20" ht="31.5" x14ac:dyDescent="0.25">
      <c r="A230" t="str">
        <f t="shared" si="8"/>
        <v>United Kingdom</v>
      </c>
      <c r="B230" t="str">
        <f t="shared" si="7"/>
        <v>Not screened</v>
      </c>
      <c r="C230" s="39"/>
      <c r="D230" s="36" t="s">
        <v>915</v>
      </c>
      <c r="E230" s="37" t="s">
        <v>909</v>
      </c>
      <c r="F230" s="37" t="s">
        <v>910</v>
      </c>
      <c r="G230" s="35" t="s">
        <v>906</v>
      </c>
      <c r="H230" s="38" t="s">
        <v>916</v>
      </c>
      <c r="I230" s="38" t="s">
        <v>916</v>
      </c>
      <c r="J230" s="38" t="s">
        <v>916</v>
      </c>
      <c r="K230" s="38" t="s">
        <v>916</v>
      </c>
      <c r="L230" s="38" t="s">
        <v>916</v>
      </c>
      <c r="M230" s="38" t="s">
        <v>916</v>
      </c>
      <c r="N230" s="38" t="s">
        <v>916</v>
      </c>
      <c r="O230" s="38" t="s">
        <v>916</v>
      </c>
      <c r="P230" s="38" t="s">
        <v>916</v>
      </c>
      <c r="Q230" s="38" t="s">
        <v>916</v>
      </c>
      <c r="R230" s="38">
        <v>5451.2562950000001</v>
      </c>
      <c r="S230" s="38" t="s">
        <v>916</v>
      </c>
      <c r="T230" s="38" t="s">
        <v>916</v>
      </c>
    </row>
    <row r="231" spans="1:20" ht="42" x14ac:dyDescent="0.25">
      <c r="A231" t="str">
        <f t="shared" si="8"/>
        <v>United Kingdom</v>
      </c>
      <c r="B231" t="str">
        <f t="shared" si="7"/>
        <v>Not screened</v>
      </c>
      <c r="C231" s="40"/>
      <c r="D231" s="40"/>
      <c r="E231" s="37" t="s">
        <v>911</v>
      </c>
      <c r="F231" s="37" t="s">
        <v>912</v>
      </c>
      <c r="G231" s="35" t="s">
        <v>906</v>
      </c>
      <c r="H231" s="41" t="s">
        <v>916</v>
      </c>
      <c r="I231" s="41" t="s">
        <v>916</v>
      </c>
      <c r="J231" s="41" t="s">
        <v>916</v>
      </c>
      <c r="K231" s="41" t="s">
        <v>916</v>
      </c>
      <c r="L231" s="41" t="s">
        <v>916</v>
      </c>
      <c r="M231" s="41" t="s">
        <v>916</v>
      </c>
      <c r="N231" s="41" t="s">
        <v>916</v>
      </c>
      <c r="O231" s="41" t="s">
        <v>916</v>
      </c>
      <c r="P231" s="41" t="s">
        <v>916</v>
      </c>
      <c r="Q231" s="41" t="s">
        <v>916</v>
      </c>
      <c r="R231" s="41">
        <v>5468.722847</v>
      </c>
      <c r="S231" s="41" t="s">
        <v>916</v>
      </c>
      <c r="T231" s="41" t="s">
        <v>916</v>
      </c>
    </row>
    <row r="232" spans="1:20" ht="31.5" x14ac:dyDescent="0.25">
      <c r="A232" t="str">
        <f t="shared" si="8"/>
        <v>United States</v>
      </c>
      <c r="B232" t="str">
        <f t="shared" si="7"/>
        <v>Principal</v>
      </c>
      <c r="C232" s="36" t="s">
        <v>852</v>
      </c>
      <c r="D232" s="36" t="s">
        <v>908</v>
      </c>
      <c r="E232" s="37" t="s">
        <v>909</v>
      </c>
      <c r="F232" s="37" t="s">
        <v>910</v>
      </c>
      <c r="G232" s="35" t="s">
        <v>906</v>
      </c>
      <c r="H232" s="38" t="s">
        <v>916</v>
      </c>
      <c r="I232" s="38" t="s">
        <v>916</v>
      </c>
      <c r="J232" s="38" t="s">
        <v>916</v>
      </c>
      <c r="K232" s="38" t="s">
        <v>916</v>
      </c>
      <c r="L232" s="38" t="s">
        <v>916</v>
      </c>
      <c r="M232" s="38" t="s">
        <v>916</v>
      </c>
      <c r="N232" s="38" t="s">
        <v>916</v>
      </c>
      <c r="O232" s="38">
        <v>209.82908499999999</v>
      </c>
      <c r="P232" s="38">
        <v>816.24206000000004</v>
      </c>
      <c r="Q232" s="38">
        <v>805.38454999999999</v>
      </c>
      <c r="R232" s="38">
        <v>661.90173000000004</v>
      </c>
      <c r="S232" s="38">
        <v>529.00203999999997</v>
      </c>
      <c r="T232" s="38" t="s">
        <v>916</v>
      </c>
    </row>
    <row r="233" spans="1:20" ht="42" x14ac:dyDescent="0.25">
      <c r="A233" t="str">
        <f t="shared" si="8"/>
        <v>United States</v>
      </c>
      <c r="B233" t="str">
        <f t="shared" si="7"/>
        <v>Principal</v>
      </c>
      <c r="C233" s="39"/>
      <c r="D233" s="40"/>
      <c r="E233" s="37" t="s">
        <v>911</v>
      </c>
      <c r="F233" s="37" t="s">
        <v>912</v>
      </c>
      <c r="G233" s="35" t="s">
        <v>906</v>
      </c>
      <c r="H233" s="41" t="s">
        <v>916</v>
      </c>
      <c r="I233" s="41" t="s">
        <v>916</v>
      </c>
      <c r="J233" s="41" t="s">
        <v>916</v>
      </c>
      <c r="K233" s="41" t="s">
        <v>916</v>
      </c>
      <c r="L233" s="41" t="s">
        <v>916</v>
      </c>
      <c r="M233" s="41" t="s">
        <v>916</v>
      </c>
      <c r="N233" s="41" t="s">
        <v>916</v>
      </c>
      <c r="O233" s="41">
        <v>223.88763399999999</v>
      </c>
      <c r="P233" s="41">
        <v>860.60303799999997</v>
      </c>
      <c r="Q233" s="41">
        <v>831.89284599999996</v>
      </c>
      <c r="R233" s="41">
        <v>671.33950000000004</v>
      </c>
      <c r="S233" s="41">
        <v>529.00203999999997</v>
      </c>
      <c r="T233" s="41" t="s">
        <v>916</v>
      </c>
    </row>
    <row r="234" spans="1:20" ht="31.5" x14ac:dyDescent="0.25">
      <c r="A234" t="str">
        <f t="shared" si="8"/>
        <v>United States</v>
      </c>
      <c r="B234" t="str">
        <f t="shared" si="7"/>
        <v>Significant</v>
      </c>
      <c r="C234" s="39"/>
      <c r="D234" s="36" t="s">
        <v>913</v>
      </c>
      <c r="E234" s="37" t="s">
        <v>909</v>
      </c>
      <c r="F234" s="37" t="s">
        <v>910</v>
      </c>
      <c r="G234" s="35" t="s">
        <v>906</v>
      </c>
      <c r="H234" s="38" t="s">
        <v>916</v>
      </c>
      <c r="I234" s="38" t="s">
        <v>916</v>
      </c>
      <c r="J234" s="38" t="s">
        <v>916</v>
      </c>
      <c r="K234" s="38" t="s">
        <v>916</v>
      </c>
      <c r="L234" s="38" t="s">
        <v>916</v>
      </c>
      <c r="M234" s="38" t="s">
        <v>916</v>
      </c>
      <c r="N234" s="38" t="s">
        <v>916</v>
      </c>
      <c r="O234" s="38">
        <v>0.91895000000000004</v>
      </c>
      <c r="P234" s="38">
        <v>70.515270000000001</v>
      </c>
      <c r="Q234" s="38">
        <v>305.03208999999998</v>
      </c>
      <c r="R234" s="38">
        <v>322.48325999999997</v>
      </c>
      <c r="S234" s="38">
        <v>431.12398999999999</v>
      </c>
      <c r="T234" s="38" t="s">
        <v>916</v>
      </c>
    </row>
    <row r="235" spans="1:20" ht="42" x14ac:dyDescent="0.25">
      <c r="A235" t="str">
        <f t="shared" si="8"/>
        <v>United States</v>
      </c>
      <c r="B235" t="str">
        <f t="shared" si="7"/>
        <v>Significant</v>
      </c>
      <c r="C235" s="39"/>
      <c r="D235" s="40"/>
      <c r="E235" s="37" t="s">
        <v>911</v>
      </c>
      <c r="F235" s="37" t="s">
        <v>912</v>
      </c>
      <c r="G235" s="35" t="s">
        <v>906</v>
      </c>
      <c r="H235" s="41" t="s">
        <v>916</v>
      </c>
      <c r="I235" s="41" t="s">
        <v>916</v>
      </c>
      <c r="J235" s="41" t="s">
        <v>916</v>
      </c>
      <c r="K235" s="41" t="s">
        <v>916</v>
      </c>
      <c r="L235" s="41" t="s">
        <v>916</v>
      </c>
      <c r="M235" s="41" t="s">
        <v>916</v>
      </c>
      <c r="N235" s="41" t="s">
        <v>916</v>
      </c>
      <c r="O235" s="41">
        <v>0.98051900000000003</v>
      </c>
      <c r="P235" s="41">
        <v>74.347627000000003</v>
      </c>
      <c r="Q235" s="41">
        <v>315.071866</v>
      </c>
      <c r="R235" s="41">
        <v>327.08141000000001</v>
      </c>
      <c r="S235" s="41">
        <v>431.12398999999999</v>
      </c>
      <c r="T235" s="41" t="s">
        <v>916</v>
      </c>
    </row>
    <row r="236" spans="1:20" ht="20.100000000000001" customHeight="1" x14ac:dyDescent="0.25">
      <c r="A236" t="str">
        <f t="shared" si="8"/>
        <v>United States</v>
      </c>
      <c r="B236" t="str">
        <f t="shared" si="7"/>
        <v>Screened, not targeted</v>
      </c>
      <c r="C236" s="39"/>
      <c r="D236" s="36" t="s">
        <v>914</v>
      </c>
      <c r="E236" s="37" t="s">
        <v>909</v>
      </c>
      <c r="F236" s="37" t="s">
        <v>910</v>
      </c>
      <c r="G236" s="35" t="s">
        <v>906</v>
      </c>
      <c r="H236" s="38" t="s">
        <v>916</v>
      </c>
      <c r="I236" s="38" t="s">
        <v>916</v>
      </c>
      <c r="J236" s="38" t="s">
        <v>916</v>
      </c>
      <c r="K236" s="38" t="s">
        <v>916</v>
      </c>
      <c r="L236" s="38" t="s">
        <v>916</v>
      </c>
      <c r="M236" s="38" t="s">
        <v>916</v>
      </c>
      <c r="N236" s="38" t="s">
        <v>916</v>
      </c>
      <c r="O236" s="38" t="s">
        <v>916</v>
      </c>
      <c r="P236" s="38" t="s">
        <v>916</v>
      </c>
      <c r="Q236" s="38">
        <v>28915.92755</v>
      </c>
      <c r="R236" s="38">
        <v>24679.474170000001</v>
      </c>
      <c r="S236" s="38">
        <v>27951.02147</v>
      </c>
      <c r="T236" s="38" t="s">
        <v>916</v>
      </c>
    </row>
    <row r="237" spans="1:20" ht="42" x14ac:dyDescent="0.25">
      <c r="A237" t="str">
        <f t="shared" si="8"/>
        <v>United States</v>
      </c>
      <c r="B237" t="str">
        <f t="shared" si="7"/>
        <v>Screened, not targeted</v>
      </c>
      <c r="C237" s="39"/>
      <c r="D237" s="40"/>
      <c r="E237" s="37" t="s">
        <v>911</v>
      </c>
      <c r="F237" s="37" t="s">
        <v>912</v>
      </c>
      <c r="G237" s="35" t="s">
        <v>906</v>
      </c>
      <c r="H237" s="41" t="s">
        <v>916</v>
      </c>
      <c r="I237" s="41" t="s">
        <v>916</v>
      </c>
      <c r="J237" s="41" t="s">
        <v>916</v>
      </c>
      <c r="K237" s="41" t="s">
        <v>916</v>
      </c>
      <c r="L237" s="41" t="s">
        <v>916</v>
      </c>
      <c r="M237" s="41" t="s">
        <v>916</v>
      </c>
      <c r="N237" s="41" t="s">
        <v>916</v>
      </c>
      <c r="O237" s="41" t="s">
        <v>916</v>
      </c>
      <c r="P237" s="41" t="s">
        <v>916</v>
      </c>
      <c r="Q237" s="41">
        <v>29867.661792999999</v>
      </c>
      <c r="R237" s="41">
        <v>25031.367894999999</v>
      </c>
      <c r="S237" s="41">
        <v>27951.02147</v>
      </c>
      <c r="T237" s="41" t="s">
        <v>916</v>
      </c>
    </row>
    <row r="238" spans="1:20" ht="31.5" x14ac:dyDescent="0.25">
      <c r="A238" t="str">
        <f t="shared" si="8"/>
        <v>United States</v>
      </c>
      <c r="B238" t="str">
        <f t="shared" si="7"/>
        <v>Not screened</v>
      </c>
      <c r="C238" s="39"/>
      <c r="D238" s="36" t="s">
        <v>915</v>
      </c>
      <c r="E238" s="37" t="s">
        <v>909</v>
      </c>
      <c r="F238" s="37" t="s">
        <v>910</v>
      </c>
      <c r="G238" s="35" t="s">
        <v>906</v>
      </c>
      <c r="H238" s="38" t="s">
        <v>916</v>
      </c>
      <c r="I238" s="38" t="s">
        <v>916</v>
      </c>
      <c r="J238" s="38" t="s">
        <v>916</v>
      </c>
      <c r="K238" s="38" t="s">
        <v>916</v>
      </c>
      <c r="L238" s="38" t="s">
        <v>916</v>
      </c>
      <c r="M238" s="38" t="s">
        <v>916</v>
      </c>
      <c r="N238" s="38" t="s">
        <v>916</v>
      </c>
      <c r="O238" s="38">
        <v>29071.413027999999</v>
      </c>
      <c r="P238" s="38">
        <v>28526.42222</v>
      </c>
      <c r="Q238" s="38">
        <v>-538.81335999999999</v>
      </c>
      <c r="R238" s="38">
        <v>-702.83069999999998</v>
      </c>
      <c r="S238" s="38">
        <v>-1008.44556</v>
      </c>
      <c r="T238" s="38" t="s">
        <v>916</v>
      </c>
    </row>
    <row r="239" spans="1:20" ht="42" x14ac:dyDescent="0.25">
      <c r="A239" t="str">
        <f t="shared" si="8"/>
        <v>United States</v>
      </c>
      <c r="B239" t="str">
        <f t="shared" si="7"/>
        <v>Not screened</v>
      </c>
      <c r="C239" s="40"/>
      <c r="D239" s="40"/>
      <c r="E239" s="37" t="s">
        <v>911</v>
      </c>
      <c r="F239" s="37" t="s">
        <v>912</v>
      </c>
      <c r="G239" s="35" t="s">
        <v>906</v>
      </c>
      <c r="H239" s="41" t="s">
        <v>916</v>
      </c>
      <c r="I239" s="41" t="s">
        <v>916</v>
      </c>
      <c r="J239" s="41" t="s">
        <v>916</v>
      </c>
      <c r="K239" s="41" t="s">
        <v>916</v>
      </c>
      <c r="L239" s="41" t="s">
        <v>916</v>
      </c>
      <c r="M239" s="41" t="s">
        <v>916</v>
      </c>
      <c r="N239" s="41" t="s">
        <v>916</v>
      </c>
      <c r="O239" s="41">
        <v>31019.197792999999</v>
      </c>
      <c r="P239" s="41">
        <v>30076.771174000001</v>
      </c>
      <c r="Q239" s="41">
        <v>-556.547777</v>
      </c>
      <c r="R239" s="41">
        <v>-712.85205299999996</v>
      </c>
      <c r="S239" s="41">
        <v>-1008.44556</v>
      </c>
      <c r="T239" s="41" t="s">
        <v>916</v>
      </c>
    </row>
    <row r="240" spans="1:20" ht="31.5" x14ac:dyDescent="0.25">
      <c r="A240" t="str">
        <f t="shared" si="8"/>
        <v>EU Institutions</v>
      </c>
      <c r="B240" t="str">
        <f t="shared" si="7"/>
        <v>Principal</v>
      </c>
      <c r="C240" s="36" t="s">
        <v>917</v>
      </c>
      <c r="D240" s="36" t="s">
        <v>908</v>
      </c>
      <c r="E240" s="37" t="s">
        <v>909</v>
      </c>
      <c r="F240" s="37" t="s">
        <v>910</v>
      </c>
      <c r="G240" s="35" t="s">
        <v>906</v>
      </c>
      <c r="H240" s="38" t="s">
        <v>916</v>
      </c>
      <c r="I240" s="38" t="s">
        <v>916</v>
      </c>
      <c r="J240" s="38" t="s">
        <v>916</v>
      </c>
      <c r="K240" s="38" t="s">
        <v>916</v>
      </c>
      <c r="L240" s="38" t="s">
        <v>916</v>
      </c>
      <c r="M240" s="38" t="s">
        <v>916</v>
      </c>
      <c r="N240" s="38" t="s">
        <v>916</v>
      </c>
      <c r="O240" s="38">
        <v>84.300601999999998</v>
      </c>
      <c r="P240" s="38">
        <v>129.11920599999999</v>
      </c>
      <c r="Q240" s="38">
        <v>62.333975000000002</v>
      </c>
      <c r="R240" s="38">
        <v>280.62337200000002</v>
      </c>
      <c r="S240" s="38">
        <v>68.209385999999995</v>
      </c>
      <c r="T240" s="38" t="s">
        <v>916</v>
      </c>
    </row>
    <row r="241" spans="1:20" ht="42" x14ac:dyDescent="0.25">
      <c r="A241" t="str">
        <f t="shared" si="8"/>
        <v>EU Institutions</v>
      </c>
      <c r="B241" t="str">
        <f t="shared" si="7"/>
        <v>Principal</v>
      </c>
      <c r="C241" s="39"/>
      <c r="D241" s="40"/>
      <c r="E241" s="37" t="s">
        <v>911</v>
      </c>
      <c r="F241" s="37" t="s">
        <v>912</v>
      </c>
      <c r="G241" s="35" t="s">
        <v>906</v>
      </c>
      <c r="H241" s="41" t="s">
        <v>916</v>
      </c>
      <c r="I241" s="41" t="s">
        <v>916</v>
      </c>
      <c r="J241" s="41" t="s">
        <v>916</v>
      </c>
      <c r="K241" s="41" t="s">
        <v>916</v>
      </c>
      <c r="L241" s="41" t="s">
        <v>916</v>
      </c>
      <c r="M241" s="41" t="s">
        <v>916</v>
      </c>
      <c r="N241" s="41" t="s">
        <v>916</v>
      </c>
      <c r="O241" s="41">
        <v>83.887863999999993</v>
      </c>
      <c r="P241" s="41">
        <v>134.13423900000001</v>
      </c>
      <c r="Q241" s="41">
        <v>61.067698999999998</v>
      </c>
      <c r="R241" s="41">
        <v>293.58309400000002</v>
      </c>
      <c r="S241" s="41">
        <v>68.209385999999995</v>
      </c>
      <c r="T241" s="41" t="s">
        <v>916</v>
      </c>
    </row>
    <row r="242" spans="1:20" ht="31.5" x14ac:dyDescent="0.25">
      <c r="A242" t="str">
        <f t="shared" si="8"/>
        <v>EU Institutions</v>
      </c>
      <c r="B242" t="str">
        <f t="shared" si="7"/>
        <v>Significant</v>
      </c>
      <c r="C242" s="39"/>
      <c r="D242" s="36" t="s">
        <v>913</v>
      </c>
      <c r="E242" s="37" t="s">
        <v>909</v>
      </c>
      <c r="F242" s="37" t="s">
        <v>910</v>
      </c>
      <c r="G242" s="35" t="s">
        <v>906</v>
      </c>
      <c r="H242" s="38" t="s">
        <v>916</v>
      </c>
      <c r="I242" s="38" t="s">
        <v>916</v>
      </c>
      <c r="J242" s="38" t="s">
        <v>916</v>
      </c>
      <c r="K242" s="38" t="s">
        <v>916</v>
      </c>
      <c r="L242" s="38" t="s">
        <v>916</v>
      </c>
      <c r="M242" s="38" t="s">
        <v>916</v>
      </c>
      <c r="N242" s="38" t="s">
        <v>916</v>
      </c>
      <c r="O242" s="38">
        <v>661.04498000000001</v>
      </c>
      <c r="P242" s="38">
        <v>548.49865599999998</v>
      </c>
      <c r="Q242" s="38">
        <v>477.68484699999999</v>
      </c>
      <c r="R242" s="38">
        <v>621.87583800000004</v>
      </c>
      <c r="S242" s="38">
        <v>851.32131900000002</v>
      </c>
      <c r="T242" s="38" t="s">
        <v>916</v>
      </c>
    </row>
    <row r="243" spans="1:20" ht="42" x14ac:dyDescent="0.25">
      <c r="A243" t="str">
        <f t="shared" si="8"/>
        <v>EU Institutions</v>
      </c>
      <c r="B243" t="str">
        <f t="shared" si="7"/>
        <v>Significant</v>
      </c>
      <c r="C243" s="39"/>
      <c r="D243" s="40"/>
      <c r="E243" s="37" t="s">
        <v>911</v>
      </c>
      <c r="F243" s="37" t="s">
        <v>912</v>
      </c>
      <c r="G243" s="35" t="s">
        <v>906</v>
      </c>
      <c r="H243" s="41" t="s">
        <v>916</v>
      </c>
      <c r="I243" s="41" t="s">
        <v>916</v>
      </c>
      <c r="J243" s="41" t="s">
        <v>916</v>
      </c>
      <c r="K243" s="41" t="s">
        <v>916</v>
      </c>
      <c r="L243" s="41" t="s">
        <v>916</v>
      </c>
      <c r="M243" s="41" t="s">
        <v>916</v>
      </c>
      <c r="N243" s="41" t="s">
        <v>916</v>
      </c>
      <c r="O243" s="41">
        <v>657.80848400000002</v>
      </c>
      <c r="P243" s="41">
        <v>569.80252499999995</v>
      </c>
      <c r="Q243" s="41">
        <v>467.98097100000001</v>
      </c>
      <c r="R243" s="41">
        <v>650.59524799999997</v>
      </c>
      <c r="S243" s="41">
        <v>851.32131900000002</v>
      </c>
      <c r="T243" s="41" t="s">
        <v>916</v>
      </c>
    </row>
    <row r="244" spans="1:20" ht="20.100000000000001" customHeight="1" x14ac:dyDescent="0.25">
      <c r="A244" t="str">
        <f t="shared" si="8"/>
        <v>EU Institutions</v>
      </c>
      <c r="B244" t="str">
        <f t="shared" si="7"/>
        <v>Screened, not targeted</v>
      </c>
      <c r="C244" s="39"/>
      <c r="D244" s="36" t="s">
        <v>914</v>
      </c>
      <c r="E244" s="37" t="s">
        <v>909</v>
      </c>
      <c r="F244" s="37" t="s">
        <v>910</v>
      </c>
      <c r="G244" s="35" t="s">
        <v>906</v>
      </c>
      <c r="H244" s="38" t="s">
        <v>916</v>
      </c>
      <c r="I244" s="38" t="s">
        <v>916</v>
      </c>
      <c r="J244" s="38" t="s">
        <v>916</v>
      </c>
      <c r="K244" s="38" t="s">
        <v>916</v>
      </c>
      <c r="L244" s="38" t="s">
        <v>916</v>
      </c>
      <c r="M244" s="38" t="s">
        <v>916</v>
      </c>
      <c r="N244" s="38" t="s">
        <v>916</v>
      </c>
      <c r="O244" s="38">
        <v>14931.30651</v>
      </c>
      <c r="P244" s="38">
        <v>12998.023848000001</v>
      </c>
      <c r="Q244" s="38">
        <v>14926.757245000001</v>
      </c>
      <c r="R244" s="38">
        <v>15497.897708</v>
      </c>
      <c r="S244" s="38">
        <v>16380.613221</v>
      </c>
      <c r="T244" s="38" t="s">
        <v>916</v>
      </c>
    </row>
    <row r="245" spans="1:20" ht="42" x14ac:dyDescent="0.25">
      <c r="A245" t="str">
        <f t="shared" si="8"/>
        <v>EU Institutions</v>
      </c>
      <c r="B245" t="str">
        <f t="shared" si="7"/>
        <v>Screened, not targeted</v>
      </c>
      <c r="C245" s="39"/>
      <c r="D245" s="40"/>
      <c r="E245" s="37" t="s">
        <v>911</v>
      </c>
      <c r="F245" s="37" t="s">
        <v>912</v>
      </c>
      <c r="G245" s="35" t="s">
        <v>906</v>
      </c>
      <c r="H245" s="41" t="s">
        <v>916</v>
      </c>
      <c r="I245" s="41" t="s">
        <v>916</v>
      </c>
      <c r="J245" s="41" t="s">
        <v>916</v>
      </c>
      <c r="K245" s="41" t="s">
        <v>916</v>
      </c>
      <c r="L245" s="41" t="s">
        <v>916</v>
      </c>
      <c r="M245" s="41" t="s">
        <v>916</v>
      </c>
      <c r="N245" s="41" t="s">
        <v>916</v>
      </c>
      <c r="O245" s="41">
        <v>14858.202364999999</v>
      </c>
      <c r="P245" s="41">
        <v>13502.871501</v>
      </c>
      <c r="Q245" s="41">
        <v>14623.529296999999</v>
      </c>
      <c r="R245" s="41">
        <v>16213.620088</v>
      </c>
      <c r="S245" s="41">
        <v>16380.613221</v>
      </c>
      <c r="T245" s="41" t="s">
        <v>916</v>
      </c>
    </row>
    <row r="246" spans="1:20" ht="31.5" x14ac:dyDescent="0.25">
      <c r="A246" t="str">
        <f t="shared" si="8"/>
        <v>EU Institutions</v>
      </c>
      <c r="B246" t="str">
        <f t="shared" si="7"/>
        <v>Not screened</v>
      </c>
      <c r="C246" s="39"/>
      <c r="D246" s="36" t="s">
        <v>915</v>
      </c>
      <c r="E246" s="37" t="s">
        <v>909</v>
      </c>
      <c r="F246" s="37" t="s">
        <v>910</v>
      </c>
      <c r="G246" s="35" t="s">
        <v>906</v>
      </c>
      <c r="H246" s="38" t="s">
        <v>916</v>
      </c>
      <c r="I246" s="38" t="s">
        <v>916</v>
      </c>
      <c r="J246" s="38" t="s">
        <v>916</v>
      </c>
      <c r="K246" s="38" t="s">
        <v>916</v>
      </c>
      <c r="L246" s="38" t="s">
        <v>916</v>
      </c>
      <c r="M246" s="38" t="s">
        <v>916</v>
      </c>
      <c r="N246" s="38" t="s">
        <v>916</v>
      </c>
      <c r="O246" s="38">
        <v>448.095641</v>
      </c>
      <c r="P246" s="38">
        <v>0.84310099999999999</v>
      </c>
      <c r="Q246" s="38">
        <v>4753.887189</v>
      </c>
      <c r="R246" s="38">
        <v>8258.8989120000006</v>
      </c>
      <c r="S246" s="38">
        <v>7629.8282369999997</v>
      </c>
      <c r="T246" s="38" t="s">
        <v>916</v>
      </c>
    </row>
    <row r="247" spans="1:20" ht="42" x14ac:dyDescent="0.25">
      <c r="A247" t="str">
        <f t="shared" si="8"/>
        <v>EU Institutions</v>
      </c>
      <c r="B247" t="str">
        <f t="shared" si="7"/>
        <v>Not screened</v>
      </c>
      <c r="C247" s="40"/>
      <c r="D247" s="40"/>
      <c r="E247" s="37" t="s">
        <v>911</v>
      </c>
      <c r="F247" s="37" t="s">
        <v>912</v>
      </c>
      <c r="G247" s="35" t="s">
        <v>906</v>
      </c>
      <c r="H247" s="41" t="s">
        <v>916</v>
      </c>
      <c r="I247" s="41" t="s">
        <v>916</v>
      </c>
      <c r="J247" s="41" t="s">
        <v>916</v>
      </c>
      <c r="K247" s="41" t="s">
        <v>916</v>
      </c>
      <c r="L247" s="41" t="s">
        <v>916</v>
      </c>
      <c r="M247" s="41" t="s">
        <v>916</v>
      </c>
      <c r="N247" s="41" t="s">
        <v>916</v>
      </c>
      <c r="O247" s="41">
        <v>445.901749</v>
      </c>
      <c r="P247" s="41">
        <v>0.87584799999999996</v>
      </c>
      <c r="Q247" s="41">
        <v>4657.3148719999999</v>
      </c>
      <c r="R247" s="41">
        <v>8640.3105589999996</v>
      </c>
      <c r="S247" s="41">
        <v>7629.8282369999997</v>
      </c>
      <c r="T247" s="41" t="s">
        <v>916</v>
      </c>
    </row>
    <row r="248" spans="1:20" x14ac:dyDescent="0.25">
      <c r="C248" s="42" t="s">
        <v>918</v>
      </c>
      <c r="D248" s="24"/>
      <c r="E248" s="24"/>
      <c r="F248" s="24"/>
      <c r="G248" s="24"/>
      <c r="H248" s="24"/>
      <c r="I248" s="24"/>
      <c r="J248" s="24"/>
      <c r="K248" s="24"/>
      <c r="L248" s="24"/>
      <c r="M248" s="24"/>
      <c r="N248" s="24"/>
      <c r="O248" s="24"/>
      <c r="P248" s="24"/>
      <c r="Q248" s="24"/>
      <c r="R248" s="24"/>
      <c r="S248" s="24"/>
      <c r="T248" s="24"/>
    </row>
  </sheetData>
  <mergeCells count="3">
    <mergeCell ref="H3:T3"/>
    <mergeCell ref="H4:T4"/>
    <mergeCell ref="H5:T5"/>
  </mergeCells>
  <hyperlinks>
    <hyperlink ref="C2" r:id="rId1" tooltip="Click once to display linked information. Click and hold to select this cell." display="http://stats.oecd.org/OECDStat_Metadata/ShowMetadata.ashx?Dataset=RIOMARKERS&amp;ShowOnWeb=true&amp;Lang=en"/>
    <hyperlink ref="T6" r:id="rId2" tooltip="Click once to display linked information. Click and hold to select this cell." display="http://stats.oecd.org/OECDStat_Metadata/ShowMetadata.ashx?Dataset=RIOMARKERS&amp;Coords=[TIME].[2014]&amp;ShowOnWeb=true&amp;Lang=en"/>
    <hyperlink ref="C248" r:id="rId3" tooltip="Click once to display linked information. Click and hold to select this cell." display="http://stats.oecd.org/"/>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32"/>
  <sheetViews>
    <sheetView workbookViewId="0">
      <selection activeCell="H16" sqref="H16"/>
    </sheetView>
  </sheetViews>
  <sheetFormatPr defaultRowHeight="15" x14ac:dyDescent="0.25"/>
  <cols>
    <col min="1" max="1" width="15" style="10" customWidth="1"/>
    <col min="3" max="3" width="11.5703125" bestFit="1" customWidth="1"/>
    <col min="4" max="4" width="10.140625" bestFit="1" customWidth="1"/>
    <col min="10" max="10" width="16.85546875" bestFit="1" customWidth="1"/>
  </cols>
  <sheetData>
    <row r="1" spans="1:13" ht="14.45" x14ac:dyDescent="0.35">
      <c r="A1" s="8" t="s">
        <v>44</v>
      </c>
      <c r="C1" t="s">
        <v>919</v>
      </c>
      <c r="D1" t="s">
        <v>923</v>
      </c>
      <c r="F1" t="s">
        <v>926</v>
      </c>
      <c r="J1" t="s">
        <v>928</v>
      </c>
      <c r="K1">
        <f ca="1">COUNTA(INDEX(Countsheets,0))</f>
        <v>1</v>
      </c>
      <c r="M1" t="s">
        <v>934</v>
      </c>
    </row>
    <row r="2" spans="1:13" ht="14.45" x14ac:dyDescent="0.35">
      <c r="A2" s="8" t="s">
        <v>45</v>
      </c>
      <c r="C2" s="8" t="s">
        <v>44</v>
      </c>
      <c r="D2" s="8" t="s">
        <v>44</v>
      </c>
      <c r="F2" s="52" t="s">
        <v>927</v>
      </c>
      <c r="J2" t="s">
        <v>929</v>
      </c>
      <c r="K2" s="55">
        <v>6</v>
      </c>
      <c r="M2" t="s">
        <v>935</v>
      </c>
    </row>
    <row r="3" spans="1:13" ht="14.45" x14ac:dyDescent="0.35">
      <c r="A3" s="8" t="s">
        <v>46</v>
      </c>
      <c r="C3" t="s">
        <v>1106</v>
      </c>
      <c r="D3" s="2" t="s">
        <v>239</v>
      </c>
      <c r="F3" t="s">
        <v>925</v>
      </c>
      <c r="J3" t="s">
        <v>930</v>
      </c>
      <c r="K3" s="54">
        <f ca="1">K1-K2</f>
        <v>-5</v>
      </c>
      <c r="M3" t="s">
        <v>936</v>
      </c>
    </row>
    <row r="4" spans="1:13" ht="14.45" x14ac:dyDescent="0.35">
      <c r="A4" s="8" t="s">
        <v>47</v>
      </c>
      <c r="C4" t="s">
        <v>1107</v>
      </c>
      <c r="D4" s="2" t="s">
        <v>32</v>
      </c>
      <c r="M4" t="s">
        <v>937</v>
      </c>
    </row>
    <row r="5" spans="1:13" ht="14.45" x14ac:dyDescent="0.35">
      <c r="A5" s="8" t="s">
        <v>48</v>
      </c>
      <c r="C5" t="s">
        <v>1108</v>
      </c>
      <c r="D5" s="2" t="s">
        <v>240</v>
      </c>
      <c r="M5" t="s">
        <v>938</v>
      </c>
    </row>
    <row r="6" spans="1:13" ht="14.45" x14ac:dyDescent="0.35">
      <c r="A6" s="8" t="s">
        <v>49</v>
      </c>
      <c r="M6" t="s">
        <v>939</v>
      </c>
    </row>
    <row r="7" spans="1:13" ht="14.45" x14ac:dyDescent="0.35">
      <c r="A7" s="8" t="s">
        <v>50</v>
      </c>
    </row>
    <row r="8" spans="1:13" ht="14.45" x14ac:dyDescent="0.35">
      <c r="A8" s="8" t="s">
        <v>51</v>
      </c>
    </row>
    <row r="9" spans="1:13" ht="14.45" x14ac:dyDescent="0.35">
      <c r="A9" s="8" t="s">
        <v>52</v>
      </c>
    </row>
    <row r="10" spans="1:13" ht="14.45" x14ac:dyDescent="0.35">
      <c r="A10" s="8" t="s">
        <v>53</v>
      </c>
    </row>
    <row r="11" spans="1:13" ht="14.45" x14ac:dyDescent="0.35">
      <c r="A11" s="8" t="s">
        <v>43</v>
      </c>
    </row>
    <row r="12" spans="1:13" ht="14.45" x14ac:dyDescent="0.35">
      <c r="A12" s="8" t="s">
        <v>54</v>
      </c>
    </row>
    <row r="13" spans="1:13" ht="14.45" x14ac:dyDescent="0.35">
      <c r="A13" s="8" t="s">
        <v>55</v>
      </c>
    </row>
    <row r="14" spans="1:13" ht="14.45" x14ac:dyDescent="0.35">
      <c r="A14" s="8" t="s">
        <v>56</v>
      </c>
    </row>
    <row r="15" spans="1:13" ht="14.45" x14ac:dyDescent="0.35">
      <c r="A15" s="8" t="s">
        <v>57</v>
      </c>
    </row>
    <row r="16" spans="1:13" ht="14.45" x14ac:dyDescent="0.35">
      <c r="A16" s="8" t="s">
        <v>58</v>
      </c>
    </row>
    <row r="17" spans="1:1" ht="14.45" x14ac:dyDescent="0.35">
      <c r="A17" s="8" t="s">
        <v>59</v>
      </c>
    </row>
    <row r="18" spans="1:1" ht="14.45" x14ac:dyDescent="0.35">
      <c r="A18" s="8" t="s">
        <v>60</v>
      </c>
    </row>
    <row r="19" spans="1:1" ht="14.45" x14ac:dyDescent="0.35">
      <c r="A19" s="8" t="s">
        <v>61</v>
      </c>
    </row>
    <row r="20" spans="1:1" ht="14.45" x14ac:dyDescent="0.35">
      <c r="A20" s="8" t="s">
        <v>62</v>
      </c>
    </row>
    <row r="21" spans="1:1" ht="14.45" x14ac:dyDescent="0.35">
      <c r="A21" s="8" t="s">
        <v>63</v>
      </c>
    </row>
    <row r="22" spans="1:1" ht="14.45" x14ac:dyDescent="0.35">
      <c r="A22" s="8" t="s">
        <v>64</v>
      </c>
    </row>
    <row r="23" spans="1:1" ht="14.45" x14ac:dyDescent="0.35">
      <c r="A23" s="8" t="s">
        <v>65</v>
      </c>
    </row>
    <row r="24" spans="1:1" ht="14.45" x14ac:dyDescent="0.35">
      <c r="A24" s="8" t="s">
        <v>66</v>
      </c>
    </row>
    <row r="25" spans="1:1" ht="14.45" x14ac:dyDescent="0.35">
      <c r="A25" s="8" t="s">
        <v>67</v>
      </c>
    </row>
    <row r="26" spans="1:1" ht="14.45" x14ac:dyDescent="0.35">
      <c r="A26" s="9" t="s">
        <v>68</v>
      </c>
    </row>
    <row r="27" spans="1:1" ht="14.45" x14ac:dyDescent="0.35">
      <c r="A27" s="8" t="s">
        <v>69</v>
      </c>
    </row>
    <row r="28" spans="1:1" ht="14.45" x14ac:dyDescent="0.35">
      <c r="A28" s="8" t="s">
        <v>70</v>
      </c>
    </row>
    <row r="29" spans="1:1" ht="14.45" x14ac:dyDescent="0.35">
      <c r="A29" s="8" t="s">
        <v>71</v>
      </c>
    </row>
    <row r="30" spans="1:1" ht="14.45" x14ac:dyDescent="0.35">
      <c r="A30" s="8" t="s">
        <v>72</v>
      </c>
    </row>
    <row r="31" spans="1:1" ht="14.45" x14ac:dyDescent="0.35">
      <c r="A31" s="8" t="s">
        <v>73</v>
      </c>
    </row>
    <row r="32" spans="1:1" ht="14.45" x14ac:dyDescent="0.35">
      <c r="A32" s="8" t="s">
        <v>74</v>
      </c>
    </row>
    <row r="33" spans="1:1" ht="14.45" x14ac:dyDescent="0.35">
      <c r="A33" s="8" t="s">
        <v>75</v>
      </c>
    </row>
    <row r="34" spans="1:1" ht="14.45" x14ac:dyDescent="0.35">
      <c r="A34" s="8" t="s">
        <v>76</v>
      </c>
    </row>
    <row r="35" spans="1:1" ht="14.45" x14ac:dyDescent="0.35">
      <c r="A35" s="8" t="s">
        <v>77</v>
      </c>
    </row>
    <row r="36" spans="1:1" ht="14.45" x14ac:dyDescent="0.35">
      <c r="A36" s="8" t="s">
        <v>78</v>
      </c>
    </row>
    <row r="37" spans="1:1" ht="14.45" x14ac:dyDescent="0.35">
      <c r="A37" s="8" t="s">
        <v>79</v>
      </c>
    </row>
    <row r="38" spans="1:1" ht="14.45" x14ac:dyDescent="0.35">
      <c r="A38" s="8" t="s">
        <v>80</v>
      </c>
    </row>
    <row r="39" spans="1:1" ht="14.45" x14ac:dyDescent="0.35">
      <c r="A39" s="8" t="s">
        <v>81</v>
      </c>
    </row>
    <row r="40" spans="1:1" ht="14.45" x14ac:dyDescent="0.35">
      <c r="A40" s="8" t="s">
        <v>82</v>
      </c>
    </row>
    <row r="41" spans="1:1" ht="14.45" x14ac:dyDescent="0.35">
      <c r="A41" s="8" t="s">
        <v>83</v>
      </c>
    </row>
    <row r="42" spans="1:1" ht="14.45" x14ac:dyDescent="0.35">
      <c r="A42" s="8" t="s">
        <v>84</v>
      </c>
    </row>
    <row r="43" spans="1:1" ht="14.45" x14ac:dyDescent="0.35">
      <c r="A43" s="8" t="s">
        <v>85</v>
      </c>
    </row>
    <row r="44" spans="1:1" x14ac:dyDescent="0.25">
      <c r="A44" s="8" t="s">
        <v>86</v>
      </c>
    </row>
    <row r="45" spans="1:1" ht="14.45" x14ac:dyDescent="0.35">
      <c r="A45" s="8" t="s">
        <v>87</v>
      </c>
    </row>
    <row r="46" spans="1:1" ht="14.45" x14ac:dyDescent="0.35">
      <c r="A46" s="8" t="s">
        <v>88</v>
      </c>
    </row>
    <row r="47" spans="1:1" ht="14.45" x14ac:dyDescent="0.35">
      <c r="A47" s="8" t="s">
        <v>89</v>
      </c>
    </row>
    <row r="48" spans="1:1" x14ac:dyDescent="0.25">
      <c r="A48" s="8" t="s">
        <v>90</v>
      </c>
    </row>
    <row r="49" spans="1:1" x14ac:dyDescent="0.25">
      <c r="A49" s="8" t="s">
        <v>91</v>
      </c>
    </row>
    <row r="50" spans="1:1" x14ac:dyDescent="0.25">
      <c r="A50" s="8" t="s">
        <v>92</v>
      </c>
    </row>
    <row r="51" spans="1:1" x14ac:dyDescent="0.25">
      <c r="A51" s="8" t="s">
        <v>93</v>
      </c>
    </row>
    <row r="52" spans="1:1" x14ac:dyDescent="0.25">
      <c r="A52" s="8" t="s">
        <v>94</v>
      </c>
    </row>
    <row r="53" spans="1:1" x14ac:dyDescent="0.25">
      <c r="A53" s="8" t="s">
        <v>95</v>
      </c>
    </row>
    <row r="54" spans="1:1" x14ac:dyDescent="0.25">
      <c r="A54" s="8" t="s">
        <v>96</v>
      </c>
    </row>
    <row r="55" spans="1:1" x14ac:dyDescent="0.25">
      <c r="A55" s="8" t="s">
        <v>97</v>
      </c>
    </row>
    <row r="56" spans="1:1" x14ac:dyDescent="0.25">
      <c r="A56" s="8" t="s">
        <v>98</v>
      </c>
    </row>
    <row r="57" spans="1:1" x14ac:dyDescent="0.25">
      <c r="A57" s="8" t="s">
        <v>99</v>
      </c>
    </row>
    <row r="58" spans="1:1" x14ac:dyDescent="0.25">
      <c r="A58" s="8" t="s">
        <v>100</v>
      </c>
    </row>
    <row r="59" spans="1:1" x14ac:dyDescent="0.25">
      <c r="A59" s="8" t="s">
        <v>101</v>
      </c>
    </row>
    <row r="60" spans="1:1" x14ac:dyDescent="0.25">
      <c r="A60" s="8" t="s">
        <v>102</v>
      </c>
    </row>
    <row r="61" spans="1:1" x14ac:dyDescent="0.25">
      <c r="A61" s="8" t="s">
        <v>103</v>
      </c>
    </row>
    <row r="62" spans="1:1" x14ac:dyDescent="0.25">
      <c r="A62" s="8" t="s">
        <v>104</v>
      </c>
    </row>
    <row r="63" spans="1:1" x14ac:dyDescent="0.25">
      <c r="A63" s="8" t="s">
        <v>105</v>
      </c>
    </row>
    <row r="64" spans="1:1" x14ac:dyDescent="0.25">
      <c r="A64" s="8" t="s">
        <v>106</v>
      </c>
    </row>
    <row r="65" spans="1:1" x14ac:dyDescent="0.25">
      <c r="A65" s="8" t="s">
        <v>107</v>
      </c>
    </row>
    <row r="66" spans="1:1" x14ac:dyDescent="0.25">
      <c r="A66" s="8" t="s">
        <v>108</v>
      </c>
    </row>
    <row r="67" spans="1:1" x14ac:dyDescent="0.25">
      <c r="A67" s="8" t="s">
        <v>109</v>
      </c>
    </row>
    <row r="68" spans="1:1" x14ac:dyDescent="0.25">
      <c r="A68" s="8" t="s">
        <v>110</v>
      </c>
    </row>
    <row r="69" spans="1:1" x14ac:dyDescent="0.25">
      <c r="A69" s="8" t="s">
        <v>111</v>
      </c>
    </row>
    <row r="70" spans="1:1" x14ac:dyDescent="0.25">
      <c r="A70" s="8" t="s">
        <v>112</v>
      </c>
    </row>
    <row r="71" spans="1:1" x14ac:dyDescent="0.25">
      <c r="A71" s="8" t="s">
        <v>113</v>
      </c>
    </row>
    <row r="72" spans="1:1" x14ac:dyDescent="0.25">
      <c r="A72" s="8" t="s">
        <v>114</v>
      </c>
    </row>
    <row r="73" spans="1:1" x14ac:dyDescent="0.25">
      <c r="A73" s="8" t="s">
        <v>115</v>
      </c>
    </row>
    <row r="74" spans="1:1" x14ac:dyDescent="0.25">
      <c r="A74" s="8" t="s">
        <v>116</v>
      </c>
    </row>
    <row r="75" spans="1:1" x14ac:dyDescent="0.25">
      <c r="A75" s="8" t="s">
        <v>117</v>
      </c>
    </row>
    <row r="76" spans="1:1" x14ac:dyDescent="0.25">
      <c r="A76" s="8" t="s">
        <v>118</v>
      </c>
    </row>
    <row r="77" spans="1:1" x14ac:dyDescent="0.25">
      <c r="A77" s="8" t="s">
        <v>119</v>
      </c>
    </row>
    <row r="78" spans="1:1" x14ac:dyDescent="0.25">
      <c r="A78" s="8" t="s">
        <v>120</v>
      </c>
    </row>
    <row r="79" spans="1:1" x14ac:dyDescent="0.25">
      <c r="A79" s="8" t="s">
        <v>121</v>
      </c>
    </row>
    <row r="80" spans="1:1" x14ac:dyDescent="0.25">
      <c r="A80" s="8" t="s">
        <v>122</v>
      </c>
    </row>
    <row r="81" spans="1:1" x14ac:dyDescent="0.25">
      <c r="A81" s="8" t="s">
        <v>123</v>
      </c>
    </row>
    <row r="82" spans="1:1" x14ac:dyDescent="0.25">
      <c r="A82" s="8" t="s">
        <v>124</v>
      </c>
    </row>
    <row r="83" spans="1:1" x14ac:dyDescent="0.25">
      <c r="A83" s="8" t="s">
        <v>125</v>
      </c>
    </row>
    <row r="84" spans="1:1" x14ac:dyDescent="0.25">
      <c r="A84" s="8" t="s">
        <v>126</v>
      </c>
    </row>
    <row r="85" spans="1:1" x14ac:dyDescent="0.25">
      <c r="A85" s="8" t="s">
        <v>127</v>
      </c>
    </row>
    <row r="86" spans="1:1" x14ac:dyDescent="0.25">
      <c r="A86" s="8" t="s">
        <v>128</v>
      </c>
    </row>
    <row r="87" spans="1:1" x14ac:dyDescent="0.25">
      <c r="A87" s="8" t="s">
        <v>129</v>
      </c>
    </row>
    <row r="88" spans="1:1" x14ac:dyDescent="0.25">
      <c r="A88" s="8" t="s">
        <v>130</v>
      </c>
    </row>
    <row r="89" spans="1:1" x14ac:dyDescent="0.25">
      <c r="A89" s="8" t="s">
        <v>131</v>
      </c>
    </row>
    <row r="90" spans="1:1" x14ac:dyDescent="0.25">
      <c r="A90" s="8" t="s">
        <v>132</v>
      </c>
    </row>
    <row r="91" spans="1:1" x14ac:dyDescent="0.25">
      <c r="A91" s="8" t="s">
        <v>133</v>
      </c>
    </row>
    <row r="92" spans="1:1" x14ac:dyDescent="0.25">
      <c r="A92" s="8" t="s">
        <v>134</v>
      </c>
    </row>
    <row r="93" spans="1:1" x14ac:dyDescent="0.25">
      <c r="A93" s="8" t="s">
        <v>135</v>
      </c>
    </row>
    <row r="94" spans="1:1" x14ac:dyDescent="0.25">
      <c r="A94" s="8" t="s">
        <v>136</v>
      </c>
    </row>
    <row r="95" spans="1:1" x14ac:dyDescent="0.25">
      <c r="A95" s="8" t="s">
        <v>137</v>
      </c>
    </row>
    <row r="96" spans="1:1" x14ac:dyDescent="0.25">
      <c r="A96" s="8" t="s">
        <v>138</v>
      </c>
    </row>
    <row r="97" spans="1:1" x14ac:dyDescent="0.25">
      <c r="A97" s="8" t="s">
        <v>139</v>
      </c>
    </row>
    <row r="98" spans="1:1" x14ac:dyDescent="0.25">
      <c r="A98" s="8" t="s">
        <v>140</v>
      </c>
    </row>
    <row r="99" spans="1:1" x14ac:dyDescent="0.25">
      <c r="A99" s="8" t="s">
        <v>141</v>
      </c>
    </row>
    <row r="100" spans="1:1" x14ac:dyDescent="0.25">
      <c r="A100" s="8" t="s">
        <v>142</v>
      </c>
    </row>
    <row r="101" spans="1:1" x14ac:dyDescent="0.25">
      <c r="A101" s="8" t="s">
        <v>143</v>
      </c>
    </row>
    <row r="102" spans="1:1" x14ac:dyDescent="0.25">
      <c r="A102" s="8" t="s">
        <v>144</v>
      </c>
    </row>
    <row r="103" spans="1:1" x14ac:dyDescent="0.25">
      <c r="A103" s="8" t="s">
        <v>145</v>
      </c>
    </row>
    <row r="104" spans="1:1" x14ac:dyDescent="0.25">
      <c r="A104" s="8" t="s">
        <v>146</v>
      </c>
    </row>
    <row r="105" spans="1:1" x14ac:dyDescent="0.25">
      <c r="A105" s="8" t="s">
        <v>147</v>
      </c>
    </row>
    <row r="106" spans="1:1" x14ac:dyDescent="0.25">
      <c r="A106" s="8" t="s">
        <v>148</v>
      </c>
    </row>
    <row r="107" spans="1:1" x14ac:dyDescent="0.25">
      <c r="A107" s="8" t="s">
        <v>149</v>
      </c>
    </row>
    <row r="108" spans="1:1" x14ac:dyDescent="0.25">
      <c r="A108" s="8" t="s">
        <v>150</v>
      </c>
    </row>
    <row r="109" spans="1:1" x14ac:dyDescent="0.25">
      <c r="A109" s="8" t="s">
        <v>151</v>
      </c>
    </row>
    <row r="110" spans="1:1" x14ac:dyDescent="0.25">
      <c r="A110" s="8" t="s">
        <v>152</v>
      </c>
    </row>
    <row r="111" spans="1:1" x14ac:dyDescent="0.25">
      <c r="A111" s="8" t="s">
        <v>153</v>
      </c>
    </row>
    <row r="112" spans="1:1" x14ac:dyDescent="0.25">
      <c r="A112" s="8" t="s">
        <v>154</v>
      </c>
    </row>
    <row r="113" spans="1:1" x14ac:dyDescent="0.25">
      <c r="A113" s="8" t="s">
        <v>155</v>
      </c>
    </row>
    <row r="114" spans="1:1" x14ac:dyDescent="0.25">
      <c r="A114" s="8" t="s">
        <v>156</v>
      </c>
    </row>
    <row r="115" spans="1:1" x14ac:dyDescent="0.25">
      <c r="A115" s="8" t="s">
        <v>157</v>
      </c>
    </row>
    <row r="116" spans="1:1" x14ac:dyDescent="0.25">
      <c r="A116" s="8" t="s">
        <v>158</v>
      </c>
    </row>
    <row r="117" spans="1:1" x14ac:dyDescent="0.25">
      <c r="A117" s="8" t="s">
        <v>159</v>
      </c>
    </row>
    <row r="118" spans="1:1" x14ac:dyDescent="0.25">
      <c r="A118" s="8" t="s">
        <v>160</v>
      </c>
    </row>
    <row r="119" spans="1:1" x14ac:dyDescent="0.25">
      <c r="A119" s="8" t="s">
        <v>161</v>
      </c>
    </row>
    <row r="120" spans="1:1" x14ac:dyDescent="0.25">
      <c r="A120" s="8" t="s">
        <v>162</v>
      </c>
    </row>
    <row r="121" spans="1:1" x14ac:dyDescent="0.25">
      <c r="A121" s="8" t="s">
        <v>163</v>
      </c>
    </row>
    <row r="122" spans="1:1" x14ac:dyDescent="0.25">
      <c r="A122" s="8" t="s">
        <v>164</v>
      </c>
    </row>
    <row r="123" spans="1:1" x14ac:dyDescent="0.25">
      <c r="A123" s="8" t="s">
        <v>165</v>
      </c>
    </row>
    <row r="124" spans="1:1" x14ac:dyDescent="0.25">
      <c r="A124" s="8" t="s">
        <v>166</v>
      </c>
    </row>
    <row r="125" spans="1:1" x14ac:dyDescent="0.25">
      <c r="A125" s="8" t="s">
        <v>7</v>
      </c>
    </row>
    <row r="126" spans="1:1" x14ac:dyDescent="0.25">
      <c r="A126" s="9" t="s">
        <v>167</v>
      </c>
    </row>
    <row r="127" spans="1:1" x14ac:dyDescent="0.25">
      <c r="A127" s="8" t="s">
        <v>168</v>
      </c>
    </row>
    <row r="128" spans="1:1" x14ac:dyDescent="0.25">
      <c r="A128" s="8" t="s">
        <v>169</v>
      </c>
    </row>
    <row r="129" spans="1:1" x14ac:dyDescent="0.25">
      <c r="A129" s="8" t="s">
        <v>170</v>
      </c>
    </row>
    <row r="130" spans="1:1" x14ac:dyDescent="0.25">
      <c r="A130" s="8" t="s">
        <v>171</v>
      </c>
    </row>
    <row r="131" spans="1:1" x14ac:dyDescent="0.25">
      <c r="A131" s="8" t="s">
        <v>172</v>
      </c>
    </row>
    <row r="132" spans="1:1" x14ac:dyDescent="0.25">
      <c r="A132" s="8" t="s">
        <v>173</v>
      </c>
    </row>
    <row r="133" spans="1:1" x14ac:dyDescent="0.25">
      <c r="A133" s="8" t="s">
        <v>174</v>
      </c>
    </row>
    <row r="134" spans="1:1" x14ac:dyDescent="0.25">
      <c r="A134" s="8" t="s">
        <v>175</v>
      </c>
    </row>
    <row r="135" spans="1:1" x14ac:dyDescent="0.25">
      <c r="A135" s="8" t="s">
        <v>176</v>
      </c>
    </row>
    <row r="136" spans="1:1" x14ac:dyDescent="0.25">
      <c r="A136" s="8" t="s">
        <v>177</v>
      </c>
    </row>
    <row r="137" spans="1:1" x14ac:dyDescent="0.25">
      <c r="A137" s="8" t="s">
        <v>178</v>
      </c>
    </row>
    <row r="138" spans="1:1" x14ac:dyDescent="0.25">
      <c r="A138" s="8" t="s">
        <v>179</v>
      </c>
    </row>
    <row r="139" spans="1:1" x14ac:dyDescent="0.25">
      <c r="A139" s="8" t="s">
        <v>180</v>
      </c>
    </row>
    <row r="140" spans="1:1" x14ac:dyDescent="0.25">
      <c r="A140" s="8" t="s">
        <v>181</v>
      </c>
    </row>
    <row r="141" spans="1:1" x14ac:dyDescent="0.25">
      <c r="A141" s="8" t="s">
        <v>182</v>
      </c>
    </row>
    <row r="142" spans="1:1" x14ac:dyDescent="0.25">
      <c r="A142" s="8" t="s">
        <v>183</v>
      </c>
    </row>
    <row r="143" spans="1:1" x14ac:dyDescent="0.25">
      <c r="A143" s="8" t="s">
        <v>184</v>
      </c>
    </row>
    <row r="144" spans="1:1" x14ac:dyDescent="0.25">
      <c r="A144" s="8" t="s">
        <v>185</v>
      </c>
    </row>
    <row r="145" spans="1:1" x14ac:dyDescent="0.25">
      <c r="A145" s="8" t="s">
        <v>186</v>
      </c>
    </row>
    <row r="146" spans="1:1" x14ac:dyDescent="0.25">
      <c r="A146" s="8" t="s">
        <v>187</v>
      </c>
    </row>
    <row r="147" spans="1:1" x14ac:dyDescent="0.25">
      <c r="A147" s="8" t="s">
        <v>188</v>
      </c>
    </row>
    <row r="148" spans="1:1" x14ac:dyDescent="0.25">
      <c r="A148" s="8" t="s">
        <v>189</v>
      </c>
    </row>
    <row r="149" spans="1:1" x14ac:dyDescent="0.25">
      <c r="A149" s="8" t="s">
        <v>190</v>
      </c>
    </row>
    <row r="150" spans="1:1" x14ac:dyDescent="0.25">
      <c r="A150" s="8" t="s">
        <v>191</v>
      </c>
    </row>
    <row r="151" spans="1:1" x14ac:dyDescent="0.25">
      <c r="A151" s="8" t="s">
        <v>192</v>
      </c>
    </row>
    <row r="152" spans="1:1" x14ac:dyDescent="0.25">
      <c r="A152" s="8" t="s">
        <v>193</v>
      </c>
    </row>
    <row r="153" spans="1:1" x14ac:dyDescent="0.25">
      <c r="A153" s="8" t="s">
        <v>194</v>
      </c>
    </row>
    <row r="154" spans="1:1" x14ac:dyDescent="0.25">
      <c r="A154" s="8" t="s">
        <v>195</v>
      </c>
    </row>
    <row r="155" spans="1:1" x14ac:dyDescent="0.25">
      <c r="A155" s="8" t="s">
        <v>196</v>
      </c>
    </row>
    <row r="156" spans="1:1" x14ac:dyDescent="0.25">
      <c r="A156" s="8" t="s">
        <v>197</v>
      </c>
    </row>
    <row r="157" spans="1:1" x14ac:dyDescent="0.25">
      <c r="A157" s="8" t="s">
        <v>198</v>
      </c>
    </row>
    <row r="158" spans="1:1" x14ac:dyDescent="0.25">
      <c r="A158" s="8" t="s">
        <v>199</v>
      </c>
    </row>
    <row r="159" spans="1:1" x14ac:dyDescent="0.25">
      <c r="A159" s="8" t="s">
        <v>200</v>
      </c>
    </row>
    <row r="160" spans="1:1" x14ac:dyDescent="0.25">
      <c r="A160" s="8" t="s">
        <v>201</v>
      </c>
    </row>
    <row r="161" spans="1:1" x14ac:dyDescent="0.25">
      <c r="A161" s="8" t="s">
        <v>202</v>
      </c>
    </row>
    <row r="162" spans="1:1" x14ac:dyDescent="0.25">
      <c r="A162" s="8" t="s">
        <v>203</v>
      </c>
    </row>
    <row r="163" spans="1:1" x14ac:dyDescent="0.25">
      <c r="A163" s="8" t="s">
        <v>204</v>
      </c>
    </row>
    <row r="164" spans="1:1" x14ac:dyDescent="0.25">
      <c r="A164" s="8" t="s">
        <v>205</v>
      </c>
    </row>
    <row r="165" spans="1:1" x14ac:dyDescent="0.25">
      <c r="A165" s="8" t="s">
        <v>206</v>
      </c>
    </row>
    <row r="166" spans="1:1" x14ac:dyDescent="0.25">
      <c r="A166" s="8" t="s">
        <v>207</v>
      </c>
    </row>
    <row r="167" spans="1:1" x14ac:dyDescent="0.25">
      <c r="A167" s="8" t="s">
        <v>208</v>
      </c>
    </row>
    <row r="168" spans="1:1" x14ac:dyDescent="0.25">
      <c r="A168" s="8" t="s">
        <v>209</v>
      </c>
    </row>
    <row r="169" spans="1:1" x14ac:dyDescent="0.25">
      <c r="A169" s="8" t="s">
        <v>210</v>
      </c>
    </row>
    <row r="170" spans="1:1" x14ac:dyDescent="0.25">
      <c r="A170" s="8" t="s">
        <v>211</v>
      </c>
    </row>
    <row r="171" spans="1:1" x14ac:dyDescent="0.25">
      <c r="A171" s="8" t="s">
        <v>212</v>
      </c>
    </row>
    <row r="172" spans="1:1" x14ac:dyDescent="0.25">
      <c r="A172" s="8" t="s">
        <v>213</v>
      </c>
    </row>
    <row r="173" spans="1:1" x14ac:dyDescent="0.25">
      <c r="A173" s="8" t="s">
        <v>214</v>
      </c>
    </row>
    <row r="174" spans="1:1" x14ac:dyDescent="0.25">
      <c r="A174" s="8" t="s">
        <v>215</v>
      </c>
    </row>
    <row r="175" spans="1:1" x14ac:dyDescent="0.25">
      <c r="A175" s="8" t="s">
        <v>216</v>
      </c>
    </row>
    <row r="176" spans="1:1" x14ac:dyDescent="0.25">
      <c r="A176" s="8" t="s">
        <v>217</v>
      </c>
    </row>
    <row r="177" spans="1:1" x14ac:dyDescent="0.25">
      <c r="A177" s="8" t="s">
        <v>218</v>
      </c>
    </row>
    <row r="178" spans="1:1" x14ac:dyDescent="0.25">
      <c r="A178" s="8" t="s">
        <v>219</v>
      </c>
    </row>
    <row r="179" spans="1:1" x14ac:dyDescent="0.25">
      <c r="A179" s="8" t="s">
        <v>220</v>
      </c>
    </row>
    <row r="180" spans="1:1" x14ac:dyDescent="0.25">
      <c r="A180" s="8" t="s">
        <v>221</v>
      </c>
    </row>
    <row r="181" spans="1:1" x14ac:dyDescent="0.25">
      <c r="A181" s="8" t="s">
        <v>222</v>
      </c>
    </row>
    <row r="182" spans="1:1" x14ac:dyDescent="0.25">
      <c r="A182" s="8" t="s">
        <v>223</v>
      </c>
    </row>
    <row r="183" spans="1:1" x14ac:dyDescent="0.25">
      <c r="A183" s="8" t="s">
        <v>224</v>
      </c>
    </row>
    <row r="184" spans="1:1" x14ac:dyDescent="0.25">
      <c r="A184" s="8" t="s">
        <v>225</v>
      </c>
    </row>
    <row r="185" spans="1:1" x14ac:dyDescent="0.25">
      <c r="A185" s="9" t="s">
        <v>226</v>
      </c>
    </row>
    <row r="186" spans="1:1" x14ac:dyDescent="0.25">
      <c r="A186" s="8" t="s">
        <v>227</v>
      </c>
    </row>
    <row r="187" spans="1:1" x14ac:dyDescent="0.25">
      <c r="A187" s="8" t="s">
        <v>228</v>
      </c>
    </row>
    <row r="188" spans="1:1" x14ac:dyDescent="0.25">
      <c r="A188" s="8" t="s">
        <v>229</v>
      </c>
    </row>
    <row r="189" spans="1:1" x14ac:dyDescent="0.25">
      <c r="A189" s="8" t="s">
        <v>230</v>
      </c>
    </row>
    <row r="190" spans="1:1" x14ac:dyDescent="0.25">
      <c r="A190" s="8" t="s">
        <v>231</v>
      </c>
    </row>
    <row r="191" spans="1:1" x14ac:dyDescent="0.25">
      <c r="A191" s="8" t="s">
        <v>232</v>
      </c>
    </row>
    <row r="192" spans="1:1" x14ac:dyDescent="0.25">
      <c r="A192" s="8" t="s">
        <v>233</v>
      </c>
    </row>
    <row r="193" spans="1:1" x14ac:dyDescent="0.25">
      <c r="A193" s="8" t="s">
        <v>234</v>
      </c>
    </row>
    <row r="194" spans="1:1" x14ac:dyDescent="0.25">
      <c r="A194" s="8" t="s">
        <v>235</v>
      </c>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2" spans="1:1" x14ac:dyDescent="0.25">
      <c r="A202"/>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row r="220" spans="1:1" x14ac:dyDescent="0.25">
      <c r="A220"/>
    </row>
    <row r="221" spans="1:1" x14ac:dyDescent="0.25">
      <c r="A221"/>
    </row>
    <row r="222" spans="1:1" x14ac:dyDescent="0.25">
      <c r="A222"/>
    </row>
    <row r="223" spans="1:1" x14ac:dyDescent="0.25">
      <c r="A223"/>
    </row>
    <row r="224" spans="1:1" x14ac:dyDescent="0.25">
      <c r="A224"/>
    </row>
    <row r="225" spans="1:1" x14ac:dyDescent="0.25">
      <c r="A225"/>
    </row>
    <row r="226" spans="1:1" x14ac:dyDescent="0.25">
      <c r="A226"/>
    </row>
    <row r="227" spans="1:1" x14ac:dyDescent="0.25">
      <c r="A227"/>
    </row>
    <row r="228" spans="1:1" x14ac:dyDescent="0.25">
      <c r="A228"/>
    </row>
    <row r="229" spans="1:1" x14ac:dyDescent="0.25">
      <c r="A229"/>
    </row>
    <row r="230" spans="1:1" x14ac:dyDescent="0.25">
      <c r="A230"/>
    </row>
    <row r="231" spans="1:1" x14ac:dyDescent="0.25">
      <c r="A231"/>
    </row>
    <row r="232" spans="1:1" x14ac:dyDescent="0.25">
      <c r="A232"/>
    </row>
    <row r="233" spans="1:1" x14ac:dyDescent="0.25">
      <c r="A233"/>
    </row>
    <row r="234" spans="1:1" x14ac:dyDescent="0.25">
      <c r="A234"/>
    </row>
    <row r="235" spans="1:1" x14ac:dyDescent="0.25">
      <c r="A235"/>
    </row>
    <row r="236" spans="1:1" x14ac:dyDescent="0.25">
      <c r="A236"/>
    </row>
    <row r="237" spans="1:1" x14ac:dyDescent="0.25">
      <c r="A237"/>
    </row>
    <row r="238" spans="1:1" x14ac:dyDescent="0.25">
      <c r="A238"/>
    </row>
    <row r="239" spans="1:1" x14ac:dyDescent="0.25">
      <c r="A239"/>
    </row>
    <row r="240" spans="1:1" x14ac:dyDescent="0.25">
      <c r="A240"/>
    </row>
    <row r="241" spans="1:1" x14ac:dyDescent="0.25">
      <c r="A241"/>
    </row>
    <row r="242" spans="1:1" x14ac:dyDescent="0.25">
      <c r="A242"/>
    </row>
    <row r="243" spans="1:1" x14ac:dyDescent="0.25">
      <c r="A243"/>
    </row>
    <row r="244" spans="1:1" x14ac:dyDescent="0.25">
      <c r="A244"/>
    </row>
    <row r="245" spans="1:1" x14ac:dyDescent="0.25">
      <c r="A245"/>
    </row>
    <row r="246" spans="1:1" x14ac:dyDescent="0.25">
      <c r="A246"/>
    </row>
    <row r="247" spans="1:1" x14ac:dyDescent="0.25">
      <c r="A247"/>
    </row>
    <row r="248" spans="1:1" x14ac:dyDescent="0.25">
      <c r="A248"/>
    </row>
    <row r="249" spans="1:1" x14ac:dyDescent="0.25">
      <c r="A249"/>
    </row>
    <row r="250" spans="1:1" x14ac:dyDescent="0.25">
      <c r="A250"/>
    </row>
    <row r="251" spans="1:1" x14ac:dyDescent="0.25">
      <c r="A251"/>
    </row>
    <row r="252" spans="1:1" x14ac:dyDescent="0.25">
      <c r="A252"/>
    </row>
    <row r="253" spans="1:1" x14ac:dyDescent="0.25">
      <c r="A253"/>
    </row>
    <row r="254" spans="1:1" x14ac:dyDescent="0.25">
      <c r="A254"/>
    </row>
    <row r="255" spans="1:1" x14ac:dyDescent="0.25">
      <c r="A255"/>
    </row>
    <row r="256" spans="1:1" x14ac:dyDescent="0.25">
      <c r="A256"/>
    </row>
    <row r="257" spans="1:1" x14ac:dyDescent="0.25">
      <c r="A257"/>
    </row>
    <row r="258" spans="1:1" x14ac:dyDescent="0.25">
      <c r="A258"/>
    </row>
    <row r="259" spans="1:1" x14ac:dyDescent="0.25">
      <c r="A259"/>
    </row>
    <row r="260" spans="1:1" x14ac:dyDescent="0.25">
      <c r="A260"/>
    </row>
    <row r="261" spans="1:1" x14ac:dyDescent="0.25">
      <c r="A261"/>
    </row>
    <row r="262" spans="1:1" x14ac:dyDescent="0.25">
      <c r="A262"/>
    </row>
    <row r="263" spans="1:1" x14ac:dyDescent="0.25">
      <c r="A263"/>
    </row>
    <row r="264" spans="1:1" x14ac:dyDescent="0.25">
      <c r="A264"/>
    </row>
    <row r="265" spans="1:1" x14ac:dyDescent="0.25">
      <c r="A265"/>
    </row>
    <row r="266" spans="1:1" x14ac:dyDescent="0.25">
      <c r="A266"/>
    </row>
    <row r="267" spans="1:1" x14ac:dyDescent="0.25">
      <c r="A267"/>
    </row>
    <row r="268" spans="1:1" x14ac:dyDescent="0.25">
      <c r="A268"/>
    </row>
    <row r="269" spans="1:1" x14ac:dyDescent="0.25">
      <c r="A269"/>
    </row>
    <row r="270" spans="1:1" x14ac:dyDescent="0.25">
      <c r="A270"/>
    </row>
    <row r="271" spans="1:1" x14ac:dyDescent="0.25">
      <c r="A271"/>
    </row>
    <row r="272" spans="1:1" x14ac:dyDescent="0.25">
      <c r="A272"/>
    </row>
    <row r="273" spans="1:1" x14ac:dyDescent="0.25">
      <c r="A273"/>
    </row>
    <row r="274" spans="1:1" x14ac:dyDescent="0.25">
      <c r="A274"/>
    </row>
    <row r="275" spans="1:1" x14ac:dyDescent="0.25">
      <c r="A275"/>
    </row>
    <row r="276" spans="1:1" x14ac:dyDescent="0.25">
      <c r="A276"/>
    </row>
    <row r="277" spans="1:1" x14ac:dyDescent="0.25">
      <c r="A277"/>
    </row>
    <row r="278" spans="1:1" x14ac:dyDescent="0.25">
      <c r="A278"/>
    </row>
    <row r="279" spans="1:1" x14ac:dyDescent="0.25">
      <c r="A279"/>
    </row>
    <row r="280" spans="1:1" x14ac:dyDescent="0.25">
      <c r="A280"/>
    </row>
    <row r="281" spans="1:1" x14ac:dyDescent="0.25">
      <c r="A281"/>
    </row>
    <row r="282" spans="1:1" x14ac:dyDescent="0.25">
      <c r="A282"/>
    </row>
    <row r="283" spans="1:1" x14ac:dyDescent="0.25">
      <c r="A283"/>
    </row>
    <row r="284" spans="1:1" x14ac:dyDescent="0.25">
      <c r="A284"/>
    </row>
    <row r="285" spans="1:1" x14ac:dyDescent="0.25">
      <c r="A285"/>
    </row>
    <row r="286" spans="1:1" x14ac:dyDescent="0.25">
      <c r="A286"/>
    </row>
    <row r="287" spans="1:1" x14ac:dyDescent="0.25">
      <c r="A287"/>
    </row>
    <row r="288" spans="1:1" x14ac:dyDescent="0.25">
      <c r="A288"/>
    </row>
    <row r="289" spans="1:1" x14ac:dyDescent="0.25">
      <c r="A289"/>
    </row>
    <row r="290" spans="1:1" x14ac:dyDescent="0.25">
      <c r="A290"/>
    </row>
    <row r="291" spans="1:1" x14ac:dyDescent="0.25">
      <c r="A291"/>
    </row>
    <row r="292" spans="1:1" x14ac:dyDescent="0.25">
      <c r="A292"/>
    </row>
    <row r="293" spans="1:1" x14ac:dyDescent="0.25">
      <c r="A293"/>
    </row>
    <row r="294" spans="1:1" x14ac:dyDescent="0.25">
      <c r="A294"/>
    </row>
    <row r="295" spans="1:1" x14ac:dyDescent="0.25">
      <c r="A295"/>
    </row>
    <row r="296" spans="1:1" x14ac:dyDescent="0.25">
      <c r="A296"/>
    </row>
    <row r="297" spans="1:1" x14ac:dyDescent="0.25">
      <c r="A297"/>
    </row>
    <row r="298" spans="1:1" x14ac:dyDescent="0.25">
      <c r="A298"/>
    </row>
    <row r="299" spans="1:1" x14ac:dyDescent="0.25">
      <c r="A299"/>
    </row>
    <row r="300" spans="1:1" x14ac:dyDescent="0.25">
      <c r="A300"/>
    </row>
    <row r="301" spans="1:1" x14ac:dyDescent="0.25">
      <c r="A301"/>
    </row>
    <row r="302" spans="1:1" x14ac:dyDescent="0.25">
      <c r="A302"/>
    </row>
    <row r="303" spans="1:1" x14ac:dyDescent="0.25">
      <c r="A303"/>
    </row>
    <row r="304" spans="1:1" x14ac:dyDescent="0.25">
      <c r="A304"/>
    </row>
    <row r="305" spans="1:1" x14ac:dyDescent="0.25">
      <c r="A305"/>
    </row>
    <row r="306" spans="1:1" x14ac:dyDescent="0.25">
      <c r="A306"/>
    </row>
    <row r="307" spans="1:1" x14ac:dyDescent="0.25">
      <c r="A307"/>
    </row>
    <row r="308" spans="1:1" x14ac:dyDescent="0.25">
      <c r="A308"/>
    </row>
    <row r="309" spans="1:1" x14ac:dyDescent="0.25">
      <c r="A309"/>
    </row>
    <row r="310" spans="1:1" x14ac:dyDescent="0.25">
      <c r="A310"/>
    </row>
    <row r="311" spans="1:1" x14ac:dyDescent="0.25">
      <c r="A311"/>
    </row>
    <row r="312" spans="1:1" x14ac:dyDescent="0.25">
      <c r="A312"/>
    </row>
    <row r="313" spans="1:1" x14ac:dyDescent="0.25">
      <c r="A313"/>
    </row>
    <row r="314" spans="1:1" x14ac:dyDescent="0.25">
      <c r="A314"/>
    </row>
    <row r="315" spans="1:1" x14ac:dyDescent="0.25">
      <c r="A315"/>
    </row>
    <row r="316" spans="1:1" x14ac:dyDescent="0.25">
      <c r="A316"/>
    </row>
    <row r="317" spans="1:1" x14ac:dyDescent="0.25">
      <c r="A317"/>
    </row>
    <row r="318" spans="1:1" x14ac:dyDescent="0.25">
      <c r="A318"/>
    </row>
    <row r="319" spans="1:1" x14ac:dyDescent="0.25">
      <c r="A319"/>
    </row>
    <row r="320" spans="1:1" x14ac:dyDescent="0.25">
      <c r="A320"/>
    </row>
    <row r="321" spans="1:1" x14ac:dyDescent="0.25">
      <c r="A321"/>
    </row>
    <row r="322" spans="1:1" x14ac:dyDescent="0.25">
      <c r="A322"/>
    </row>
    <row r="323" spans="1:1" x14ac:dyDescent="0.25">
      <c r="A323"/>
    </row>
    <row r="324" spans="1:1" x14ac:dyDescent="0.25">
      <c r="A324"/>
    </row>
    <row r="325" spans="1:1" x14ac:dyDescent="0.25">
      <c r="A325"/>
    </row>
    <row r="326" spans="1:1" x14ac:dyDescent="0.25">
      <c r="A326"/>
    </row>
    <row r="327" spans="1:1" x14ac:dyDescent="0.25">
      <c r="A327"/>
    </row>
    <row r="328" spans="1:1" x14ac:dyDescent="0.25">
      <c r="A328"/>
    </row>
    <row r="329" spans="1:1" x14ac:dyDescent="0.25">
      <c r="A329"/>
    </row>
    <row r="330" spans="1:1" x14ac:dyDescent="0.25">
      <c r="A330"/>
    </row>
    <row r="331" spans="1:1" x14ac:dyDescent="0.25">
      <c r="A331"/>
    </row>
    <row r="332" spans="1:1" x14ac:dyDescent="0.25">
      <c r="A332"/>
    </row>
  </sheetData>
  <dataConsolidate link="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Country</vt:lpstr>
      <vt:lpstr>Stat</vt:lpstr>
      <vt:lpstr>Menu</vt:lpstr>
      <vt:lpstr>Suriname</vt:lpstr>
      <vt:lpstr>{{template}}</vt:lpstr>
      <vt:lpstr>Uruguay</vt:lpstr>
      <vt:lpstr>IMF</vt:lpstr>
      <vt:lpstr>OECD Targets</vt:lpstr>
      <vt:lpstr>data</vt:lpstr>
      <vt:lpstr>confidence</vt:lpstr>
      <vt:lpstr>Countries</vt:lpstr>
      <vt:lpstr>country_group</vt:lpstr>
      <vt:lpstr>Currency</vt:lpstr>
      <vt:lpstr>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Csob</dc:creator>
  <cp:lastModifiedBy>bilodeau</cp:lastModifiedBy>
  <dcterms:created xsi:type="dcterms:W3CDTF">2015-12-23T18:57:18Z</dcterms:created>
  <dcterms:modified xsi:type="dcterms:W3CDTF">2016-02-17T20:09:22Z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